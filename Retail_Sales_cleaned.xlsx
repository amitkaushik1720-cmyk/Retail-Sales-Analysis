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d1fc2e1ce1c7fc/Desktop/Amit/Projects/RetailSailsAnalytics/"/>
    </mc:Choice>
  </mc:AlternateContent>
  <xr:revisionPtr revIDLastSave="0" documentId="8_{3795BDC9-7D6E-47C4-B452-22C5564CE406}" xr6:coauthVersionLast="47" xr6:coauthVersionMax="47" xr10:uidLastSave="{00000000-0000-0000-0000-000000000000}"/>
  <bookViews>
    <workbookView xWindow="-120" yWindow="-120" windowWidth="20730" windowHeight="11040" xr2:uid="{C4225E20-27CB-4D64-B4E5-982F18C6E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94" i="1" l="1"/>
  <c r="H794" i="1"/>
  <c r="G794" i="1"/>
  <c r="F794" i="1"/>
  <c r="E794" i="1"/>
  <c r="H793" i="1"/>
  <c r="W793" i="1" s="1"/>
  <c r="G793" i="1"/>
  <c r="F793" i="1"/>
  <c r="E793" i="1"/>
  <c r="W792" i="1"/>
  <c r="H792" i="1"/>
  <c r="G792" i="1"/>
  <c r="F792" i="1"/>
  <c r="E792" i="1"/>
  <c r="H791" i="1"/>
  <c r="W791" i="1" s="1"/>
  <c r="G791" i="1"/>
  <c r="F791" i="1"/>
  <c r="E791" i="1"/>
  <c r="W790" i="1"/>
  <c r="H790" i="1"/>
  <c r="G790" i="1"/>
  <c r="F790" i="1"/>
  <c r="E790" i="1"/>
  <c r="H789" i="1"/>
  <c r="W789" i="1" s="1"/>
  <c r="G789" i="1"/>
  <c r="F789" i="1"/>
  <c r="E789" i="1"/>
  <c r="W788" i="1"/>
  <c r="H788" i="1"/>
  <c r="G788" i="1"/>
  <c r="F788" i="1"/>
  <c r="E788" i="1"/>
  <c r="H787" i="1"/>
  <c r="W787" i="1" s="1"/>
  <c r="G787" i="1"/>
  <c r="F787" i="1"/>
  <c r="E787" i="1"/>
  <c r="W786" i="1"/>
  <c r="H786" i="1"/>
  <c r="G786" i="1"/>
  <c r="F786" i="1"/>
  <c r="E786" i="1"/>
  <c r="H785" i="1"/>
  <c r="W785" i="1" s="1"/>
  <c r="G785" i="1"/>
  <c r="F785" i="1"/>
  <c r="E785" i="1"/>
  <c r="W784" i="1"/>
  <c r="H784" i="1"/>
  <c r="G784" i="1"/>
  <c r="F784" i="1"/>
  <c r="E784" i="1"/>
  <c r="H783" i="1"/>
  <c r="W783" i="1" s="1"/>
  <c r="G783" i="1"/>
  <c r="F783" i="1"/>
  <c r="E783" i="1"/>
  <c r="W782" i="1"/>
  <c r="H782" i="1"/>
  <c r="G782" i="1"/>
  <c r="F782" i="1"/>
  <c r="E782" i="1"/>
  <c r="H781" i="1"/>
  <c r="W781" i="1" s="1"/>
  <c r="G781" i="1"/>
  <c r="F781" i="1"/>
  <c r="E781" i="1"/>
  <c r="W780" i="1"/>
  <c r="H780" i="1"/>
  <c r="G780" i="1"/>
  <c r="F780" i="1"/>
  <c r="E780" i="1"/>
  <c r="H779" i="1"/>
  <c r="W779" i="1" s="1"/>
  <c r="G779" i="1"/>
  <c r="F779" i="1"/>
  <c r="E779" i="1"/>
  <c r="W778" i="1"/>
  <c r="H778" i="1"/>
  <c r="G778" i="1"/>
  <c r="F778" i="1"/>
  <c r="E778" i="1"/>
  <c r="H777" i="1"/>
  <c r="W777" i="1" s="1"/>
  <c r="G777" i="1"/>
  <c r="F777" i="1"/>
  <c r="E777" i="1"/>
  <c r="W776" i="1"/>
  <c r="H776" i="1"/>
  <c r="G776" i="1"/>
  <c r="F776" i="1"/>
  <c r="E776" i="1"/>
  <c r="H775" i="1"/>
  <c r="W775" i="1" s="1"/>
  <c r="G775" i="1"/>
  <c r="F775" i="1"/>
  <c r="E775" i="1"/>
  <c r="W774" i="1"/>
  <c r="H774" i="1"/>
  <c r="G774" i="1"/>
  <c r="F774" i="1"/>
  <c r="E774" i="1"/>
  <c r="H773" i="1"/>
  <c r="W773" i="1" s="1"/>
  <c r="G773" i="1"/>
  <c r="F773" i="1"/>
  <c r="E773" i="1"/>
  <c r="W772" i="1"/>
  <c r="H772" i="1"/>
  <c r="G772" i="1"/>
  <c r="F772" i="1"/>
  <c r="E772" i="1"/>
  <c r="H771" i="1"/>
  <c r="W771" i="1" s="1"/>
  <c r="G771" i="1"/>
  <c r="F771" i="1"/>
  <c r="E771" i="1"/>
  <c r="W770" i="1"/>
  <c r="H770" i="1"/>
  <c r="G770" i="1"/>
  <c r="F770" i="1"/>
  <c r="E770" i="1"/>
  <c r="H769" i="1"/>
  <c r="W769" i="1" s="1"/>
  <c r="G769" i="1"/>
  <c r="F769" i="1"/>
  <c r="E769" i="1"/>
  <c r="W768" i="1"/>
  <c r="H768" i="1"/>
  <c r="G768" i="1"/>
  <c r="F768" i="1"/>
  <c r="E768" i="1"/>
  <c r="H767" i="1"/>
  <c r="W767" i="1" s="1"/>
  <c r="G767" i="1"/>
  <c r="F767" i="1"/>
  <c r="E767" i="1"/>
  <c r="W766" i="1"/>
  <c r="H766" i="1"/>
  <c r="G766" i="1"/>
  <c r="F766" i="1"/>
  <c r="E766" i="1"/>
  <c r="H765" i="1"/>
  <c r="W765" i="1" s="1"/>
  <c r="G765" i="1"/>
  <c r="F765" i="1"/>
  <c r="E765" i="1"/>
  <c r="W764" i="1"/>
  <c r="H764" i="1"/>
  <c r="G764" i="1"/>
  <c r="F764" i="1"/>
  <c r="E764" i="1"/>
  <c r="H763" i="1"/>
  <c r="W763" i="1" s="1"/>
  <c r="G763" i="1"/>
  <c r="F763" i="1"/>
  <c r="E763" i="1"/>
  <c r="W762" i="1"/>
  <c r="H762" i="1"/>
  <c r="G762" i="1"/>
  <c r="F762" i="1"/>
  <c r="E762" i="1"/>
  <c r="H761" i="1"/>
  <c r="W761" i="1" s="1"/>
  <c r="G761" i="1"/>
  <c r="F761" i="1"/>
  <c r="E761" i="1"/>
  <c r="W760" i="1"/>
  <c r="H760" i="1"/>
  <c r="G760" i="1"/>
  <c r="F760" i="1"/>
  <c r="E760" i="1"/>
  <c r="H759" i="1"/>
  <c r="W759" i="1" s="1"/>
  <c r="G759" i="1"/>
  <c r="F759" i="1"/>
  <c r="E759" i="1"/>
  <c r="W758" i="1"/>
  <c r="H758" i="1"/>
  <c r="G758" i="1"/>
  <c r="F758" i="1"/>
  <c r="E758" i="1"/>
  <c r="H757" i="1"/>
  <c r="W757" i="1" s="1"/>
  <c r="G757" i="1"/>
  <c r="F757" i="1"/>
  <c r="E757" i="1"/>
  <c r="W756" i="1"/>
  <c r="H756" i="1"/>
  <c r="G756" i="1"/>
  <c r="F756" i="1"/>
  <c r="E756" i="1"/>
  <c r="H755" i="1"/>
  <c r="W755" i="1" s="1"/>
  <c r="G755" i="1"/>
  <c r="F755" i="1"/>
  <c r="E755" i="1"/>
  <c r="W754" i="1"/>
  <c r="H754" i="1"/>
  <c r="G754" i="1"/>
  <c r="F754" i="1"/>
  <c r="E754" i="1"/>
  <c r="H753" i="1"/>
  <c r="W753" i="1" s="1"/>
  <c r="G753" i="1"/>
  <c r="F753" i="1"/>
  <c r="E753" i="1"/>
  <c r="W752" i="1"/>
  <c r="H752" i="1"/>
  <c r="G752" i="1"/>
  <c r="F752" i="1"/>
  <c r="E752" i="1"/>
  <c r="H751" i="1"/>
  <c r="W751" i="1" s="1"/>
  <c r="G751" i="1"/>
  <c r="F751" i="1"/>
  <c r="E751" i="1"/>
  <c r="W750" i="1"/>
  <c r="H750" i="1"/>
  <c r="G750" i="1"/>
  <c r="F750" i="1"/>
  <c r="E750" i="1"/>
  <c r="H749" i="1"/>
  <c r="W749" i="1" s="1"/>
  <c r="G749" i="1"/>
  <c r="F749" i="1"/>
  <c r="E749" i="1"/>
  <c r="W748" i="1"/>
  <c r="H748" i="1"/>
  <c r="G748" i="1"/>
  <c r="F748" i="1"/>
  <c r="E748" i="1"/>
  <c r="H747" i="1"/>
  <c r="W747" i="1" s="1"/>
  <c r="G747" i="1"/>
  <c r="F747" i="1"/>
  <c r="E747" i="1"/>
  <c r="W746" i="1"/>
  <c r="H746" i="1"/>
  <c r="G746" i="1"/>
  <c r="F746" i="1"/>
  <c r="E746" i="1"/>
  <c r="H745" i="1"/>
  <c r="W745" i="1" s="1"/>
  <c r="G745" i="1"/>
  <c r="F745" i="1"/>
  <c r="E745" i="1"/>
  <c r="W744" i="1"/>
  <c r="H744" i="1"/>
  <c r="G744" i="1"/>
  <c r="F744" i="1"/>
  <c r="E744" i="1"/>
  <c r="H743" i="1"/>
  <c r="W743" i="1" s="1"/>
  <c r="G743" i="1"/>
  <c r="F743" i="1"/>
  <c r="E743" i="1"/>
  <c r="W742" i="1"/>
  <c r="H742" i="1"/>
  <c r="G742" i="1"/>
  <c r="F742" i="1"/>
  <c r="E742" i="1"/>
  <c r="H741" i="1"/>
  <c r="W741" i="1" s="1"/>
  <c r="G741" i="1"/>
  <c r="F741" i="1"/>
  <c r="E741" i="1"/>
  <c r="W740" i="1"/>
  <c r="H740" i="1"/>
  <c r="G740" i="1"/>
  <c r="F740" i="1"/>
  <c r="E740" i="1"/>
  <c r="H739" i="1"/>
  <c r="W739" i="1" s="1"/>
  <c r="G739" i="1"/>
  <c r="F739" i="1"/>
  <c r="E739" i="1"/>
  <c r="W738" i="1"/>
  <c r="H738" i="1"/>
  <c r="G738" i="1"/>
  <c r="F738" i="1"/>
  <c r="E738" i="1"/>
  <c r="H737" i="1"/>
  <c r="W737" i="1" s="1"/>
  <c r="G737" i="1"/>
  <c r="F737" i="1"/>
  <c r="E737" i="1"/>
  <c r="W736" i="1"/>
  <c r="H736" i="1"/>
  <c r="G736" i="1"/>
  <c r="F736" i="1"/>
  <c r="E736" i="1"/>
  <c r="H735" i="1"/>
  <c r="W735" i="1" s="1"/>
  <c r="G735" i="1"/>
  <c r="F735" i="1"/>
  <c r="E735" i="1"/>
  <c r="W734" i="1"/>
  <c r="H734" i="1"/>
  <c r="G734" i="1"/>
  <c r="F734" i="1"/>
  <c r="E734" i="1"/>
  <c r="H733" i="1"/>
  <c r="W733" i="1" s="1"/>
  <c r="G733" i="1"/>
  <c r="F733" i="1"/>
  <c r="E733" i="1"/>
  <c r="W732" i="1"/>
  <c r="H732" i="1"/>
  <c r="G732" i="1"/>
  <c r="F732" i="1"/>
  <c r="E732" i="1"/>
  <c r="H731" i="1"/>
  <c r="W731" i="1" s="1"/>
  <c r="G731" i="1"/>
  <c r="F731" i="1"/>
  <c r="E731" i="1"/>
  <c r="W730" i="1"/>
  <c r="H730" i="1"/>
  <c r="G730" i="1"/>
  <c r="F730" i="1"/>
  <c r="E730" i="1"/>
  <c r="H729" i="1"/>
  <c r="W729" i="1" s="1"/>
  <c r="G729" i="1"/>
  <c r="F729" i="1"/>
  <c r="E729" i="1"/>
  <c r="W728" i="1"/>
  <c r="H728" i="1"/>
  <c r="G728" i="1"/>
  <c r="F728" i="1"/>
  <c r="E728" i="1"/>
  <c r="H727" i="1"/>
  <c r="W727" i="1" s="1"/>
  <c r="G727" i="1"/>
  <c r="F727" i="1"/>
  <c r="E727" i="1"/>
  <c r="W726" i="1"/>
  <c r="H726" i="1"/>
  <c r="G726" i="1"/>
  <c r="F726" i="1"/>
  <c r="E726" i="1"/>
  <c r="H725" i="1"/>
  <c r="W725" i="1" s="1"/>
  <c r="G725" i="1"/>
  <c r="F725" i="1"/>
  <c r="E725" i="1"/>
  <c r="W724" i="1"/>
  <c r="H724" i="1"/>
  <c r="G724" i="1"/>
  <c r="F724" i="1"/>
  <c r="E724" i="1"/>
  <c r="H723" i="1"/>
  <c r="W723" i="1" s="1"/>
  <c r="G723" i="1"/>
  <c r="F723" i="1"/>
  <c r="E723" i="1"/>
  <c r="W722" i="1"/>
  <c r="H722" i="1"/>
  <c r="G722" i="1"/>
  <c r="F722" i="1"/>
  <c r="E722" i="1"/>
  <c r="H721" i="1"/>
  <c r="W721" i="1" s="1"/>
  <c r="G721" i="1"/>
  <c r="F721" i="1"/>
  <c r="E721" i="1"/>
  <c r="W720" i="1"/>
  <c r="H720" i="1"/>
  <c r="G720" i="1"/>
  <c r="F720" i="1"/>
  <c r="E720" i="1"/>
  <c r="H719" i="1"/>
  <c r="W719" i="1" s="1"/>
  <c r="G719" i="1"/>
  <c r="F719" i="1"/>
  <c r="E719" i="1"/>
  <c r="W718" i="1"/>
  <c r="H718" i="1"/>
  <c r="G718" i="1"/>
  <c r="F718" i="1"/>
  <c r="E718" i="1"/>
  <c r="H717" i="1"/>
  <c r="W717" i="1" s="1"/>
  <c r="G717" i="1"/>
  <c r="F717" i="1"/>
  <c r="E717" i="1"/>
  <c r="W716" i="1"/>
  <c r="H716" i="1"/>
  <c r="G716" i="1"/>
  <c r="F716" i="1"/>
  <c r="E716" i="1"/>
  <c r="H715" i="1"/>
  <c r="W715" i="1" s="1"/>
  <c r="G715" i="1"/>
  <c r="F715" i="1"/>
  <c r="E715" i="1"/>
  <c r="W714" i="1"/>
  <c r="H714" i="1"/>
  <c r="G714" i="1"/>
  <c r="F714" i="1"/>
  <c r="E714" i="1"/>
  <c r="H713" i="1"/>
  <c r="W713" i="1" s="1"/>
  <c r="G713" i="1"/>
  <c r="F713" i="1"/>
  <c r="E713" i="1"/>
  <c r="W712" i="1"/>
  <c r="H712" i="1"/>
  <c r="G712" i="1"/>
  <c r="F712" i="1"/>
  <c r="E712" i="1"/>
  <c r="H711" i="1"/>
  <c r="W711" i="1" s="1"/>
  <c r="G711" i="1"/>
  <c r="F711" i="1"/>
  <c r="E711" i="1"/>
  <c r="W710" i="1"/>
  <c r="H710" i="1"/>
  <c r="G710" i="1"/>
  <c r="F710" i="1"/>
  <c r="E710" i="1"/>
  <c r="H709" i="1"/>
  <c r="W709" i="1" s="1"/>
  <c r="G709" i="1"/>
  <c r="F709" i="1"/>
  <c r="E709" i="1"/>
  <c r="W708" i="1"/>
  <c r="H708" i="1"/>
  <c r="G708" i="1"/>
  <c r="F708" i="1"/>
  <c r="E708" i="1"/>
  <c r="H707" i="1"/>
  <c r="W707" i="1" s="1"/>
  <c r="G707" i="1"/>
  <c r="F707" i="1"/>
  <c r="E707" i="1"/>
  <c r="W706" i="1"/>
  <c r="H706" i="1"/>
  <c r="G706" i="1"/>
  <c r="F706" i="1"/>
  <c r="E706" i="1"/>
  <c r="H705" i="1"/>
  <c r="W705" i="1" s="1"/>
  <c r="G705" i="1"/>
  <c r="F705" i="1"/>
  <c r="E705" i="1"/>
  <c r="W704" i="1"/>
  <c r="H704" i="1"/>
  <c r="G704" i="1"/>
  <c r="F704" i="1"/>
  <c r="E704" i="1"/>
  <c r="H703" i="1"/>
  <c r="W703" i="1" s="1"/>
  <c r="G703" i="1"/>
  <c r="F703" i="1"/>
  <c r="E703" i="1"/>
  <c r="W702" i="1"/>
  <c r="H702" i="1"/>
  <c r="G702" i="1"/>
  <c r="F702" i="1"/>
  <c r="E702" i="1"/>
  <c r="H701" i="1"/>
  <c r="W701" i="1" s="1"/>
  <c r="G701" i="1"/>
  <c r="F701" i="1"/>
  <c r="E701" i="1"/>
  <c r="W700" i="1"/>
  <c r="H700" i="1"/>
  <c r="G700" i="1"/>
  <c r="F700" i="1"/>
  <c r="E700" i="1"/>
  <c r="H699" i="1"/>
  <c r="W699" i="1" s="1"/>
  <c r="G699" i="1"/>
  <c r="F699" i="1"/>
  <c r="E699" i="1"/>
  <c r="W698" i="1"/>
  <c r="H698" i="1"/>
  <c r="G698" i="1"/>
  <c r="F698" i="1"/>
  <c r="E698" i="1"/>
  <c r="H697" i="1"/>
  <c r="W697" i="1" s="1"/>
  <c r="G697" i="1"/>
  <c r="F697" i="1"/>
  <c r="E697" i="1"/>
  <c r="W696" i="1"/>
  <c r="H696" i="1"/>
  <c r="G696" i="1"/>
  <c r="F696" i="1"/>
  <c r="E696" i="1"/>
  <c r="H695" i="1"/>
  <c r="W695" i="1" s="1"/>
  <c r="G695" i="1"/>
  <c r="F695" i="1"/>
  <c r="E695" i="1"/>
  <c r="W694" i="1"/>
  <c r="H694" i="1"/>
  <c r="G694" i="1"/>
  <c r="F694" i="1"/>
  <c r="E694" i="1"/>
  <c r="H693" i="1"/>
  <c r="W693" i="1" s="1"/>
  <c r="G693" i="1"/>
  <c r="F693" i="1"/>
  <c r="E693" i="1"/>
  <c r="W692" i="1"/>
  <c r="H692" i="1"/>
  <c r="G692" i="1"/>
  <c r="F692" i="1"/>
  <c r="E692" i="1"/>
  <c r="H691" i="1"/>
  <c r="W691" i="1" s="1"/>
  <c r="G691" i="1"/>
  <c r="F691" i="1"/>
  <c r="E691" i="1"/>
  <c r="W690" i="1"/>
  <c r="H690" i="1"/>
  <c r="G690" i="1"/>
  <c r="F690" i="1"/>
  <c r="E690" i="1"/>
  <c r="H689" i="1"/>
  <c r="W689" i="1" s="1"/>
  <c r="G689" i="1"/>
  <c r="F689" i="1"/>
  <c r="E689" i="1"/>
  <c r="W688" i="1"/>
  <c r="H688" i="1"/>
  <c r="G688" i="1"/>
  <c r="F688" i="1"/>
  <c r="E688" i="1"/>
  <c r="H687" i="1"/>
  <c r="W687" i="1" s="1"/>
  <c r="G687" i="1"/>
  <c r="F687" i="1"/>
  <c r="E687" i="1"/>
  <c r="W686" i="1"/>
  <c r="H686" i="1"/>
  <c r="G686" i="1"/>
  <c r="F686" i="1"/>
  <c r="E686" i="1"/>
  <c r="H685" i="1"/>
  <c r="W685" i="1" s="1"/>
  <c r="G685" i="1"/>
  <c r="F685" i="1"/>
  <c r="E685" i="1"/>
  <c r="W684" i="1"/>
  <c r="H684" i="1"/>
  <c r="G684" i="1"/>
  <c r="F684" i="1"/>
  <c r="E684" i="1"/>
  <c r="H683" i="1"/>
  <c r="W683" i="1" s="1"/>
  <c r="G683" i="1"/>
  <c r="F683" i="1"/>
  <c r="E683" i="1"/>
  <c r="W682" i="1"/>
  <c r="H682" i="1"/>
  <c r="G682" i="1"/>
  <c r="F682" i="1"/>
  <c r="E682" i="1"/>
  <c r="H681" i="1"/>
  <c r="W681" i="1" s="1"/>
  <c r="G681" i="1"/>
  <c r="F681" i="1"/>
  <c r="E681" i="1"/>
  <c r="W680" i="1"/>
  <c r="H680" i="1"/>
  <c r="G680" i="1"/>
  <c r="F680" i="1"/>
  <c r="E680" i="1"/>
  <c r="H679" i="1"/>
  <c r="W679" i="1" s="1"/>
  <c r="G679" i="1"/>
  <c r="F679" i="1"/>
  <c r="E679" i="1"/>
  <c r="W678" i="1"/>
  <c r="H678" i="1"/>
  <c r="G678" i="1"/>
  <c r="F678" i="1"/>
  <c r="E678" i="1"/>
  <c r="H677" i="1"/>
  <c r="W677" i="1" s="1"/>
  <c r="G677" i="1"/>
  <c r="F677" i="1"/>
  <c r="E677" i="1"/>
  <c r="W676" i="1"/>
  <c r="H676" i="1"/>
  <c r="G676" i="1"/>
  <c r="F676" i="1"/>
  <c r="E676" i="1"/>
  <c r="H675" i="1"/>
  <c r="W675" i="1" s="1"/>
  <c r="G675" i="1"/>
  <c r="F675" i="1"/>
  <c r="E675" i="1"/>
  <c r="W674" i="1"/>
  <c r="H674" i="1"/>
  <c r="G674" i="1"/>
  <c r="F674" i="1"/>
  <c r="E674" i="1"/>
  <c r="H673" i="1"/>
  <c r="W673" i="1" s="1"/>
  <c r="G673" i="1"/>
  <c r="F673" i="1"/>
  <c r="E673" i="1"/>
  <c r="W672" i="1"/>
  <c r="H672" i="1"/>
  <c r="G672" i="1"/>
  <c r="F672" i="1"/>
  <c r="E672" i="1"/>
  <c r="H671" i="1"/>
  <c r="W671" i="1" s="1"/>
  <c r="G671" i="1"/>
  <c r="F671" i="1"/>
  <c r="E671" i="1"/>
  <c r="W670" i="1"/>
  <c r="H670" i="1"/>
  <c r="G670" i="1"/>
  <c r="F670" i="1"/>
  <c r="E670" i="1"/>
  <c r="H669" i="1"/>
  <c r="W669" i="1" s="1"/>
  <c r="G669" i="1"/>
  <c r="F669" i="1"/>
  <c r="E669" i="1"/>
  <c r="W668" i="1"/>
  <c r="H668" i="1"/>
  <c r="G668" i="1"/>
  <c r="F668" i="1"/>
  <c r="E668" i="1"/>
  <c r="H667" i="1"/>
  <c r="W667" i="1" s="1"/>
  <c r="G667" i="1"/>
  <c r="F667" i="1"/>
  <c r="E667" i="1"/>
  <c r="W666" i="1"/>
  <c r="H666" i="1"/>
  <c r="G666" i="1"/>
  <c r="F666" i="1"/>
  <c r="E666" i="1"/>
  <c r="H665" i="1"/>
  <c r="W665" i="1" s="1"/>
  <c r="G665" i="1"/>
  <c r="F665" i="1"/>
  <c r="E665" i="1"/>
  <c r="W664" i="1"/>
  <c r="H664" i="1"/>
  <c r="G664" i="1"/>
  <c r="F664" i="1"/>
  <c r="E664" i="1"/>
  <c r="H663" i="1"/>
  <c r="W663" i="1" s="1"/>
  <c r="G663" i="1"/>
  <c r="F663" i="1"/>
  <c r="E663" i="1"/>
  <c r="W662" i="1"/>
  <c r="H662" i="1"/>
  <c r="G662" i="1"/>
  <c r="F662" i="1"/>
  <c r="E662" i="1"/>
  <c r="H661" i="1"/>
  <c r="W661" i="1" s="1"/>
  <c r="G661" i="1"/>
  <c r="F661" i="1"/>
  <c r="E661" i="1"/>
  <c r="W660" i="1"/>
  <c r="H660" i="1"/>
  <c r="G660" i="1"/>
  <c r="F660" i="1"/>
  <c r="E660" i="1"/>
  <c r="H659" i="1"/>
  <c r="W659" i="1" s="1"/>
  <c r="G659" i="1"/>
  <c r="F659" i="1"/>
  <c r="E659" i="1"/>
  <c r="W658" i="1"/>
  <c r="H658" i="1"/>
  <c r="G658" i="1"/>
  <c r="F658" i="1"/>
  <c r="E658" i="1"/>
  <c r="H657" i="1"/>
  <c r="W657" i="1" s="1"/>
  <c r="G657" i="1"/>
  <c r="F657" i="1"/>
  <c r="E657" i="1"/>
  <c r="W656" i="1"/>
  <c r="H656" i="1"/>
  <c r="G656" i="1"/>
  <c r="F656" i="1"/>
  <c r="E656" i="1"/>
  <c r="H655" i="1"/>
  <c r="W655" i="1" s="1"/>
  <c r="G655" i="1"/>
  <c r="F655" i="1"/>
  <c r="E655" i="1"/>
  <c r="W654" i="1"/>
  <c r="H654" i="1"/>
  <c r="G654" i="1"/>
  <c r="F654" i="1"/>
  <c r="E654" i="1"/>
  <c r="H653" i="1"/>
  <c r="W653" i="1" s="1"/>
  <c r="G653" i="1"/>
  <c r="F653" i="1"/>
  <c r="E653" i="1"/>
  <c r="W652" i="1"/>
  <c r="H652" i="1"/>
  <c r="G652" i="1"/>
  <c r="F652" i="1"/>
  <c r="E652" i="1"/>
  <c r="H651" i="1"/>
  <c r="W651" i="1" s="1"/>
  <c r="G651" i="1"/>
  <c r="F651" i="1"/>
  <c r="E651" i="1"/>
  <c r="W650" i="1"/>
  <c r="H650" i="1"/>
  <c r="G650" i="1"/>
  <c r="F650" i="1"/>
  <c r="E650" i="1"/>
  <c r="H649" i="1"/>
  <c r="W649" i="1" s="1"/>
  <c r="G649" i="1"/>
  <c r="F649" i="1"/>
  <c r="E649" i="1"/>
  <c r="W648" i="1"/>
  <c r="H648" i="1"/>
  <c r="G648" i="1"/>
  <c r="F648" i="1"/>
  <c r="E648" i="1"/>
  <c r="H647" i="1"/>
  <c r="W647" i="1" s="1"/>
  <c r="G647" i="1"/>
  <c r="F647" i="1"/>
  <c r="E647" i="1"/>
  <c r="W646" i="1"/>
  <c r="H646" i="1"/>
  <c r="G646" i="1"/>
  <c r="F646" i="1"/>
  <c r="E646" i="1"/>
  <c r="H645" i="1"/>
  <c r="W645" i="1" s="1"/>
  <c r="G645" i="1"/>
  <c r="F645" i="1"/>
  <c r="E645" i="1"/>
  <c r="W644" i="1"/>
  <c r="H644" i="1"/>
  <c r="G644" i="1"/>
  <c r="F644" i="1"/>
  <c r="E644" i="1"/>
  <c r="H643" i="1"/>
  <c r="W643" i="1" s="1"/>
  <c r="G643" i="1"/>
  <c r="F643" i="1"/>
  <c r="E643" i="1"/>
  <c r="W642" i="1"/>
  <c r="H642" i="1"/>
  <c r="G642" i="1"/>
  <c r="F642" i="1"/>
  <c r="E642" i="1"/>
  <c r="H641" i="1"/>
  <c r="W641" i="1" s="1"/>
  <c r="G641" i="1"/>
  <c r="F641" i="1"/>
  <c r="E641" i="1"/>
  <c r="W640" i="1"/>
  <c r="H640" i="1"/>
  <c r="G640" i="1"/>
  <c r="F640" i="1"/>
  <c r="E640" i="1"/>
  <c r="H639" i="1"/>
  <c r="W639" i="1" s="1"/>
  <c r="G639" i="1"/>
  <c r="F639" i="1"/>
  <c r="E639" i="1"/>
  <c r="W638" i="1"/>
  <c r="H638" i="1"/>
  <c r="G638" i="1"/>
  <c r="F638" i="1"/>
  <c r="E638" i="1"/>
  <c r="H637" i="1"/>
  <c r="W637" i="1" s="1"/>
  <c r="G637" i="1"/>
  <c r="F637" i="1"/>
  <c r="E637" i="1"/>
  <c r="W636" i="1"/>
  <c r="H636" i="1"/>
  <c r="G636" i="1"/>
  <c r="F636" i="1"/>
  <c r="E636" i="1"/>
  <c r="H635" i="1"/>
  <c r="W635" i="1" s="1"/>
  <c r="G635" i="1"/>
  <c r="F635" i="1"/>
  <c r="E635" i="1"/>
  <c r="W634" i="1"/>
  <c r="H634" i="1"/>
  <c r="G634" i="1"/>
  <c r="F634" i="1"/>
  <c r="E634" i="1"/>
  <c r="H633" i="1"/>
  <c r="W633" i="1" s="1"/>
  <c r="G633" i="1"/>
  <c r="F633" i="1"/>
  <c r="E633" i="1"/>
  <c r="W632" i="1"/>
  <c r="H632" i="1"/>
  <c r="G632" i="1"/>
  <c r="F632" i="1"/>
  <c r="E632" i="1"/>
  <c r="H631" i="1"/>
  <c r="W631" i="1" s="1"/>
  <c r="G631" i="1"/>
  <c r="F631" i="1"/>
  <c r="E631" i="1"/>
  <c r="W630" i="1"/>
  <c r="H630" i="1"/>
  <c r="G630" i="1"/>
  <c r="F630" i="1"/>
  <c r="E630" i="1"/>
  <c r="H629" i="1"/>
  <c r="W629" i="1" s="1"/>
  <c r="G629" i="1"/>
  <c r="F629" i="1"/>
  <c r="E629" i="1"/>
  <c r="W628" i="1"/>
  <c r="H628" i="1"/>
  <c r="G628" i="1"/>
  <c r="F628" i="1"/>
  <c r="E628" i="1"/>
  <c r="H627" i="1"/>
  <c r="W627" i="1" s="1"/>
  <c r="G627" i="1"/>
  <c r="F627" i="1"/>
  <c r="E627" i="1"/>
  <c r="W626" i="1"/>
  <c r="H626" i="1"/>
  <c r="G626" i="1"/>
  <c r="F626" i="1"/>
  <c r="E626" i="1"/>
  <c r="H625" i="1"/>
  <c r="W625" i="1" s="1"/>
  <c r="G625" i="1"/>
  <c r="F625" i="1"/>
  <c r="E625" i="1"/>
  <c r="W624" i="1"/>
  <c r="H624" i="1"/>
  <c r="G624" i="1"/>
  <c r="F624" i="1"/>
  <c r="E624" i="1"/>
  <c r="H623" i="1"/>
  <c r="W623" i="1" s="1"/>
  <c r="G623" i="1"/>
  <c r="F623" i="1"/>
  <c r="E623" i="1"/>
  <c r="W622" i="1"/>
  <c r="H622" i="1"/>
  <c r="G622" i="1"/>
  <c r="F622" i="1"/>
  <c r="E622" i="1"/>
  <c r="H621" i="1"/>
  <c r="W621" i="1" s="1"/>
  <c r="G621" i="1"/>
  <c r="F621" i="1"/>
  <c r="E621" i="1"/>
  <c r="W620" i="1"/>
  <c r="H620" i="1"/>
  <c r="G620" i="1"/>
  <c r="F620" i="1"/>
  <c r="E620" i="1"/>
  <c r="H619" i="1"/>
  <c r="W619" i="1" s="1"/>
  <c r="G619" i="1"/>
  <c r="F619" i="1"/>
  <c r="E619" i="1"/>
  <c r="W618" i="1"/>
  <c r="H618" i="1"/>
  <c r="G618" i="1"/>
  <c r="F618" i="1"/>
  <c r="E618" i="1"/>
  <c r="H617" i="1"/>
  <c r="W617" i="1" s="1"/>
  <c r="G617" i="1"/>
  <c r="F617" i="1"/>
  <c r="E617" i="1"/>
  <c r="W616" i="1"/>
  <c r="H616" i="1"/>
  <c r="G616" i="1"/>
  <c r="F616" i="1"/>
  <c r="E616" i="1"/>
  <c r="H615" i="1"/>
  <c r="W615" i="1" s="1"/>
  <c r="G615" i="1"/>
  <c r="F615" i="1"/>
  <c r="E615" i="1"/>
  <c r="W614" i="1"/>
  <c r="H614" i="1"/>
  <c r="G614" i="1"/>
  <c r="F614" i="1"/>
  <c r="E614" i="1"/>
  <c r="H613" i="1"/>
  <c r="W613" i="1" s="1"/>
  <c r="G613" i="1"/>
  <c r="F613" i="1"/>
  <c r="E613" i="1"/>
  <c r="W612" i="1"/>
  <c r="H612" i="1"/>
  <c r="G612" i="1"/>
  <c r="F612" i="1"/>
  <c r="E612" i="1"/>
  <c r="H611" i="1"/>
  <c r="W611" i="1" s="1"/>
  <c r="G611" i="1"/>
  <c r="F611" i="1"/>
  <c r="E611" i="1"/>
  <c r="W610" i="1"/>
  <c r="H610" i="1"/>
  <c r="G610" i="1"/>
  <c r="F610" i="1"/>
  <c r="E610" i="1"/>
  <c r="H609" i="1"/>
  <c r="W609" i="1" s="1"/>
  <c r="G609" i="1"/>
  <c r="F609" i="1"/>
  <c r="E609" i="1"/>
  <c r="W608" i="1"/>
  <c r="H608" i="1"/>
  <c r="G608" i="1"/>
  <c r="F608" i="1"/>
  <c r="E608" i="1"/>
  <c r="H607" i="1"/>
  <c r="W607" i="1" s="1"/>
  <c r="G607" i="1"/>
  <c r="F607" i="1"/>
  <c r="E607" i="1"/>
  <c r="W606" i="1"/>
  <c r="H606" i="1"/>
  <c r="G606" i="1"/>
  <c r="F606" i="1"/>
  <c r="E606" i="1"/>
  <c r="H605" i="1"/>
  <c r="W605" i="1" s="1"/>
  <c r="G605" i="1"/>
  <c r="F605" i="1"/>
  <c r="E605" i="1"/>
  <c r="W604" i="1"/>
  <c r="H604" i="1"/>
  <c r="G604" i="1"/>
  <c r="F604" i="1"/>
  <c r="E604" i="1"/>
  <c r="H603" i="1"/>
  <c r="W603" i="1" s="1"/>
  <c r="G603" i="1"/>
  <c r="F603" i="1"/>
  <c r="E603" i="1"/>
  <c r="W602" i="1"/>
  <c r="H602" i="1"/>
  <c r="G602" i="1"/>
  <c r="F602" i="1"/>
  <c r="E602" i="1"/>
  <c r="H601" i="1"/>
  <c r="W601" i="1" s="1"/>
  <c r="G601" i="1"/>
  <c r="F601" i="1"/>
  <c r="E601" i="1"/>
  <c r="W600" i="1"/>
  <c r="H600" i="1"/>
  <c r="G600" i="1"/>
  <c r="F600" i="1"/>
  <c r="E600" i="1"/>
  <c r="H599" i="1"/>
  <c r="W599" i="1" s="1"/>
  <c r="G599" i="1"/>
  <c r="F599" i="1"/>
  <c r="E599" i="1"/>
  <c r="W598" i="1"/>
  <c r="H598" i="1"/>
  <c r="G598" i="1"/>
  <c r="F598" i="1"/>
  <c r="E598" i="1"/>
  <c r="H597" i="1"/>
  <c r="W597" i="1" s="1"/>
  <c r="G597" i="1"/>
  <c r="F597" i="1"/>
  <c r="E597" i="1"/>
  <c r="W596" i="1"/>
  <c r="H596" i="1"/>
  <c r="G596" i="1"/>
  <c r="F596" i="1"/>
  <c r="E596" i="1"/>
  <c r="H595" i="1"/>
  <c r="W595" i="1" s="1"/>
  <c r="G595" i="1"/>
  <c r="F595" i="1"/>
  <c r="E595" i="1"/>
  <c r="W594" i="1"/>
  <c r="H594" i="1"/>
  <c r="G594" i="1"/>
  <c r="F594" i="1"/>
  <c r="E594" i="1"/>
  <c r="H593" i="1"/>
  <c r="W593" i="1" s="1"/>
  <c r="G593" i="1"/>
  <c r="F593" i="1"/>
  <c r="E593" i="1"/>
  <c r="W592" i="1"/>
  <c r="H592" i="1"/>
  <c r="G592" i="1"/>
  <c r="F592" i="1"/>
  <c r="E592" i="1"/>
  <c r="H591" i="1"/>
  <c r="W591" i="1" s="1"/>
  <c r="G591" i="1"/>
  <c r="F591" i="1"/>
  <c r="E591" i="1"/>
  <c r="W590" i="1"/>
  <c r="H590" i="1"/>
  <c r="G590" i="1"/>
  <c r="F590" i="1"/>
  <c r="E590" i="1"/>
  <c r="H589" i="1"/>
  <c r="W589" i="1" s="1"/>
  <c r="G589" i="1"/>
  <c r="F589" i="1"/>
  <c r="E589" i="1"/>
  <c r="W588" i="1"/>
  <c r="H588" i="1"/>
  <c r="G588" i="1"/>
  <c r="F588" i="1"/>
  <c r="E588" i="1"/>
  <c r="H587" i="1"/>
  <c r="W587" i="1" s="1"/>
  <c r="G587" i="1"/>
  <c r="F587" i="1"/>
  <c r="E587" i="1"/>
  <c r="W586" i="1"/>
  <c r="H586" i="1"/>
  <c r="G586" i="1"/>
  <c r="F586" i="1"/>
  <c r="E586" i="1"/>
  <c r="H585" i="1"/>
  <c r="W585" i="1" s="1"/>
  <c r="G585" i="1"/>
  <c r="F585" i="1"/>
  <c r="E585" i="1"/>
  <c r="W584" i="1"/>
  <c r="H584" i="1"/>
  <c r="G584" i="1"/>
  <c r="F584" i="1"/>
  <c r="E584" i="1"/>
  <c r="H583" i="1"/>
  <c r="W583" i="1" s="1"/>
  <c r="G583" i="1"/>
  <c r="F583" i="1"/>
  <c r="E583" i="1"/>
  <c r="W582" i="1"/>
  <c r="H582" i="1"/>
  <c r="G582" i="1"/>
  <c r="F582" i="1"/>
  <c r="E582" i="1"/>
  <c r="H581" i="1"/>
  <c r="W581" i="1" s="1"/>
  <c r="G581" i="1"/>
  <c r="F581" i="1"/>
  <c r="E581" i="1"/>
  <c r="W580" i="1"/>
  <c r="H580" i="1"/>
  <c r="G580" i="1"/>
  <c r="F580" i="1"/>
  <c r="E580" i="1"/>
  <c r="H579" i="1"/>
  <c r="W579" i="1" s="1"/>
  <c r="G579" i="1"/>
  <c r="F579" i="1"/>
  <c r="E579" i="1"/>
  <c r="W578" i="1"/>
  <c r="H578" i="1"/>
  <c r="G578" i="1"/>
  <c r="F578" i="1"/>
  <c r="E578" i="1"/>
  <c r="H577" i="1"/>
  <c r="W577" i="1" s="1"/>
  <c r="G577" i="1"/>
  <c r="F577" i="1"/>
  <c r="E577" i="1"/>
  <c r="W576" i="1"/>
  <c r="H576" i="1"/>
  <c r="G576" i="1"/>
  <c r="F576" i="1"/>
  <c r="E576" i="1"/>
  <c r="H575" i="1"/>
  <c r="W575" i="1" s="1"/>
  <c r="G575" i="1"/>
  <c r="F575" i="1"/>
  <c r="E575" i="1"/>
  <c r="W574" i="1"/>
  <c r="H574" i="1"/>
  <c r="G574" i="1"/>
  <c r="F574" i="1"/>
  <c r="E574" i="1"/>
  <c r="H573" i="1"/>
  <c r="W573" i="1" s="1"/>
  <c r="G573" i="1"/>
  <c r="F573" i="1"/>
  <c r="E573" i="1"/>
  <c r="W572" i="1"/>
  <c r="H572" i="1"/>
  <c r="G572" i="1"/>
  <c r="F572" i="1"/>
  <c r="E572" i="1"/>
  <c r="H571" i="1"/>
  <c r="W571" i="1" s="1"/>
  <c r="G571" i="1"/>
  <c r="F571" i="1"/>
  <c r="E571" i="1"/>
  <c r="W570" i="1"/>
  <c r="H570" i="1"/>
  <c r="G570" i="1"/>
  <c r="F570" i="1"/>
  <c r="E570" i="1"/>
  <c r="H569" i="1"/>
  <c r="W569" i="1" s="1"/>
  <c r="G569" i="1"/>
  <c r="F569" i="1"/>
  <c r="E569" i="1"/>
  <c r="W568" i="1"/>
  <c r="H568" i="1"/>
  <c r="G568" i="1"/>
  <c r="F568" i="1"/>
  <c r="E568" i="1"/>
  <c r="H567" i="1"/>
  <c r="W567" i="1" s="1"/>
  <c r="G567" i="1"/>
  <c r="F567" i="1"/>
  <c r="E567" i="1"/>
  <c r="W566" i="1"/>
  <c r="H566" i="1"/>
  <c r="G566" i="1"/>
  <c r="F566" i="1"/>
  <c r="E566" i="1"/>
  <c r="H565" i="1"/>
  <c r="W565" i="1" s="1"/>
  <c r="G565" i="1"/>
  <c r="F565" i="1"/>
  <c r="E565" i="1"/>
  <c r="W564" i="1"/>
  <c r="H564" i="1"/>
  <c r="G564" i="1"/>
  <c r="F564" i="1"/>
  <c r="E564" i="1"/>
  <c r="H563" i="1"/>
  <c r="W563" i="1" s="1"/>
  <c r="G563" i="1"/>
  <c r="F563" i="1"/>
  <c r="E563" i="1"/>
  <c r="W562" i="1"/>
  <c r="H562" i="1"/>
  <c r="G562" i="1"/>
  <c r="F562" i="1"/>
  <c r="E562" i="1"/>
  <c r="H561" i="1"/>
  <c r="W561" i="1" s="1"/>
  <c r="G561" i="1"/>
  <c r="F561" i="1"/>
  <c r="E561" i="1"/>
  <c r="W560" i="1"/>
  <c r="H560" i="1"/>
  <c r="G560" i="1"/>
  <c r="F560" i="1"/>
  <c r="E560" i="1"/>
  <c r="H559" i="1"/>
  <c r="W559" i="1" s="1"/>
  <c r="G559" i="1"/>
  <c r="F559" i="1"/>
  <c r="E559" i="1"/>
  <c r="W558" i="1"/>
  <c r="H558" i="1"/>
  <c r="G558" i="1"/>
  <c r="F558" i="1"/>
  <c r="E558" i="1"/>
  <c r="H557" i="1"/>
  <c r="W557" i="1" s="1"/>
  <c r="G557" i="1"/>
  <c r="F557" i="1"/>
  <c r="E557" i="1"/>
  <c r="W556" i="1"/>
  <c r="H556" i="1"/>
  <c r="G556" i="1"/>
  <c r="F556" i="1"/>
  <c r="E556" i="1"/>
  <c r="H555" i="1"/>
  <c r="W555" i="1" s="1"/>
  <c r="G555" i="1"/>
  <c r="F555" i="1"/>
  <c r="E555" i="1"/>
  <c r="W554" i="1"/>
  <c r="H554" i="1"/>
  <c r="G554" i="1"/>
  <c r="F554" i="1"/>
  <c r="E554" i="1"/>
  <c r="H553" i="1"/>
  <c r="W553" i="1" s="1"/>
  <c r="G553" i="1"/>
  <c r="F553" i="1"/>
  <c r="E553" i="1"/>
  <c r="W552" i="1"/>
  <c r="H552" i="1"/>
  <c r="G552" i="1"/>
  <c r="F552" i="1"/>
  <c r="E552" i="1"/>
  <c r="H551" i="1"/>
  <c r="W551" i="1" s="1"/>
  <c r="G551" i="1"/>
  <c r="F551" i="1"/>
  <c r="E551" i="1"/>
  <c r="W550" i="1"/>
  <c r="H550" i="1"/>
  <c r="G550" i="1"/>
  <c r="F550" i="1"/>
  <c r="E550" i="1"/>
  <c r="H549" i="1"/>
  <c r="W549" i="1" s="1"/>
  <c r="G549" i="1"/>
  <c r="F549" i="1"/>
  <c r="E549" i="1"/>
  <c r="W548" i="1"/>
  <c r="H548" i="1"/>
  <c r="G548" i="1"/>
  <c r="F548" i="1"/>
  <c r="E548" i="1"/>
  <c r="H547" i="1"/>
  <c r="W547" i="1" s="1"/>
  <c r="G547" i="1"/>
  <c r="F547" i="1"/>
  <c r="E547" i="1"/>
  <c r="W546" i="1"/>
  <c r="H546" i="1"/>
  <c r="G546" i="1"/>
  <c r="F546" i="1"/>
  <c r="E546" i="1"/>
  <c r="H545" i="1"/>
  <c r="W545" i="1" s="1"/>
  <c r="G545" i="1"/>
  <c r="F545" i="1"/>
  <c r="E545" i="1"/>
  <c r="W544" i="1"/>
  <c r="H544" i="1"/>
  <c r="G544" i="1"/>
  <c r="F544" i="1"/>
  <c r="E544" i="1"/>
  <c r="H543" i="1"/>
  <c r="W543" i="1" s="1"/>
  <c r="G543" i="1"/>
  <c r="F543" i="1"/>
  <c r="E543" i="1"/>
  <c r="W542" i="1"/>
  <c r="H542" i="1"/>
  <c r="G542" i="1"/>
  <c r="F542" i="1"/>
  <c r="E542" i="1"/>
  <c r="H541" i="1"/>
  <c r="W541" i="1" s="1"/>
  <c r="G541" i="1"/>
  <c r="F541" i="1"/>
  <c r="E541" i="1"/>
  <c r="W540" i="1"/>
  <c r="H540" i="1"/>
  <c r="G540" i="1"/>
  <c r="F540" i="1"/>
  <c r="E540" i="1"/>
  <c r="H539" i="1"/>
  <c r="W539" i="1" s="1"/>
  <c r="G539" i="1"/>
  <c r="F539" i="1"/>
  <c r="E539" i="1"/>
  <c r="W538" i="1"/>
  <c r="H538" i="1"/>
  <c r="G538" i="1"/>
  <c r="F538" i="1"/>
  <c r="E538" i="1"/>
  <c r="H537" i="1"/>
  <c r="W537" i="1" s="1"/>
  <c r="G537" i="1"/>
  <c r="F537" i="1"/>
  <c r="E537" i="1"/>
  <c r="W536" i="1"/>
  <c r="H536" i="1"/>
  <c r="G536" i="1"/>
  <c r="F536" i="1"/>
  <c r="E536" i="1"/>
  <c r="H535" i="1"/>
  <c r="W535" i="1" s="1"/>
  <c r="G535" i="1"/>
  <c r="F535" i="1"/>
  <c r="E535" i="1"/>
  <c r="H534" i="1"/>
  <c r="W534" i="1" s="1"/>
  <c r="G534" i="1"/>
  <c r="F534" i="1"/>
  <c r="E534" i="1"/>
  <c r="W533" i="1"/>
  <c r="H533" i="1"/>
  <c r="G533" i="1"/>
  <c r="F533" i="1"/>
  <c r="E533" i="1"/>
  <c r="W532" i="1"/>
  <c r="H532" i="1"/>
  <c r="G532" i="1"/>
  <c r="F532" i="1"/>
  <c r="E532" i="1"/>
  <c r="H531" i="1"/>
  <c r="W531" i="1" s="1"/>
  <c r="G531" i="1"/>
  <c r="F531" i="1"/>
  <c r="E531" i="1"/>
  <c r="H530" i="1"/>
  <c r="W530" i="1" s="1"/>
  <c r="G530" i="1"/>
  <c r="F530" i="1"/>
  <c r="E530" i="1"/>
  <c r="H529" i="1"/>
  <c r="W529" i="1" s="1"/>
  <c r="G529" i="1"/>
  <c r="F529" i="1"/>
  <c r="E529" i="1"/>
  <c r="W528" i="1"/>
  <c r="H528" i="1"/>
  <c r="G528" i="1"/>
  <c r="F528" i="1"/>
  <c r="E528" i="1"/>
  <c r="H527" i="1"/>
  <c r="W527" i="1" s="1"/>
  <c r="G527" i="1"/>
  <c r="F527" i="1"/>
  <c r="E527" i="1"/>
  <c r="W526" i="1"/>
  <c r="H526" i="1"/>
  <c r="G526" i="1"/>
  <c r="F526" i="1"/>
  <c r="E526" i="1"/>
  <c r="H525" i="1"/>
  <c r="W525" i="1" s="1"/>
  <c r="G525" i="1"/>
  <c r="F525" i="1"/>
  <c r="E525" i="1"/>
  <c r="W524" i="1"/>
  <c r="H524" i="1"/>
  <c r="G524" i="1"/>
  <c r="F524" i="1"/>
  <c r="E524" i="1"/>
  <c r="H523" i="1"/>
  <c r="W523" i="1" s="1"/>
  <c r="G523" i="1"/>
  <c r="F523" i="1"/>
  <c r="E523" i="1"/>
  <c r="W522" i="1"/>
  <c r="H522" i="1"/>
  <c r="G522" i="1"/>
  <c r="F522" i="1"/>
  <c r="E522" i="1"/>
  <c r="W521" i="1"/>
  <c r="H521" i="1"/>
  <c r="G521" i="1"/>
  <c r="F521" i="1"/>
  <c r="E521" i="1"/>
  <c r="W520" i="1"/>
  <c r="H520" i="1"/>
  <c r="G520" i="1"/>
  <c r="F520" i="1"/>
  <c r="E520" i="1"/>
  <c r="H519" i="1"/>
  <c r="W519" i="1" s="1"/>
  <c r="G519" i="1"/>
  <c r="F519" i="1"/>
  <c r="E519" i="1"/>
  <c r="H518" i="1"/>
  <c r="W518" i="1" s="1"/>
  <c r="G518" i="1"/>
  <c r="F518" i="1"/>
  <c r="E518" i="1"/>
  <c r="W517" i="1"/>
  <c r="H517" i="1"/>
  <c r="G517" i="1"/>
  <c r="F517" i="1"/>
  <c r="E517" i="1"/>
  <c r="W516" i="1"/>
  <c r="H516" i="1"/>
  <c r="G516" i="1"/>
  <c r="F516" i="1"/>
  <c r="E516" i="1"/>
  <c r="H515" i="1"/>
  <c r="W515" i="1" s="1"/>
  <c r="G515" i="1"/>
  <c r="F515" i="1"/>
  <c r="E515" i="1"/>
  <c r="H514" i="1"/>
  <c r="W514" i="1" s="1"/>
  <c r="G514" i="1"/>
  <c r="F514" i="1"/>
  <c r="E514" i="1"/>
  <c r="W513" i="1"/>
  <c r="H513" i="1"/>
  <c r="G513" i="1"/>
  <c r="F513" i="1"/>
  <c r="E513" i="1"/>
  <c r="W512" i="1"/>
  <c r="H512" i="1"/>
  <c r="G512" i="1"/>
  <c r="F512" i="1"/>
  <c r="E512" i="1"/>
  <c r="H511" i="1"/>
  <c r="W511" i="1" s="1"/>
  <c r="G511" i="1"/>
  <c r="F511" i="1"/>
  <c r="E511" i="1"/>
  <c r="W510" i="1"/>
  <c r="H510" i="1"/>
  <c r="G510" i="1"/>
  <c r="F510" i="1"/>
  <c r="E510" i="1"/>
  <c r="H509" i="1"/>
  <c r="W509" i="1" s="1"/>
  <c r="G509" i="1"/>
  <c r="F509" i="1"/>
  <c r="E509" i="1"/>
  <c r="W508" i="1"/>
  <c r="H508" i="1"/>
  <c r="G508" i="1"/>
  <c r="F508" i="1"/>
  <c r="E508" i="1"/>
  <c r="H507" i="1"/>
  <c r="W507" i="1" s="1"/>
  <c r="G507" i="1"/>
  <c r="F507" i="1"/>
  <c r="E507" i="1"/>
  <c r="W506" i="1"/>
  <c r="H506" i="1"/>
  <c r="G506" i="1"/>
  <c r="F506" i="1"/>
  <c r="E506" i="1"/>
  <c r="W505" i="1"/>
  <c r="H505" i="1"/>
  <c r="G505" i="1"/>
  <c r="F505" i="1"/>
  <c r="E505" i="1"/>
  <c r="W504" i="1"/>
  <c r="H504" i="1"/>
  <c r="G504" i="1"/>
  <c r="F504" i="1"/>
  <c r="E504" i="1"/>
  <c r="H503" i="1"/>
  <c r="W503" i="1" s="1"/>
  <c r="G503" i="1"/>
  <c r="F503" i="1"/>
  <c r="E503" i="1"/>
  <c r="H502" i="1"/>
  <c r="W502" i="1" s="1"/>
  <c r="G502" i="1"/>
  <c r="F502" i="1"/>
  <c r="E502" i="1"/>
  <c r="W501" i="1"/>
  <c r="H501" i="1"/>
  <c r="G501" i="1"/>
  <c r="F501" i="1"/>
  <c r="E501" i="1"/>
  <c r="W500" i="1"/>
  <c r="H500" i="1"/>
  <c r="G500" i="1"/>
  <c r="F500" i="1"/>
  <c r="E500" i="1"/>
  <c r="H499" i="1"/>
  <c r="W499" i="1" s="1"/>
  <c r="G499" i="1"/>
  <c r="F499" i="1"/>
  <c r="E499" i="1"/>
  <c r="H498" i="1"/>
  <c r="W498" i="1" s="1"/>
  <c r="G498" i="1"/>
  <c r="F498" i="1"/>
  <c r="E498" i="1"/>
  <c r="H497" i="1"/>
  <c r="W497" i="1" s="1"/>
  <c r="G497" i="1"/>
  <c r="F497" i="1"/>
  <c r="E497" i="1"/>
  <c r="W496" i="1"/>
  <c r="H496" i="1"/>
  <c r="G496" i="1"/>
  <c r="F496" i="1"/>
  <c r="E496" i="1"/>
  <c r="H495" i="1"/>
  <c r="W495" i="1" s="1"/>
  <c r="G495" i="1"/>
  <c r="F495" i="1"/>
  <c r="E495" i="1"/>
  <c r="W494" i="1"/>
  <c r="H494" i="1"/>
  <c r="G494" i="1"/>
  <c r="F494" i="1"/>
  <c r="E494" i="1"/>
  <c r="H493" i="1"/>
  <c r="W493" i="1" s="1"/>
  <c r="G493" i="1"/>
  <c r="F493" i="1"/>
  <c r="E493" i="1"/>
  <c r="W492" i="1"/>
  <c r="H492" i="1"/>
  <c r="G492" i="1"/>
  <c r="F492" i="1"/>
  <c r="E492" i="1"/>
  <c r="H491" i="1"/>
  <c r="W491" i="1" s="1"/>
  <c r="G491" i="1"/>
  <c r="F491" i="1"/>
  <c r="E491" i="1"/>
  <c r="W490" i="1"/>
  <c r="H490" i="1"/>
  <c r="G490" i="1"/>
  <c r="F490" i="1"/>
  <c r="E490" i="1"/>
  <c r="W489" i="1"/>
  <c r="H489" i="1"/>
  <c r="G489" i="1"/>
  <c r="F489" i="1"/>
  <c r="E489" i="1"/>
  <c r="W488" i="1"/>
  <c r="H488" i="1"/>
  <c r="G488" i="1"/>
  <c r="F488" i="1"/>
  <c r="E488" i="1"/>
  <c r="H487" i="1"/>
  <c r="W487" i="1" s="1"/>
  <c r="G487" i="1"/>
  <c r="F487" i="1"/>
  <c r="E487" i="1"/>
  <c r="H486" i="1"/>
  <c r="W486" i="1" s="1"/>
  <c r="G486" i="1"/>
  <c r="F486" i="1"/>
  <c r="E486" i="1"/>
  <c r="W485" i="1"/>
  <c r="H485" i="1"/>
  <c r="G485" i="1"/>
  <c r="F485" i="1"/>
  <c r="E485" i="1"/>
  <c r="W484" i="1"/>
  <c r="H484" i="1"/>
  <c r="G484" i="1"/>
  <c r="F484" i="1"/>
  <c r="E484" i="1"/>
  <c r="H483" i="1"/>
  <c r="W483" i="1" s="1"/>
  <c r="G483" i="1"/>
  <c r="F483" i="1"/>
  <c r="E483" i="1"/>
  <c r="H482" i="1"/>
  <c r="W482" i="1" s="1"/>
  <c r="G482" i="1"/>
  <c r="F482" i="1"/>
  <c r="E482" i="1"/>
  <c r="W481" i="1"/>
  <c r="H481" i="1"/>
  <c r="G481" i="1"/>
  <c r="F481" i="1"/>
  <c r="E481" i="1"/>
  <c r="W480" i="1"/>
  <c r="H480" i="1"/>
  <c r="G480" i="1"/>
  <c r="F480" i="1"/>
  <c r="E480" i="1"/>
  <c r="H479" i="1"/>
  <c r="W479" i="1" s="1"/>
  <c r="G479" i="1"/>
  <c r="F479" i="1"/>
  <c r="E479" i="1"/>
  <c r="W478" i="1"/>
  <c r="H478" i="1"/>
  <c r="G478" i="1"/>
  <c r="F478" i="1"/>
  <c r="E478" i="1"/>
  <c r="H477" i="1"/>
  <c r="W477" i="1" s="1"/>
  <c r="G477" i="1"/>
  <c r="F477" i="1"/>
  <c r="E477" i="1"/>
  <c r="W476" i="1"/>
  <c r="H476" i="1"/>
  <c r="G476" i="1"/>
  <c r="F476" i="1"/>
  <c r="E476" i="1"/>
  <c r="H475" i="1"/>
  <c r="W475" i="1" s="1"/>
  <c r="G475" i="1"/>
  <c r="F475" i="1"/>
  <c r="E475" i="1"/>
  <c r="W474" i="1"/>
  <c r="H474" i="1"/>
  <c r="G474" i="1"/>
  <c r="F474" i="1"/>
  <c r="E474" i="1"/>
  <c r="W473" i="1"/>
  <c r="H473" i="1"/>
  <c r="G473" i="1"/>
  <c r="F473" i="1"/>
  <c r="E473" i="1"/>
  <c r="W472" i="1"/>
  <c r="H472" i="1"/>
  <c r="G472" i="1"/>
  <c r="F472" i="1"/>
  <c r="E472" i="1"/>
  <c r="H471" i="1"/>
  <c r="W471" i="1" s="1"/>
  <c r="G471" i="1"/>
  <c r="F471" i="1"/>
  <c r="E471" i="1"/>
  <c r="H470" i="1"/>
  <c r="W470" i="1" s="1"/>
  <c r="G470" i="1"/>
  <c r="F470" i="1"/>
  <c r="E470" i="1"/>
  <c r="W469" i="1"/>
  <c r="H469" i="1"/>
  <c r="G469" i="1"/>
  <c r="F469" i="1"/>
  <c r="E469" i="1"/>
  <c r="W468" i="1"/>
  <c r="H468" i="1"/>
  <c r="G468" i="1"/>
  <c r="F468" i="1"/>
  <c r="E468" i="1"/>
  <c r="H467" i="1"/>
  <c r="W467" i="1" s="1"/>
  <c r="G467" i="1"/>
  <c r="F467" i="1"/>
  <c r="E467" i="1"/>
  <c r="H466" i="1"/>
  <c r="W466" i="1" s="1"/>
  <c r="G466" i="1"/>
  <c r="F466" i="1"/>
  <c r="E466" i="1"/>
  <c r="H465" i="1"/>
  <c r="W465" i="1" s="1"/>
  <c r="G465" i="1"/>
  <c r="F465" i="1"/>
  <c r="E465" i="1"/>
  <c r="W464" i="1"/>
  <c r="H464" i="1"/>
  <c r="G464" i="1"/>
  <c r="F464" i="1"/>
  <c r="E464" i="1"/>
  <c r="H463" i="1"/>
  <c r="W463" i="1" s="1"/>
  <c r="G463" i="1"/>
  <c r="F463" i="1"/>
  <c r="E463" i="1"/>
  <c r="W462" i="1"/>
  <c r="H462" i="1"/>
  <c r="G462" i="1"/>
  <c r="F462" i="1"/>
  <c r="E462" i="1"/>
  <c r="H461" i="1"/>
  <c r="W461" i="1" s="1"/>
  <c r="G461" i="1"/>
  <c r="F461" i="1"/>
  <c r="E461" i="1"/>
  <c r="W460" i="1"/>
  <c r="H460" i="1"/>
  <c r="G460" i="1"/>
  <c r="F460" i="1"/>
  <c r="E460" i="1"/>
  <c r="H459" i="1"/>
  <c r="W459" i="1" s="1"/>
  <c r="G459" i="1"/>
  <c r="F459" i="1"/>
  <c r="E459" i="1"/>
  <c r="W458" i="1"/>
  <c r="H458" i="1"/>
  <c r="G458" i="1"/>
  <c r="F458" i="1"/>
  <c r="E458" i="1"/>
  <c r="W457" i="1"/>
  <c r="H457" i="1"/>
  <c r="G457" i="1"/>
  <c r="F457" i="1"/>
  <c r="E457" i="1"/>
  <c r="W456" i="1"/>
  <c r="H456" i="1"/>
  <c r="G456" i="1"/>
  <c r="F456" i="1"/>
  <c r="E456" i="1"/>
  <c r="H455" i="1"/>
  <c r="W455" i="1" s="1"/>
  <c r="G455" i="1"/>
  <c r="F455" i="1"/>
  <c r="E455" i="1"/>
  <c r="H454" i="1"/>
  <c r="W454" i="1" s="1"/>
  <c r="G454" i="1"/>
  <c r="F454" i="1"/>
  <c r="E454" i="1"/>
  <c r="W453" i="1"/>
  <c r="H453" i="1"/>
  <c r="G453" i="1"/>
  <c r="F453" i="1"/>
  <c r="E453" i="1"/>
  <c r="W452" i="1"/>
  <c r="H452" i="1"/>
  <c r="G452" i="1"/>
  <c r="F452" i="1"/>
  <c r="E452" i="1"/>
  <c r="H451" i="1"/>
  <c r="W451" i="1" s="1"/>
  <c r="G451" i="1"/>
  <c r="F451" i="1"/>
  <c r="E451" i="1"/>
  <c r="W450" i="1"/>
  <c r="H450" i="1"/>
  <c r="G450" i="1"/>
  <c r="F450" i="1"/>
  <c r="E450" i="1"/>
  <c r="W449" i="1"/>
  <c r="H449" i="1"/>
  <c r="G449" i="1"/>
  <c r="F449" i="1"/>
  <c r="E449" i="1"/>
  <c r="W448" i="1"/>
  <c r="H448" i="1"/>
  <c r="G448" i="1"/>
  <c r="F448" i="1"/>
  <c r="E448" i="1"/>
  <c r="H447" i="1"/>
  <c r="W447" i="1" s="1"/>
  <c r="G447" i="1"/>
  <c r="F447" i="1"/>
  <c r="E447" i="1"/>
  <c r="H446" i="1"/>
  <c r="W446" i="1" s="1"/>
  <c r="G446" i="1"/>
  <c r="F446" i="1"/>
  <c r="E446" i="1"/>
  <c r="W445" i="1"/>
  <c r="H445" i="1"/>
  <c r="G445" i="1"/>
  <c r="F445" i="1"/>
  <c r="E445" i="1"/>
  <c r="W444" i="1"/>
  <c r="H444" i="1"/>
  <c r="G444" i="1"/>
  <c r="F444" i="1"/>
  <c r="E444" i="1"/>
  <c r="H443" i="1"/>
  <c r="W443" i="1" s="1"/>
  <c r="G443" i="1"/>
  <c r="F443" i="1"/>
  <c r="E443" i="1"/>
  <c r="H442" i="1"/>
  <c r="W442" i="1" s="1"/>
  <c r="G442" i="1"/>
  <c r="F442" i="1"/>
  <c r="E442" i="1"/>
  <c r="W441" i="1"/>
  <c r="H441" i="1"/>
  <c r="G441" i="1"/>
  <c r="F441" i="1"/>
  <c r="E441" i="1"/>
  <c r="W440" i="1"/>
  <c r="H440" i="1"/>
  <c r="G440" i="1"/>
  <c r="F440" i="1"/>
  <c r="E440" i="1"/>
  <c r="H439" i="1"/>
  <c r="W439" i="1" s="1"/>
  <c r="G439" i="1"/>
  <c r="F439" i="1"/>
  <c r="E439" i="1"/>
  <c r="H438" i="1"/>
  <c r="W438" i="1" s="1"/>
  <c r="G438" i="1"/>
  <c r="F438" i="1"/>
  <c r="E438" i="1"/>
  <c r="W437" i="1"/>
  <c r="H437" i="1"/>
  <c r="G437" i="1"/>
  <c r="F437" i="1"/>
  <c r="E437" i="1"/>
  <c r="W436" i="1"/>
  <c r="H436" i="1"/>
  <c r="G436" i="1"/>
  <c r="F436" i="1"/>
  <c r="E436" i="1"/>
  <c r="H435" i="1"/>
  <c r="W435" i="1" s="1"/>
  <c r="G435" i="1"/>
  <c r="F435" i="1"/>
  <c r="E435" i="1"/>
  <c r="W434" i="1"/>
  <c r="H434" i="1"/>
  <c r="G434" i="1"/>
  <c r="F434" i="1"/>
  <c r="E434" i="1"/>
  <c r="W433" i="1"/>
  <c r="H433" i="1"/>
  <c r="G433" i="1"/>
  <c r="F433" i="1"/>
  <c r="E433" i="1"/>
  <c r="W432" i="1"/>
  <c r="H432" i="1"/>
  <c r="G432" i="1"/>
  <c r="F432" i="1"/>
  <c r="E432" i="1"/>
  <c r="H431" i="1"/>
  <c r="W431" i="1" s="1"/>
  <c r="G431" i="1"/>
  <c r="F431" i="1"/>
  <c r="E431" i="1"/>
  <c r="H430" i="1"/>
  <c r="W430" i="1" s="1"/>
  <c r="G430" i="1"/>
  <c r="F430" i="1"/>
  <c r="E430" i="1"/>
  <c r="W429" i="1"/>
  <c r="H429" i="1"/>
  <c r="G429" i="1"/>
  <c r="F429" i="1"/>
  <c r="E429" i="1"/>
  <c r="W428" i="1"/>
  <c r="H428" i="1"/>
  <c r="G428" i="1"/>
  <c r="F428" i="1"/>
  <c r="E428" i="1"/>
  <c r="H427" i="1"/>
  <c r="W427" i="1" s="1"/>
  <c r="G427" i="1"/>
  <c r="F427" i="1"/>
  <c r="E427" i="1"/>
  <c r="H426" i="1"/>
  <c r="W426" i="1" s="1"/>
  <c r="G426" i="1"/>
  <c r="F426" i="1"/>
  <c r="E426" i="1"/>
  <c r="W425" i="1"/>
  <c r="H425" i="1"/>
  <c r="G425" i="1"/>
  <c r="F425" i="1"/>
  <c r="E425" i="1"/>
  <c r="W424" i="1"/>
  <c r="H424" i="1"/>
  <c r="G424" i="1"/>
  <c r="F424" i="1"/>
  <c r="E424" i="1"/>
  <c r="H423" i="1"/>
  <c r="W423" i="1" s="1"/>
  <c r="G423" i="1"/>
  <c r="F423" i="1"/>
  <c r="E423" i="1"/>
  <c r="H422" i="1"/>
  <c r="W422" i="1" s="1"/>
  <c r="G422" i="1"/>
  <c r="F422" i="1"/>
  <c r="E422" i="1"/>
  <c r="W421" i="1"/>
  <c r="H421" i="1"/>
  <c r="G421" i="1"/>
  <c r="F421" i="1"/>
  <c r="E421" i="1"/>
  <c r="W420" i="1"/>
  <c r="H420" i="1"/>
  <c r="G420" i="1"/>
  <c r="F420" i="1"/>
  <c r="E420" i="1"/>
  <c r="H419" i="1"/>
  <c r="W419" i="1" s="1"/>
  <c r="G419" i="1"/>
  <c r="F419" i="1"/>
  <c r="E419" i="1"/>
  <c r="W418" i="1"/>
  <c r="H418" i="1"/>
  <c r="G418" i="1"/>
  <c r="F418" i="1"/>
  <c r="E418" i="1"/>
  <c r="W417" i="1"/>
  <c r="H417" i="1"/>
  <c r="G417" i="1"/>
  <c r="F417" i="1"/>
  <c r="E417" i="1"/>
  <c r="W416" i="1"/>
  <c r="H416" i="1"/>
  <c r="G416" i="1"/>
  <c r="F416" i="1"/>
  <c r="E416" i="1"/>
  <c r="H415" i="1"/>
  <c r="W415" i="1" s="1"/>
  <c r="G415" i="1"/>
  <c r="F415" i="1"/>
  <c r="E415" i="1"/>
  <c r="H414" i="1"/>
  <c r="W414" i="1" s="1"/>
  <c r="G414" i="1"/>
  <c r="F414" i="1"/>
  <c r="E414" i="1"/>
  <c r="W413" i="1"/>
  <c r="H413" i="1"/>
  <c r="G413" i="1"/>
  <c r="F413" i="1"/>
  <c r="E413" i="1"/>
  <c r="W412" i="1"/>
  <c r="H412" i="1"/>
  <c r="G412" i="1"/>
  <c r="F412" i="1"/>
  <c r="E412" i="1"/>
  <c r="H411" i="1"/>
  <c r="W411" i="1" s="1"/>
  <c r="G411" i="1"/>
  <c r="F411" i="1"/>
  <c r="E411" i="1"/>
  <c r="H410" i="1"/>
  <c r="W410" i="1" s="1"/>
  <c r="G410" i="1"/>
  <c r="F410" i="1"/>
  <c r="E410" i="1"/>
  <c r="W409" i="1"/>
  <c r="H409" i="1"/>
  <c r="G409" i="1"/>
  <c r="F409" i="1"/>
  <c r="E409" i="1"/>
  <c r="W408" i="1"/>
  <c r="H408" i="1"/>
  <c r="G408" i="1"/>
  <c r="F408" i="1"/>
  <c r="E408" i="1"/>
  <c r="H407" i="1"/>
  <c r="W407" i="1" s="1"/>
  <c r="G407" i="1"/>
  <c r="F407" i="1"/>
  <c r="E407" i="1"/>
  <c r="H406" i="1"/>
  <c r="W406" i="1" s="1"/>
  <c r="G406" i="1"/>
  <c r="F406" i="1"/>
  <c r="E406" i="1"/>
  <c r="W405" i="1"/>
  <c r="H405" i="1"/>
  <c r="G405" i="1"/>
  <c r="F405" i="1"/>
  <c r="E405" i="1"/>
  <c r="W404" i="1"/>
  <c r="H404" i="1"/>
  <c r="G404" i="1"/>
  <c r="F404" i="1"/>
  <c r="E404" i="1"/>
  <c r="H403" i="1"/>
  <c r="W403" i="1" s="1"/>
  <c r="G403" i="1"/>
  <c r="F403" i="1"/>
  <c r="E403" i="1"/>
  <c r="W402" i="1"/>
  <c r="H402" i="1"/>
  <c r="G402" i="1"/>
  <c r="F402" i="1"/>
  <c r="E402" i="1"/>
  <c r="W401" i="1"/>
  <c r="H401" i="1"/>
  <c r="G401" i="1"/>
  <c r="F401" i="1"/>
  <c r="E401" i="1"/>
  <c r="W400" i="1"/>
  <c r="H400" i="1"/>
  <c r="G400" i="1"/>
  <c r="F400" i="1"/>
  <c r="E400" i="1"/>
  <c r="H399" i="1"/>
  <c r="W399" i="1" s="1"/>
  <c r="G399" i="1"/>
  <c r="F399" i="1"/>
  <c r="E399" i="1"/>
  <c r="H398" i="1"/>
  <c r="W398" i="1" s="1"/>
  <c r="G398" i="1"/>
  <c r="F398" i="1"/>
  <c r="E398" i="1"/>
  <c r="W397" i="1"/>
  <c r="H397" i="1"/>
  <c r="G397" i="1"/>
  <c r="F397" i="1"/>
  <c r="E397" i="1"/>
  <c r="W396" i="1"/>
  <c r="H396" i="1"/>
  <c r="G396" i="1"/>
  <c r="F396" i="1"/>
  <c r="E396" i="1"/>
  <c r="H395" i="1"/>
  <c r="W395" i="1" s="1"/>
  <c r="G395" i="1"/>
  <c r="F395" i="1"/>
  <c r="E395" i="1"/>
  <c r="H394" i="1"/>
  <c r="W394" i="1" s="1"/>
  <c r="G394" i="1"/>
  <c r="F394" i="1"/>
  <c r="E394" i="1"/>
  <c r="W393" i="1"/>
  <c r="H393" i="1"/>
  <c r="G393" i="1"/>
  <c r="F393" i="1"/>
  <c r="E393" i="1"/>
  <c r="W392" i="1"/>
  <c r="H392" i="1"/>
  <c r="G392" i="1"/>
  <c r="F392" i="1"/>
  <c r="E392" i="1"/>
  <c r="H391" i="1"/>
  <c r="W391" i="1" s="1"/>
  <c r="G391" i="1"/>
  <c r="F391" i="1"/>
  <c r="E391" i="1"/>
  <c r="H390" i="1"/>
  <c r="W390" i="1" s="1"/>
  <c r="G390" i="1"/>
  <c r="F390" i="1"/>
  <c r="E390" i="1"/>
  <c r="W389" i="1"/>
  <c r="H389" i="1"/>
  <c r="G389" i="1"/>
  <c r="F389" i="1"/>
  <c r="E389" i="1"/>
  <c r="W388" i="1"/>
  <c r="H388" i="1"/>
  <c r="G388" i="1"/>
  <c r="F388" i="1"/>
  <c r="E388" i="1"/>
  <c r="H387" i="1"/>
  <c r="W387" i="1" s="1"/>
  <c r="G387" i="1"/>
  <c r="F387" i="1"/>
  <c r="E387" i="1"/>
  <c r="W386" i="1"/>
  <c r="H386" i="1"/>
  <c r="G386" i="1"/>
  <c r="F386" i="1"/>
  <c r="E386" i="1"/>
  <c r="W385" i="1"/>
  <c r="H385" i="1"/>
  <c r="G385" i="1"/>
  <c r="F385" i="1"/>
  <c r="E385" i="1"/>
  <c r="W384" i="1"/>
  <c r="H384" i="1"/>
  <c r="G384" i="1"/>
  <c r="F384" i="1"/>
  <c r="E384" i="1"/>
  <c r="H383" i="1"/>
  <c r="W383" i="1" s="1"/>
  <c r="G383" i="1"/>
  <c r="F383" i="1"/>
  <c r="E383" i="1"/>
  <c r="H382" i="1"/>
  <c r="W382" i="1" s="1"/>
  <c r="G382" i="1"/>
  <c r="F382" i="1"/>
  <c r="E382" i="1"/>
  <c r="W381" i="1"/>
  <c r="H381" i="1"/>
  <c r="G381" i="1"/>
  <c r="F381" i="1"/>
  <c r="E381" i="1"/>
  <c r="W380" i="1"/>
  <c r="H380" i="1"/>
  <c r="G380" i="1"/>
  <c r="F380" i="1"/>
  <c r="E380" i="1"/>
  <c r="H379" i="1"/>
  <c r="W379" i="1" s="1"/>
  <c r="G379" i="1"/>
  <c r="F379" i="1"/>
  <c r="E379" i="1"/>
  <c r="H378" i="1"/>
  <c r="W378" i="1" s="1"/>
  <c r="G378" i="1"/>
  <c r="F378" i="1"/>
  <c r="E378" i="1"/>
  <c r="W377" i="1"/>
  <c r="H377" i="1"/>
  <c r="G377" i="1"/>
  <c r="F377" i="1"/>
  <c r="E377" i="1"/>
  <c r="W376" i="1"/>
  <c r="H376" i="1"/>
  <c r="G376" i="1"/>
  <c r="F376" i="1"/>
  <c r="E376" i="1"/>
  <c r="H375" i="1"/>
  <c r="W375" i="1" s="1"/>
  <c r="G375" i="1"/>
  <c r="F375" i="1"/>
  <c r="E375" i="1"/>
  <c r="H374" i="1"/>
  <c r="W374" i="1" s="1"/>
  <c r="G374" i="1"/>
  <c r="F374" i="1"/>
  <c r="E374" i="1"/>
  <c r="W373" i="1"/>
  <c r="H373" i="1"/>
  <c r="G373" i="1"/>
  <c r="F373" i="1"/>
  <c r="E373" i="1"/>
  <c r="W372" i="1"/>
  <c r="H372" i="1"/>
  <c r="G372" i="1"/>
  <c r="F372" i="1"/>
  <c r="E372" i="1"/>
  <c r="H371" i="1"/>
  <c r="W371" i="1" s="1"/>
  <c r="G371" i="1"/>
  <c r="F371" i="1"/>
  <c r="E371" i="1"/>
  <c r="W370" i="1"/>
  <c r="H370" i="1"/>
  <c r="G370" i="1"/>
  <c r="F370" i="1"/>
  <c r="E370" i="1"/>
  <c r="W369" i="1"/>
  <c r="H369" i="1"/>
  <c r="G369" i="1"/>
  <c r="F369" i="1"/>
  <c r="E369" i="1"/>
  <c r="W368" i="1"/>
  <c r="H368" i="1"/>
  <c r="G368" i="1"/>
  <c r="F368" i="1"/>
  <c r="E368" i="1"/>
  <c r="H367" i="1"/>
  <c r="W367" i="1" s="1"/>
  <c r="G367" i="1"/>
  <c r="F367" i="1"/>
  <c r="E367" i="1"/>
  <c r="H366" i="1"/>
  <c r="W366" i="1" s="1"/>
  <c r="G366" i="1"/>
  <c r="F366" i="1"/>
  <c r="E366" i="1"/>
  <c r="W365" i="1"/>
  <c r="H365" i="1"/>
  <c r="G365" i="1"/>
  <c r="F365" i="1"/>
  <c r="E365" i="1"/>
  <c r="W364" i="1"/>
  <c r="H364" i="1"/>
  <c r="G364" i="1"/>
  <c r="F364" i="1"/>
  <c r="E364" i="1"/>
  <c r="H363" i="1"/>
  <c r="W363" i="1" s="1"/>
  <c r="G363" i="1"/>
  <c r="F363" i="1"/>
  <c r="E363" i="1"/>
  <c r="H362" i="1"/>
  <c r="W362" i="1" s="1"/>
  <c r="G362" i="1"/>
  <c r="F362" i="1"/>
  <c r="E362" i="1"/>
  <c r="W361" i="1"/>
  <c r="H361" i="1"/>
  <c r="G361" i="1"/>
  <c r="F361" i="1"/>
  <c r="E361" i="1"/>
  <c r="W360" i="1"/>
  <c r="H360" i="1"/>
  <c r="G360" i="1"/>
  <c r="F360" i="1"/>
  <c r="E360" i="1"/>
  <c r="H359" i="1"/>
  <c r="W359" i="1" s="1"/>
  <c r="G359" i="1"/>
  <c r="F359" i="1"/>
  <c r="E359" i="1"/>
  <c r="H358" i="1"/>
  <c r="W358" i="1" s="1"/>
  <c r="G358" i="1"/>
  <c r="F358" i="1"/>
  <c r="E358" i="1"/>
  <c r="W357" i="1"/>
  <c r="H357" i="1"/>
  <c r="G357" i="1"/>
  <c r="F357" i="1"/>
  <c r="E357" i="1"/>
  <c r="W356" i="1"/>
  <c r="H356" i="1"/>
  <c r="G356" i="1"/>
  <c r="F356" i="1"/>
  <c r="E356" i="1"/>
  <c r="H355" i="1"/>
  <c r="W355" i="1" s="1"/>
  <c r="G355" i="1"/>
  <c r="F355" i="1"/>
  <c r="E355" i="1"/>
  <c r="W354" i="1"/>
  <c r="H354" i="1"/>
  <c r="G354" i="1"/>
  <c r="F354" i="1"/>
  <c r="E354" i="1"/>
  <c r="W353" i="1"/>
  <c r="H353" i="1"/>
  <c r="G353" i="1"/>
  <c r="F353" i="1"/>
  <c r="E353" i="1"/>
  <c r="W352" i="1"/>
  <c r="H352" i="1"/>
  <c r="G352" i="1"/>
  <c r="F352" i="1"/>
  <c r="E352" i="1"/>
  <c r="H351" i="1"/>
  <c r="W351" i="1" s="1"/>
  <c r="G351" i="1"/>
  <c r="F351" i="1"/>
  <c r="E351" i="1"/>
  <c r="H350" i="1"/>
  <c r="W350" i="1" s="1"/>
  <c r="G350" i="1"/>
  <c r="F350" i="1"/>
  <c r="E350" i="1"/>
  <c r="W349" i="1"/>
  <c r="H349" i="1"/>
  <c r="G349" i="1"/>
  <c r="F349" i="1"/>
  <c r="E349" i="1"/>
  <c r="W348" i="1"/>
  <c r="H348" i="1"/>
  <c r="G348" i="1"/>
  <c r="F348" i="1"/>
  <c r="E348" i="1"/>
  <c r="H347" i="1"/>
  <c r="W347" i="1" s="1"/>
  <c r="G347" i="1"/>
  <c r="F347" i="1"/>
  <c r="E347" i="1"/>
  <c r="H346" i="1"/>
  <c r="W346" i="1" s="1"/>
  <c r="G346" i="1"/>
  <c r="F346" i="1"/>
  <c r="E346" i="1"/>
  <c r="W345" i="1"/>
  <c r="H345" i="1"/>
  <c r="G345" i="1"/>
  <c r="F345" i="1"/>
  <c r="E345" i="1"/>
  <c r="W344" i="1"/>
  <c r="H344" i="1"/>
  <c r="G344" i="1"/>
  <c r="F344" i="1"/>
  <c r="E344" i="1"/>
  <c r="H343" i="1"/>
  <c r="W343" i="1" s="1"/>
  <c r="G343" i="1"/>
  <c r="F343" i="1"/>
  <c r="E343" i="1"/>
  <c r="H342" i="1"/>
  <c r="W342" i="1" s="1"/>
  <c r="G342" i="1"/>
  <c r="F342" i="1"/>
  <c r="E342" i="1"/>
  <c r="W341" i="1"/>
  <c r="H341" i="1"/>
  <c r="G341" i="1"/>
  <c r="F341" i="1"/>
  <c r="E341" i="1"/>
  <c r="W340" i="1"/>
  <c r="H340" i="1"/>
  <c r="G340" i="1"/>
  <c r="F340" i="1"/>
  <c r="E340" i="1"/>
  <c r="H339" i="1"/>
  <c r="W339" i="1" s="1"/>
  <c r="G339" i="1"/>
  <c r="F339" i="1"/>
  <c r="E339" i="1"/>
  <c r="W338" i="1"/>
  <c r="H338" i="1"/>
  <c r="G338" i="1"/>
  <c r="F338" i="1"/>
  <c r="E338" i="1"/>
  <c r="W337" i="1"/>
  <c r="H337" i="1"/>
  <c r="G337" i="1"/>
  <c r="F337" i="1"/>
  <c r="E337" i="1"/>
  <c r="W336" i="1"/>
  <c r="H336" i="1"/>
  <c r="G336" i="1"/>
  <c r="F336" i="1"/>
  <c r="E336" i="1"/>
  <c r="H335" i="1"/>
  <c r="W335" i="1" s="1"/>
  <c r="G335" i="1"/>
  <c r="F335" i="1"/>
  <c r="E335" i="1"/>
  <c r="H334" i="1"/>
  <c r="W334" i="1" s="1"/>
  <c r="G334" i="1"/>
  <c r="F334" i="1"/>
  <c r="E334" i="1"/>
  <c r="W333" i="1"/>
  <c r="H333" i="1"/>
  <c r="G333" i="1"/>
  <c r="F333" i="1"/>
  <c r="E333" i="1"/>
  <c r="W332" i="1"/>
  <c r="H332" i="1"/>
  <c r="G332" i="1"/>
  <c r="F332" i="1"/>
  <c r="E332" i="1"/>
  <c r="H331" i="1"/>
  <c r="W331" i="1" s="1"/>
  <c r="G331" i="1"/>
  <c r="F331" i="1"/>
  <c r="E331" i="1"/>
  <c r="H330" i="1"/>
  <c r="W330" i="1" s="1"/>
  <c r="G330" i="1"/>
  <c r="F330" i="1"/>
  <c r="E330" i="1"/>
  <c r="W329" i="1"/>
  <c r="H329" i="1"/>
  <c r="G329" i="1"/>
  <c r="F329" i="1"/>
  <c r="E329" i="1"/>
  <c r="W328" i="1"/>
  <c r="H328" i="1"/>
  <c r="G328" i="1"/>
  <c r="F328" i="1"/>
  <c r="E328" i="1"/>
  <c r="H327" i="1"/>
  <c r="W327" i="1" s="1"/>
  <c r="G327" i="1"/>
  <c r="F327" i="1"/>
  <c r="E327" i="1"/>
  <c r="H326" i="1"/>
  <c r="W326" i="1" s="1"/>
  <c r="G326" i="1"/>
  <c r="F326" i="1"/>
  <c r="E326" i="1"/>
  <c r="W325" i="1"/>
  <c r="H325" i="1"/>
  <c r="G325" i="1"/>
  <c r="F325" i="1"/>
  <c r="E325" i="1"/>
  <c r="W324" i="1"/>
  <c r="H324" i="1"/>
  <c r="G324" i="1"/>
  <c r="F324" i="1"/>
  <c r="E324" i="1"/>
  <c r="H323" i="1"/>
  <c r="W323" i="1" s="1"/>
  <c r="G323" i="1"/>
  <c r="F323" i="1"/>
  <c r="E323" i="1"/>
  <c r="W322" i="1"/>
  <c r="H322" i="1"/>
  <c r="G322" i="1"/>
  <c r="F322" i="1"/>
  <c r="E322" i="1"/>
  <c r="W321" i="1"/>
  <c r="H321" i="1"/>
  <c r="G321" i="1"/>
  <c r="F321" i="1"/>
  <c r="E321" i="1"/>
  <c r="W320" i="1"/>
  <c r="H320" i="1"/>
  <c r="G320" i="1"/>
  <c r="F320" i="1"/>
  <c r="E320" i="1"/>
  <c r="H319" i="1"/>
  <c r="W319" i="1" s="1"/>
  <c r="G319" i="1"/>
  <c r="F319" i="1"/>
  <c r="E319" i="1"/>
  <c r="H318" i="1"/>
  <c r="W318" i="1" s="1"/>
  <c r="G318" i="1"/>
  <c r="F318" i="1"/>
  <c r="E318" i="1"/>
  <c r="W317" i="1"/>
  <c r="H317" i="1"/>
  <c r="G317" i="1"/>
  <c r="F317" i="1"/>
  <c r="E317" i="1"/>
  <c r="W316" i="1"/>
  <c r="H316" i="1"/>
  <c r="G316" i="1"/>
  <c r="F316" i="1"/>
  <c r="E316" i="1"/>
  <c r="H315" i="1"/>
  <c r="W315" i="1" s="1"/>
  <c r="G315" i="1"/>
  <c r="F315" i="1"/>
  <c r="E315" i="1"/>
  <c r="H314" i="1"/>
  <c r="W314" i="1" s="1"/>
  <c r="G314" i="1"/>
  <c r="F314" i="1"/>
  <c r="E314" i="1"/>
  <c r="W313" i="1"/>
  <c r="H313" i="1"/>
  <c r="G313" i="1"/>
  <c r="F313" i="1"/>
  <c r="E313" i="1"/>
  <c r="W312" i="1"/>
  <c r="H312" i="1"/>
  <c r="G312" i="1"/>
  <c r="F312" i="1"/>
  <c r="E312" i="1"/>
  <c r="H311" i="1"/>
  <c r="W311" i="1" s="1"/>
  <c r="G311" i="1"/>
  <c r="F311" i="1"/>
  <c r="E311" i="1"/>
  <c r="H310" i="1"/>
  <c r="W310" i="1" s="1"/>
  <c r="G310" i="1"/>
  <c r="F310" i="1"/>
  <c r="E310" i="1"/>
  <c r="W309" i="1"/>
  <c r="H309" i="1"/>
  <c r="G309" i="1"/>
  <c r="F309" i="1"/>
  <c r="E309" i="1"/>
  <c r="W308" i="1"/>
  <c r="H308" i="1"/>
  <c r="G308" i="1"/>
  <c r="F308" i="1"/>
  <c r="E308" i="1"/>
  <c r="H307" i="1"/>
  <c r="W307" i="1" s="1"/>
  <c r="G307" i="1"/>
  <c r="F307" i="1"/>
  <c r="E307" i="1"/>
  <c r="W306" i="1"/>
  <c r="H306" i="1"/>
  <c r="G306" i="1"/>
  <c r="F306" i="1"/>
  <c r="E306" i="1"/>
  <c r="W305" i="1"/>
  <c r="H305" i="1"/>
  <c r="G305" i="1"/>
  <c r="F305" i="1"/>
  <c r="E305" i="1"/>
  <c r="W304" i="1"/>
  <c r="H304" i="1"/>
  <c r="G304" i="1"/>
  <c r="F304" i="1"/>
  <c r="E304" i="1"/>
  <c r="H303" i="1"/>
  <c r="W303" i="1" s="1"/>
  <c r="G303" i="1"/>
  <c r="F303" i="1"/>
  <c r="E303" i="1"/>
  <c r="H302" i="1"/>
  <c r="W302" i="1" s="1"/>
  <c r="G302" i="1"/>
  <c r="F302" i="1"/>
  <c r="E302" i="1"/>
  <c r="W301" i="1"/>
  <c r="H301" i="1"/>
  <c r="G301" i="1"/>
  <c r="F301" i="1"/>
  <c r="E301" i="1"/>
  <c r="W300" i="1"/>
  <c r="H300" i="1"/>
  <c r="G300" i="1"/>
  <c r="F300" i="1"/>
  <c r="E300" i="1"/>
  <c r="H299" i="1"/>
  <c r="W299" i="1" s="1"/>
  <c r="G299" i="1"/>
  <c r="F299" i="1"/>
  <c r="E299" i="1"/>
  <c r="H298" i="1"/>
  <c r="W298" i="1" s="1"/>
  <c r="G298" i="1"/>
  <c r="F298" i="1"/>
  <c r="E298" i="1"/>
  <c r="W297" i="1"/>
  <c r="H297" i="1"/>
  <c r="G297" i="1"/>
  <c r="F297" i="1"/>
  <c r="E297" i="1"/>
  <c r="W296" i="1"/>
  <c r="H296" i="1"/>
  <c r="G296" i="1"/>
  <c r="F296" i="1"/>
  <c r="E296" i="1"/>
  <c r="H295" i="1"/>
  <c r="W295" i="1" s="1"/>
  <c r="G295" i="1"/>
  <c r="F295" i="1"/>
  <c r="E295" i="1"/>
  <c r="H294" i="1"/>
  <c r="W294" i="1" s="1"/>
  <c r="G294" i="1"/>
  <c r="F294" i="1"/>
  <c r="E294" i="1"/>
  <c r="W293" i="1"/>
  <c r="H293" i="1"/>
  <c r="G293" i="1"/>
  <c r="F293" i="1"/>
  <c r="E293" i="1"/>
  <c r="W292" i="1"/>
  <c r="H292" i="1"/>
  <c r="G292" i="1"/>
  <c r="F292" i="1"/>
  <c r="E292" i="1"/>
  <c r="H291" i="1"/>
  <c r="W291" i="1" s="1"/>
  <c r="G291" i="1"/>
  <c r="F291" i="1"/>
  <c r="E291" i="1"/>
  <c r="W290" i="1"/>
  <c r="H290" i="1"/>
  <c r="G290" i="1"/>
  <c r="F290" i="1"/>
  <c r="E290" i="1"/>
  <c r="W289" i="1"/>
  <c r="H289" i="1"/>
  <c r="G289" i="1"/>
  <c r="F289" i="1"/>
  <c r="E289" i="1"/>
  <c r="W288" i="1"/>
  <c r="H288" i="1"/>
  <c r="G288" i="1"/>
  <c r="F288" i="1"/>
  <c r="E288" i="1"/>
  <c r="H287" i="1"/>
  <c r="W287" i="1" s="1"/>
  <c r="G287" i="1"/>
  <c r="F287" i="1"/>
  <c r="E287" i="1"/>
  <c r="H286" i="1"/>
  <c r="W286" i="1" s="1"/>
  <c r="G286" i="1"/>
  <c r="F286" i="1"/>
  <c r="E286" i="1"/>
  <c r="W285" i="1"/>
  <c r="H285" i="1"/>
  <c r="G285" i="1"/>
  <c r="F285" i="1"/>
  <c r="E285" i="1"/>
  <c r="W284" i="1"/>
  <c r="H284" i="1"/>
  <c r="G284" i="1"/>
  <c r="F284" i="1"/>
  <c r="E284" i="1"/>
  <c r="H283" i="1"/>
  <c r="W283" i="1" s="1"/>
  <c r="G283" i="1"/>
  <c r="F283" i="1"/>
  <c r="E283" i="1"/>
  <c r="H282" i="1"/>
  <c r="W282" i="1" s="1"/>
  <c r="G282" i="1"/>
  <c r="F282" i="1"/>
  <c r="E282" i="1"/>
  <c r="W281" i="1"/>
  <c r="H281" i="1"/>
  <c r="G281" i="1"/>
  <c r="F281" i="1"/>
  <c r="E281" i="1"/>
  <c r="W280" i="1"/>
  <c r="H280" i="1"/>
  <c r="G280" i="1"/>
  <c r="F280" i="1"/>
  <c r="E280" i="1"/>
  <c r="H279" i="1"/>
  <c r="W279" i="1" s="1"/>
  <c r="G279" i="1"/>
  <c r="F279" i="1"/>
  <c r="E279" i="1"/>
  <c r="H278" i="1"/>
  <c r="W278" i="1" s="1"/>
  <c r="G278" i="1"/>
  <c r="F278" i="1"/>
  <c r="E278" i="1"/>
  <c r="W277" i="1"/>
  <c r="H277" i="1"/>
  <c r="G277" i="1"/>
  <c r="F277" i="1"/>
  <c r="E277" i="1"/>
  <c r="W276" i="1"/>
  <c r="H276" i="1"/>
  <c r="G276" i="1"/>
  <c r="F276" i="1"/>
  <c r="E276" i="1"/>
  <c r="H275" i="1"/>
  <c r="W275" i="1" s="1"/>
  <c r="G275" i="1"/>
  <c r="F275" i="1"/>
  <c r="E275" i="1"/>
  <c r="W274" i="1"/>
  <c r="H274" i="1"/>
  <c r="G274" i="1"/>
  <c r="F274" i="1"/>
  <c r="E274" i="1"/>
  <c r="W273" i="1"/>
  <c r="H273" i="1"/>
  <c r="G273" i="1"/>
  <c r="F273" i="1"/>
  <c r="E273" i="1"/>
  <c r="W272" i="1"/>
  <c r="H272" i="1"/>
  <c r="G272" i="1"/>
  <c r="F272" i="1"/>
  <c r="E272" i="1"/>
  <c r="H271" i="1"/>
  <c r="W271" i="1" s="1"/>
  <c r="G271" i="1"/>
  <c r="F271" i="1"/>
  <c r="E271" i="1"/>
  <c r="H270" i="1"/>
  <c r="W270" i="1" s="1"/>
  <c r="G270" i="1"/>
  <c r="F270" i="1"/>
  <c r="E270" i="1"/>
  <c r="W269" i="1"/>
  <c r="H269" i="1"/>
  <c r="G269" i="1"/>
  <c r="F269" i="1"/>
  <c r="E269" i="1"/>
  <c r="W268" i="1"/>
  <c r="H268" i="1"/>
  <c r="G268" i="1"/>
  <c r="F268" i="1"/>
  <c r="E268" i="1"/>
  <c r="H267" i="1"/>
  <c r="W267" i="1" s="1"/>
  <c r="G267" i="1"/>
  <c r="F267" i="1"/>
  <c r="E267" i="1"/>
  <c r="H266" i="1"/>
  <c r="W266" i="1" s="1"/>
  <c r="G266" i="1"/>
  <c r="F266" i="1"/>
  <c r="E266" i="1"/>
  <c r="W265" i="1"/>
  <c r="H265" i="1"/>
  <c r="G265" i="1"/>
  <c r="F265" i="1"/>
  <c r="E265" i="1"/>
  <c r="W264" i="1"/>
  <c r="H264" i="1"/>
  <c r="G264" i="1"/>
  <c r="F264" i="1"/>
  <c r="E264" i="1"/>
  <c r="H263" i="1"/>
  <c r="W263" i="1" s="1"/>
  <c r="G263" i="1"/>
  <c r="F263" i="1"/>
  <c r="E263" i="1"/>
  <c r="H262" i="1"/>
  <c r="W262" i="1" s="1"/>
  <c r="G262" i="1"/>
  <c r="F262" i="1"/>
  <c r="E262" i="1"/>
  <c r="W261" i="1"/>
  <c r="H261" i="1"/>
  <c r="G261" i="1"/>
  <c r="F261" i="1"/>
  <c r="E261" i="1"/>
  <c r="W260" i="1"/>
  <c r="H260" i="1"/>
  <c r="G260" i="1"/>
  <c r="F260" i="1"/>
  <c r="E260" i="1"/>
  <c r="H259" i="1"/>
  <c r="W259" i="1" s="1"/>
  <c r="G259" i="1"/>
  <c r="F259" i="1"/>
  <c r="E259" i="1"/>
  <c r="W258" i="1"/>
  <c r="H258" i="1"/>
  <c r="G258" i="1"/>
  <c r="F258" i="1"/>
  <c r="E258" i="1"/>
  <c r="W257" i="1"/>
  <c r="H257" i="1"/>
  <c r="G257" i="1"/>
  <c r="F257" i="1"/>
  <c r="E257" i="1"/>
  <c r="W256" i="1"/>
  <c r="H256" i="1"/>
  <c r="G256" i="1"/>
  <c r="F256" i="1"/>
  <c r="E256" i="1"/>
  <c r="H255" i="1"/>
  <c r="W255" i="1" s="1"/>
  <c r="G255" i="1"/>
  <c r="F255" i="1"/>
  <c r="E255" i="1"/>
  <c r="H254" i="1"/>
  <c r="W254" i="1" s="1"/>
  <c r="G254" i="1"/>
  <c r="F254" i="1"/>
  <c r="E254" i="1"/>
  <c r="W253" i="1"/>
  <c r="H253" i="1"/>
  <c r="G253" i="1"/>
  <c r="F253" i="1"/>
  <c r="E253" i="1"/>
  <c r="W252" i="1"/>
  <c r="H252" i="1"/>
  <c r="G252" i="1"/>
  <c r="F252" i="1"/>
  <c r="E252" i="1"/>
  <c r="H251" i="1"/>
  <c r="W251" i="1" s="1"/>
  <c r="G251" i="1"/>
  <c r="F251" i="1"/>
  <c r="E251" i="1"/>
  <c r="H250" i="1"/>
  <c r="W250" i="1" s="1"/>
  <c r="G250" i="1"/>
  <c r="F250" i="1"/>
  <c r="E250" i="1"/>
  <c r="W249" i="1"/>
  <c r="H249" i="1"/>
  <c r="G249" i="1"/>
  <c r="F249" i="1"/>
  <c r="E249" i="1"/>
  <c r="W248" i="1"/>
  <c r="H248" i="1"/>
  <c r="G248" i="1"/>
  <c r="F248" i="1"/>
  <c r="E248" i="1"/>
  <c r="H247" i="1"/>
  <c r="W247" i="1" s="1"/>
  <c r="G247" i="1"/>
  <c r="F247" i="1"/>
  <c r="E247" i="1"/>
  <c r="H246" i="1"/>
  <c r="W246" i="1" s="1"/>
  <c r="G246" i="1"/>
  <c r="F246" i="1"/>
  <c r="E246" i="1"/>
  <c r="W245" i="1"/>
  <c r="H245" i="1"/>
  <c r="G245" i="1"/>
  <c r="F245" i="1"/>
  <c r="E245" i="1"/>
  <c r="W244" i="1"/>
  <c r="H244" i="1"/>
  <c r="G244" i="1"/>
  <c r="F244" i="1"/>
  <c r="E244" i="1"/>
  <c r="H243" i="1"/>
  <c r="W243" i="1" s="1"/>
  <c r="G243" i="1"/>
  <c r="F243" i="1"/>
  <c r="E243" i="1"/>
  <c r="W242" i="1"/>
  <c r="H242" i="1"/>
  <c r="G242" i="1"/>
  <c r="F242" i="1"/>
  <c r="E242" i="1"/>
  <c r="W241" i="1"/>
  <c r="H241" i="1"/>
  <c r="G241" i="1"/>
  <c r="F241" i="1"/>
  <c r="E241" i="1"/>
  <c r="W240" i="1"/>
  <c r="H240" i="1"/>
  <c r="G240" i="1"/>
  <c r="F240" i="1"/>
  <c r="E240" i="1"/>
  <c r="H239" i="1"/>
  <c r="W239" i="1" s="1"/>
  <c r="G239" i="1"/>
  <c r="F239" i="1"/>
  <c r="E239" i="1"/>
  <c r="H238" i="1"/>
  <c r="W238" i="1" s="1"/>
  <c r="G238" i="1"/>
  <c r="F238" i="1"/>
  <c r="E238" i="1"/>
  <c r="W237" i="1"/>
  <c r="H237" i="1"/>
  <c r="G237" i="1"/>
  <c r="F237" i="1"/>
  <c r="E237" i="1"/>
  <c r="W236" i="1"/>
  <c r="H236" i="1"/>
  <c r="G236" i="1"/>
  <c r="F236" i="1"/>
  <c r="E236" i="1"/>
  <c r="H235" i="1"/>
  <c r="W235" i="1" s="1"/>
  <c r="G235" i="1"/>
  <c r="F235" i="1"/>
  <c r="E235" i="1"/>
  <c r="H234" i="1"/>
  <c r="W234" i="1" s="1"/>
  <c r="G234" i="1"/>
  <c r="F234" i="1"/>
  <c r="E234" i="1"/>
  <c r="W233" i="1"/>
  <c r="H233" i="1"/>
  <c r="G233" i="1"/>
  <c r="F233" i="1"/>
  <c r="E233" i="1"/>
  <c r="W232" i="1"/>
  <c r="H232" i="1"/>
  <c r="G232" i="1"/>
  <c r="F232" i="1"/>
  <c r="E232" i="1"/>
  <c r="H231" i="1"/>
  <c r="W231" i="1" s="1"/>
  <c r="G231" i="1"/>
  <c r="F231" i="1"/>
  <c r="E231" i="1"/>
  <c r="H230" i="1"/>
  <c r="W230" i="1" s="1"/>
  <c r="G230" i="1"/>
  <c r="F230" i="1"/>
  <c r="E230" i="1"/>
  <c r="W229" i="1"/>
  <c r="H229" i="1"/>
  <c r="G229" i="1"/>
  <c r="F229" i="1"/>
  <c r="E229" i="1"/>
  <c r="W228" i="1"/>
  <c r="H228" i="1"/>
  <c r="G228" i="1"/>
  <c r="F228" i="1"/>
  <c r="E228" i="1"/>
  <c r="H227" i="1"/>
  <c r="W227" i="1" s="1"/>
  <c r="G227" i="1"/>
  <c r="F227" i="1"/>
  <c r="E227" i="1"/>
  <c r="W226" i="1"/>
  <c r="H226" i="1"/>
  <c r="G226" i="1"/>
  <c r="F226" i="1"/>
  <c r="E226" i="1"/>
  <c r="W225" i="1"/>
  <c r="H225" i="1"/>
  <c r="G225" i="1"/>
  <c r="F225" i="1"/>
  <c r="E225" i="1"/>
  <c r="W224" i="1"/>
  <c r="H224" i="1"/>
  <c r="G224" i="1"/>
  <c r="F224" i="1"/>
  <c r="E224" i="1"/>
  <c r="H223" i="1"/>
  <c r="W223" i="1" s="1"/>
  <c r="G223" i="1"/>
  <c r="F223" i="1"/>
  <c r="E223" i="1"/>
  <c r="H222" i="1"/>
  <c r="W222" i="1" s="1"/>
  <c r="G222" i="1"/>
  <c r="F222" i="1"/>
  <c r="E222" i="1"/>
  <c r="W221" i="1"/>
  <c r="H221" i="1"/>
  <c r="G221" i="1"/>
  <c r="F221" i="1"/>
  <c r="E221" i="1"/>
  <c r="W220" i="1"/>
  <c r="H220" i="1"/>
  <c r="G220" i="1"/>
  <c r="F220" i="1"/>
  <c r="E220" i="1"/>
  <c r="H219" i="1"/>
  <c r="W219" i="1" s="1"/>
  <c r="G219" i="1"/>
  <c r="F219" i="1"/>
  <c r="E219" i="1"/>
  <c r="H218" i="1"/>
  <c r="W218" i="1" s="1"/>
  <c r="G218" i="1"/>
  <c r="F218" i="1"/>
  <c r="E218" i="1"/>
  <c r="W217" i="1"/>
  <c r="H217" i="1"/>
  <c r="G217" i="1"/>
  <c r="F217" i="1"/>
  <c r="E217" i="1"/>
  <c r="W216" i="1"/>
  <c r="H216" i="1"/>
  <c r="G216" i="1"/>
  <c r="F216" i="1"/>
  <c r="E216" i="1"/>
  <c r="H215" i="1"/>
  <c r="W215" i="1" s="1"/>
  <c r="G215" i="1"/>
  <c r="F215" i="1"/>
  <c r="E215" i="1"/>
  <c r="H214" i="1"/>
  <c r="W214" i="1" s="1"/>
  <c r="G214" i="1"/>
  <c r="F214" i="1"/>
  <c r="E214" i="1"/>
  <c r="W213" i="1"/>
  <c r="H213" i="1"/>
  <c r="G213" i="1"/>
  <c r="F213" i="1"/>
  <c r="E213" i="1"/>
  <c r="W212" i="1"/>
  <c r="H212" i="1"/>
  <c r="G212" i="1"/>
  <c r="F212" i="1"/>
  <c r="E212" i="1"/>
  <c r="H211" i="1"/>
  <c r="W211" i="1" s="1"/>
  <c r="G211" i="1"/>
  <c r="F211" i="1"/>
  <c r="E211" i="1"/>
  <c r="W210" i="1"/>
  <c r="H210" i="1"/>
  <c r="G210" i="1"/>
  <c r="F210" i="1"/>
  <c r="E210" i="1"/>
  <c r="W209" i="1"/>
  <c r="H209" i="1"/>
  <c r="G209" i="1"/>
  <c r="F209" i="1"/>
  <c r="E209" i="1"/>
  <c r="W208" i="1"/>
  <c r="H208" i="1"/>
  <c r="G208" i="1"/>
  <c r="F208" i="1"/>
  <c r="E208" i="1"/>
  <c r="H207" i="1"/>
  <c r="W207" i="1" s="1"/>
  <c r="G207" i="1"/>
  <c r="F207" i="1"/>
  <c r="E207" i="1"/>
  <c r="H206" i="1"/>
  <c r="W206" i="1" s="1"/>
  <c r="G206" i="1"/>
  <c r="F206" i="1"/>
  <c r="E206" i="1"/>
  <c r="W205" i="1"/>
  <c r="H205" i="1"/>
  <c r="G205" i="1"/>
  <c r="F205" i="1"/>
  <c r="E205" i="1"/>
  <c r="W204" i="1"/>
  <c r="H204" i="1"/>
  <c r="G204" i="1"/>
  <c r="F204" i="1"/>
  <c r="E204" i="1"/>
  <c r="H203" i="1"/>
  <c r="W203" i="1" s="1"/>
  <c r="G203" i="1"/>
  <c r="F203" i="1"/>
  <c r="E203" i="1"/>
  <c r="H202" i="1"/>
  <c r="W202" i="1" s="1"/>
  <c r="G202" i="1"/>
  <c r="F202" i="1"/>
  <c r="E202" i="1"/>
  <c r="W201" i="1"/>
  <c r="H201" i="1"/>
  <c r="G201" i="1"/>
  <c r="F201" i="1"/>
  <c r="E201" i="1"/>
  <c r="W200" i="1"/>
  <c r="H200" i="1"/>
  <c r="G200" i="1"/>
  <c r="F200" i="1"/>
  <c r="E200" i="1"/>
  <c r="H199" i="1"/>
  <c r="W199" i="1" s="1"/>
  <c r="G199" i="1"/>
  <c r="F199" i="1"/>
  <c r="E199" i="1"/>
  <c r="H198" i="1"/>
  <c r="W198" i="1" s="1"/>
  <c r="G198" i="1"/>
  <c r="F198" i="1"/>
  <c r="E198" i="1"/>
  <c r="H197" i="1"/>
  <c r="W197" i="1" s="1"/>
  <c r="G197" i="1"/>
  <c r="F197" i="1"/>
  <c r="E197" i="1"/>
  <c r="W196" i="1"/>
  <c r="H196" i="1"/>
  <c r="G196" i="1"/>
  <c r="F196" i="1"/>
  <c r="E196" i="1"/>
  <c r="H195" i="1"/>
  <c r="W195" i="1" s="1"/>
  <c r="G195" i="1"/>
  <c r="F195" i="1"/>
  <c r="E195" i="1"/>
  <c r="W194" i="1"/>
  <c r="H194" i="1"/>
  <c r="G194" i="1"/>
  <c r="F194" i="1"/>
  <c r="E194" i="1"/>
  <c r="H193" i="1"/>
  <c r="W193" i="1" s="1"/>
  <c r="G193" i="1"/>
  <c r="F193" i="1"/>
  <c r="E193" i="1"/>
  <c r="W192" i="1"/>
  <c r="H192" i="1"/>
  <c r="G192" i="1"/>
  <c r="F192" i="1"/>
  <c r="E192" i="1"/>
  <c r="H191" i="1"/>
  <c r="W191" i="1" s="1"/>
  <c r="G191" i="1"/>
  <c r="F191" i="1"/>
  <c r="E191" i="1"/>
  <c r="H190" i="1"/>
  <c r="W190" i="1" s="1"/>
  <c r="G190" i="1"/>
  <c r="F190" i="1"/>
  <c r="E190" i="1"/>
  <c r="W189" i="1"/>
  <c r="H189" i="1"/>
  <c r="G189" i="1"/>
  <c r="F189" i="1"/>
  <c r="E189" i="1"/>
  <c r="W188" i="1"/>
  <c r="H188" i="1"/>
  <c r="G188" i="1"/>
  <c r="F188" i="1"/>
  <c r="E188" i="1"/>
  <c r="H187" i="1"/>
  <c r="W187" i="1" s="1"/>
  <c r="G187" i="1"/>
  <c r="F187" i="1"/>
  <c r="E187" i="1"/>
  <c r="H186" i="1"/>
  <c r="W186" i="1" s="1"/>
  <c r="G186" i="1"/>
  <c r="F186" i="1"/>
  <c r="E186" i="1"/>
  <c r="H185" i="1"/>
  <c r="W185" i="1" s="1"/>
  <c r="G185" i="1"/>
  <c r="F185" i="1"/>
  <c r="E185" i="1"/>
  <c r="W184" i="1"/>
  <c r="H184" i="1"/>
  <c r="G184" i="1"/>
  <c r="F184" i="1"/>
  <c r="E184" i="1"/>
  <c r="H183" i="1"/>
  <c r="W183" i="1" s="1"/>
  <c r="G183" i="1"/>
  <c r="F183" i="1"/>
  <c r="E183" i="1"/>
  <c r="H182" i="1"/>
  <c r="W182" i="1" s="1"/>
  <c r="G182" i="1"/>
  <c r="F182" i="1"/>
  <c r="E182" i="1"/>
  <c r="H181" i="1"/>
  <c r="W181" i="1" s="1"/>
  <c r="G181" i="1"/>
  <c r="F181" i="1"/>
  <c r="E181" i="1"/>
  <c r="W180" i="1"/>
  <c r="H180" i="1"/>
  <c r="G180" i="1"/>
  <c r="F180" i="1"/>
  <c r="E180" i="1"/>
  <c r="H179" i="1"/>
  <c r="W179" i="1" s="1"/>
  <c r="G179" i="1"/>
  <c r="F179" i="1"/>
  <c r="E179" i="1"/>
  <c r="W178" i="1"/>
  <c r="H178" i="1"/>
  <c r="G178" i="1"/>
  <c r="F178" i="1"/>
  <c r="E178" i="1"/>
  <c r="H177" i="1"/>
  <c r="W177" i="1" s="1"/>
  <c r="G177" i="1"/>
  <c r="F177" i="1"/>
  <c r="E177" i="1"/>
  <c r="W176" i="1"/>
  <c r="H176" i="1"/>
  <c r="G176" i="1"/>
  <c r="F176" i="1"/>
  <c r="E176" i="1"/>
  <c r="H175" i="1"/>
  <c r="W175" i="1" s="1"/>
  <c r="G175" i="1"/>
  <c r="F175" i="1"/>
  <c r="E175" i="1"/>
  <c r="H174" i="1"/>
  <c r="W174" i="1" s="1"/>
  <c r="G174" i="1"/>
  <c r="F174" i="1"/>
  <c r="E174" i="1"/>
  <c r="W173" i="1"/>
  <c r="H173" i="1"/>
  <c r="G173" i="1"/>
  <c r="F173" i="1"/>
  <c r="E173" i="1"/>
  <c r="W172" i="1"/>
  <c r="H172" i="1"/>
  <c r="G172" i="1"/>
  <c r="F172" i="1"/>
  <c r="E172" i="1"/>
  <c r="H171" i="1"/>
  <c r="W171" i="1" s="1"/>
  <c r="G171" i="1"/>
  <c r="F171" i="1"/>
  <c r="E171" i="1"/>
  <c r="H170" i="1"/>
  <c r="W170" i="1" s="1"/>
  <c r="G170" i="1"/>
  <c r="F170" i="1"/>
  <c r="E170" i="1"/>
  <c r="H169" i="1"/>
  <c r="W169" i="1" s="1"/>
  <c r="G169" i="1"/>
  <c r="F169" i="1"/>
  <c r="E169" i="1"/>
  <c r="W168" i="1"/>
  <c r="H168" i="1"/>
  <c r="G168" i="1"/>
  <c r="F168" i="1"/>
  <c r="E168" i="1"/>
  <c r="H167" i="1"/>
  <c r="W167" i="1" s="1"/>
  <c r="G167" i="1"/>
  <c r="F167" i="1"/>
  <c r="E167" i="1"/>
  <c r="H166" i="1"/>
  <c r="W166" i="1" s="1"/>
  <c r="G166" i="1"/>
  <c r="F166" i="1"/>
  <c r="E166" i="1"/>
  <c r="H165" i="1"/>
  <c r="W165" i="1" s="1"/>
  <c r="G165" i="1"/>
  <c r="F165" i="1"/>
  <c r="E165" i="1"/>
  <c r="W164" i="1"/>
  <c r="H164" i="1"/>
  <c r="G164" i="1"/>
  <c r="F164" i="1"/>
  <c r="E164" i="1"/>
  <c r="H163" i="1"/>
  <c r="W163" i="1" s="1"/>
  <c r="G163" i="1"/>
  <c r="F163" i="1"/>
  <c r="E163" i="1"/>
  <c r="W162" i="1"/>
  <c r="H162" i="1"/>
  <c r="G162" i="1"/>
  <c r="F162" i="1"/>
  <c r="E162" i="1"/>
  <c r="H161" i="1"/>
  <c r="W161" i="1" s="1"/>
  <c r="G161" i="1"/>
  <c r="F161" i="1"/>
  <c r="E161" i="1"/>
  <c r="W160" i="1"/>
  <c r="H160" i="1"/>
  <c r="G160" i="1"/>
  <c r="F160" i="1"/>
  <c r="E160" i="1"/>
  <c r="H159" i="1"/>
  <c r="W159" i="1" s="1"/>
  <c r="G159" i="1"/>
  <c r="F159" i="1"/>
  <c r="E159" i="1"/>
  <c r="H158" i="1"/>
  <c r="W158" i="1" s="1"/>
  <c r="G158" i="1"/>
  <c r="F158" i="1"/>
  <c r="E158" i="1"/>
  <c r="W157" i="1"/>
  <c r="H157" i="1"/>
  <c r="G157" i="1"/>
  <c r="F157" i="1"/>
  <c r="E157" i="1"/>
  <c r="W156" i="1"/>
  <c r="H156" i="1"/>
  <c r="G156" i="1"/>
  <c r="F156" i="1"/>
  <c r="E156" i="1"/>
  <c r="H155" i="1"/>
  <c r="W155" i="1" s="1"/>
  <c r="G155" i="1"/>
  <c r="F155" i="1"/>
  <c r="E155" i="1"/>
  <c r="H154" i="1"/>
  <c r="W154" i="1" s="1"/>
  <c r="G154" i="1"/>
  <c r="F154" i="1"/>
  <c r="E154" i="1"/>
  <c r="H153" i="1"/>
  <c r="W153" i="1" s="1"/>
  <c r="G153" i="1"/>
  <c r="F153" i="1"/>
  <c r="E153" i="1"/>
  <c r="W152" i="1"/>
  <c r="H152" i="1"/>
  <c r="G152" i="1"/>
  <c r="F152" i="1"/>
  <c r="E152" i="1"/>
  <c r="H151" i="1"/>
  <c r="W151" i="1" s="1"/>
  <c r="G151" i="1"/>
  <c r="F151" i="1"/>
  <c r="E151" i="1"/>
  <c r="H150" i="1"/>
  <c r="W150" i="1" s="1"/>
  <c r="G150" i="1"/>
  <c r="F150" i="1"/>
  <c r="E150" i="1"/>
  <c r="H149" i="1"/>
  <c r="W149" i="1" s="1"/>
  <c r="G149" i="1"/>
  <c r="F149" i="1"/>
  <c r="E149" i="1"/>
  <c r="W148" i="1"/>
  <c r="H148" i="1"/>
  <c r="G148" i="1"/>
  <c r="F148" i="1"/>
  <c r="E148" i="1"/>
  <c r="H147" i="1"/>
  <c r="W147" i="1" s="1"/>
  <c r="G147" i="1"/>
  <c r="F147" i="1"/>
  <c r="E147" i="1"/>
  <c r="H146" i="1"/>
  <c r="W146" i="1" s="1"/>
  <c r="G146" i="1"/>
  <c r="F146" i="1"/>
  <c r="E146" i="1"/>
  <c r="H145" i="1"/>
  <c r="W145" i="1" s="1"/>
  <c r="G145" i="1"/>
  <c r="F145" i="1"/>
  <c r="E145" i="1"/>
  <c r="W144" i="1"/>
  <c r="H144" i="1"/>
  <c r="G144" i="1"/>
  <c r="F144" i="1"/>
  <c r="E144" i="1"/>
  <c r="H143" i="1"/>
  <c r="W143" i="1" s="1"/>
  <c r="G143" i="1"/>
  <c r="F143" i="1"/>
  <c r="E143" i="1"/>
  <c r="H142" i="1"/>
  <c r="W142" i="1" s="1"/>
  <c r="G142" i="1"/>
  <c r="F142" i="1"/>
  <c r="E142" i="1"/>
  <c r="H141" i="1"/>
  <c r="W141" i="1" s="1"/>
  <c r="G141" i="1"/>
  <c r="F141" i="1"/>
  <c r="E141" i="1"/>
  <c r="W140" i="1"/>
  <c r="H140" i="1"/>
  <c r="G140" i="1"/>
  <c r="F140" i="1"/>
  <c r="E140" i="1"/>
  <c r="W139" i="1"/>
  <c r="H139" i="1"/>
  <c r="G139" i="1"/>
  <c r="F139" i="1"/>
  <c r="E139" i="1"/>
  <c r="H138" i="1"/>
  <c r="W138" i="1" s="1"/>
  <c r="G138" i="1"/>
  <c r="F138" i="1"/>
  <c r="E138" i="1"/>
  <c r="H137" i="1"/>
  <c r="W137" i="1" s="1"/>
  <c r="G137" i="1"/>
  <c r="F137" i="1"/>
  <c r="E137" i="1"/>
  <c r="W136" i="1"/>
  <c r="H136" i="1"/>
  <c r="G136" i="1"/>
  <c r="F136" i="1"/>
  <c r="E136" i="1"/>
  <c r="W135" i="1"/>
  <c r="H135" i="1"/>
  <c r="G135" i="1"/>
  <c r="F135" i="1"/>
  <c r="E135" i="1"/>
  <c r="H134" i="1"/>
  <c r="W134" i="1" s="1"/>
  <c r="G134" i="1"/>
  <c r="F134" i="1"/>
  <c r="E134" i="1"/>
  <c r="H133" i="1"/>
  <c r="W133" i="1" s="1"/>
  <c r="G133" i="1"/>
  <c r="F133" i="1"/>
  <c r="E133" i="1"/>
  <c r="W132" i="1"/>
  <c r="H132" i="1"/>
  <c r="G132" i="1"/>
  <c r="F132" i="1"/>
  <c r="E132" i="1"/>
  <c r="W131" i="1"/>
  <c r="H131" i="1"/>
  <c r="G131" i="1"/>
  <c r="F131" i="1"/>
  <c r="E131" i="1"/>
  <c r="H130" i="1"/>
  <c r="W130" i="1" s="1"/>
  <c r="G130" i="1"/>
  <c r="F130" i="1"/>
  <c r="E130" i="1"/>
  <c r="H129" i="1"/>
  <c r="W129" i="1" s="1"/>
  <c r="G129" i="1"/>
  <c r="F129" i="1"/>
  <c r="E129" i="1"/>
  <c r="W128" i="1"/>
  <c r="H128" i="1"/>
  <c r="G128" i="1"/>
  <c r="F128" i="1"/>
  <c r="E128" i="1"/>
  <c r="W127" i="1"/>
  <c r="H127" i="1"/>
  <c r="G127" i="1"/>
  <c r="F127" i="1"/>
  <c r="E127" i="1"/>
  <c r="H126" i="1"/>
  <c r="W126" i="1" s="1"/>
  <c r="G126" i="1"/>
  <c r="F126" i="1"/>
  <c r="E126" i="1"/>
  <c r="H125" i="1"/>
  <c r="W125" i="1" s="1"/>
  <c r="G125" i="1"/>
  <c r="F125" i="1"/>
  <c r="E125" i="1"/>
  <c r="W124" i="1"/>
  <c r="H124" i="1"/>
  <c r="G124" i="1"/>
  <c r="F124" i="1"/>
  <c r="E124" i="1"/>
  <c r="W123" i="1"/>
  <c r="H123" i="1"/>
  <c r="G123" i="1"/>
  <c r="F123" i="1"/>
  <c r="E123" i="1"/>
  <c r="H122" i="1"/>
  <c r="W122" i="1" s="1"/>
  <c r="G122" i="1"/>
  <c r="F122" i="1"/>
  <c r="E122" i="1"/>
  <c r="H121" i="1"/>
  <c r="W121" i="1" s="1"/>
  <c r="G121" i="1"/>
  <c r="F121" i="1"/>
  <c r="E121" i="1"/>
  <c r="W120" i="1"/>
  <c r="H120" i="1"/>
  <c r="G120" i="1"/>
  <c r="F120" i="1"/>
  <c r="E120" i="1"/>
  <c r="W119" i="1"/>
  <c r="H119" i="1"/>
  <c r="G119" i="1"/>
  <c r="F119" i="1"/>
  <c r="E119" i="1"/>
  <c r="H118" i="1"/>
  <c r="W118" i="1" s="1"/>
  <c r="G118" i="1"/>
  <c r="F118" i="1"/>
  <c r="E118" i="1"/>
  <c r="H117" i="1"/>
  <c r="W117" i="1" s="1"/>
  <c r="G117" i="1"/>
  <c r="F117" i="1"/>
  <c r="E117" i="1"/>
  <c r="W116" i="1"/>
  <c r="H116" i="1"/>
  <c r="G116" i="1"/>
  <c r="F116" i="1"/>
  <c r="E116" i="1"/>
  <c r="W115" i="1"/>
  <c r="H115" i="1"/>
  <c r="G115" i="1"/>
  <c r="F115" i="1"/>
  <c r="E115" i="1"/>
  <c r="H114" i="1"/>
  <c r="W114" i="1" s="1"/>
  <c r="G114" i="1"/>
  <c r="F114" i="1"/>
  <c r="E114" i="1"/>
  <c r="H113" i="1"/>
  <c r="W113" i="1" s="1"/>
  <c r="G113" i="1"/>
  <c r="F113" i="1"/>
  <c r="E113" i="1"/>
  <c r="W112" i="1"/>
  <c r="H112" i="1"/>
  <c r="G112" i="1"/>
  <c r="F112" i="1"/>
  <c r="E112" i="1"/>
  <c r="W111" i="1"/>
  <c r="H111" i="1"/>
  <c r="G111" i="1"/>
  <c r="F111" i="1"/>
  <c r="E111" i="1"/>
  <c r="H110" i="1"/>
  <c r="W110" i="1" s="1"/>
  <c r="G110" i="1"/>
  <c r="F110" i="1"/>
  <c r="E110" i="1"/>
  <c r="H109" i="1"/>
  <c r="W109" i="1" s="1"/>
  <c r="G109" i="1"/>
  <c r="F109" i="1"/>
  <c r="E109" i="1"/>
  <c r="W108" i="1"/>
  <c r="H108" i="1"/>
  <c r="G108" i="1"/>
  <c r="F108" i="1"/>
  <c r="E108" i="1"/>
  <c r="W107" i="1"/>
  <c r="H107" i="1"/>
  <c r="G107" i="1"/>
  <c r="F107" i="1"/>
  <c r="E107" i="1"/>
  <c r="H106" i="1"/>
  <c r="W106" i="1" s="1"/>
  <c r="G106" i="1"/>
  <c r="F106" i="1"/>
  <c r="E106" i="1"/>
  <c r="H105" i="1"/>
  <c r="W105" i="1" s="1"/>
  <c r="G105" i="1"/>
  <c r="F105" i="1"/>
  <c r="E105" i="1"/>
  <c r="W104" i="1"/>
  <c r="H104" i="1"/>
  <c r="G104" i="1"/>
  <c r="F104" i="1"/>
  <c r="E104" i="1"/>
  <c r="W103" i="1"/>
  <c r="H103" i="1"/>
  <c r="G103" i="1"/>
  <c r="F103" i="1"/>
  <c r="E103" i="1"/>
  <c r="H102" i="1"/>
  <c r="W102" i="1" s="1"/>
  <c r="G102" i="1"/>
  <c r="F102" i="1"/>
  <c r="E102" i="1"/>
  <c r="H101" i="1"/>
  <c r="W101" i="1" s="1"/>
  <c r="G101" i="1"/>
  <c r="F101" i="1"/>
  <c r="E101" i="1"/>
  <c r="W100" i="1"/>
  <c r="H100" i="1"/>
  <c r="G100" i="1"/>
  <c r="F100" i="1"/>
  <c r="E100" i="1"/>
  <c r="W99" i="1"/>
  <c r="H99" i="1"/>
  <c r="G99" i="1"/>
  <c r="F99" i="1"/>
  <c r="E99" i="1"/>
  <c r="H98" i="1"/>
  <c r="W98" i="1" s="1"/>
  <c r="G98" i="1"/>
  <c r="F98" i="1"/>
  <c r="E98" i="1"/>
  <c r="H97" i="1"/>
  <c r="W97" i="1" s="1"/>
  <c r="G97" i="1"/>
  <c r="F97" i="1"/>
  <c r="E97" i="1"/>
  <c r="W96" i="1"/>
  <c r="H96" i="1"/>
  <c r="G96" i="1"/>
  <c r="F96" i="1"/>
  <c r="E96" i="1"/>
  <c r="W95" i="1"/>
  <c r="H95" i="1"/>
  <c r="G95" i="1"/>
  <c r="F95" i="1"/>
  <c r="E95" i="1"/>
  <c r="H94" i="1"/>
  <c r="W94" i="1" s="1"/>
  <c r="G94" i="1"/>
  <c r="F94" i="1"/>
  <c r="E94" i="1"/>
  <c r="H93" i="1"/>
  <c r="W93" i="1" s="1"/>
  <c r="G93" i="1"/>
  <c r="F93" i="1"/>
  <c r="E93" i="1"/>
  <c r="W92" i="1"/>
  <c r="H92" i="1"/>
  <c r="G92" i="1"/>
  <c r="F92" i="1"/>
  <c r="E92" i="1"/>
  <c r="W91" i="1"/>
  <c r="H91" i="1"/>
  <c r="G91" i="1"/>
  <c r="F91" i="1"/>
  <c r="E91" i="1"/>
  <c r="H90" i="1"/>
  <c r="W90" i="1" s="1"/>
  <c r="G90" i="1"/>
  <c r="F90" i="1"/>
  <c r="E90" i="1"/>
  <c r="H89" i="1"/>
  <c r="W89" i="1" s="1"/>
  <c r="G89" i="1"/>
  <c r="F89" i="1"/>
  <c r="E89" i="1"/>
  <c r="W88" i="1"/>
  <c r="H88" i="1"/>
  <c r="G88" i="1"/>
  <c r="F88" i="1"/>
  <c r="E88" i="1"/>
  <c r="W87" i="1"/>
  <c r="H87" i="1"/>
  <c r="G87" i="1"/>
  <c r="F87" i="1"/>
  <c r="E87" i="1"/>
  <c r="H86" i="1"/>
  <c r="W86" i="1" s="1"/>
  <c r="G86" i="1"/>
  <c r="F86" i="1"/>
  <c r="E86" i="1"/>
  <c r="H85" i="1"/>
  <c r="W85" i="1" s="1"/>
  <c r="G85" i="1"/>
  <c r="F85" i="1"/>
  <c r="E85" i="1"/>
  <c r="W84" i="1"/>
  <c r="H84" i="1"/>
  <c r="G84" i="1"/>
  <c r="F84" i="1"/>
  <c r="E84" i="1"/>
  <c r="W83" i="1"/>
  <c r="H83" i="1"/>
  <c r="G83" i="1"/>
  <c r="F83" i="1"/>
  <c r="E83" i="1"/>
  <c r="H82" i="1"/>
  <c r="W82" i="1" s="1"/>
  <c r="G82" i="1"/>
  <c r="F82" i="1"/>
  <c r="E82" i="1"/>
  <c r="H81" i="1"/>
  <c r="W81" i="1" s="1"/>
  <c r="G81" i="1"/>
  <c r="F81" i="1"/>
  <c r="E81" i="1"/>
  <c r="W80" i="1"/>
  <c r="H80" i="1"/>
  <c r="G80" i="1"/>
  <c r="F80" i="1"/>
  <c r="E80" i="1"/>
  <c r="W79" i="1"/>
  <c r="H79" i="1"/>
  <c r="G79" i="1"/>
  <c r="F79" i="1"/>
  <c r="E79" i="1"/>
  <c r="H78" i="1"/>
  <c r="W78" i="1" s="1"/>
  <c r="G78" i="1"/>
  <c r="F78" i="1"/>
  <c r="E78" i="1"/>
  <c r="H77" i="1"/>
  <c r="W77" i="1" s="1"/>
  <c r="G77" i="1"/>
  <c r="F77" i="1"/>
  <c r="E77" i="1"/>
  <c r="W76" i="1"/>
  <c r="H76" i="1"/>
  <c r="G76" i="1"/>
  <c r="F76" i="1"/>
  <c r="E76" i="1"/>
  <c r="W75" i="1"/>
  <c r="H75" i="1"/>
  <c r="G75" i="1"/>
  <c r="F75" i="1"/>
  <c r="E75" i="1"/>
  <c r="H74" i="1"/>
  <c r="W74" i="1" s="1"/>
  <c r="G74" i="1"/>
  <c r="F74" i="1"/>
  <c r="E74" i="1"/>
  <c r="H73" i="1"/>
  <c r="W73" i="1" s="1"/>
  <c r="G73" i="1"/>
  <c r="F73" i="1"/>
  <c r="E73" i="1"/>
  <c r="W72" i="1"/>
  <c r="H72" i="1"/>
  <c r="G72" i="1"/>
  <c r="F72" i="1"/>
  <c r="E72" i="1"/>
  <c r="W71" i="1"/>
  <c r="H71" i="1"/>
  <c r="G71" i="1"/>
  <c r="F71" i="1"/>
  <c r="E71" i="1"/>
  <c r="H70" i="1"/>
  <c r="W70" i="1" s="1"/>
  <c r="G70" i="1"/>
  <c r="F70" i="1"/>
  <c r="E70" i="1"/>
  <c r="H69" i="1"/>
  <c r="W69" i="1" s="1"/>
  <c r="G69" i="1"/>
  <c r="F69" i="1"/>
  <c r="E69" i="1"/>
  <c r="W68" i="1"/>
  <c r="H68" i="1"/>
  <c r="G68" i="1"/>
  <c r="F68" i="1"/>
  <c r="E68" i="1"/>
  <c r="W67" i="1"/>
  <c r="H67" i="1"/>
  <c r="G67" i="1"/>
  <c r="F67" i="1"/>
  <c r="E67" i="1"/>
  <c r="H66" i="1"/>
  <c r="W66" i="1" s="1"/>
  <c r="G66" i="1"/>
  <c r="F66" i="1"/>
  <c r="E66" i="1"/>
  <c r="H65" i="1"/>
  <c r="W65" i="1" s="1"/>
  <c r="G65" i="1"/>
  <c r="F65" i="1"/>
  <c r="E65" i="1"/>
  <c r="W64" i="1"/>
  <c r="H64" i="1"/>
  <c r="G64" i="1"/>
  <c r="F64" i="1"/>
  <c r="E64" i="1"/>
  <c r="W63" i="1"/>
  <c r="H63" i="1"/>
  <c r="G63" i="1"/>
  <c r="F63" i="1"/>
  <c r="E63" i="1"/>
  <c r="H62" i="1"/>
  <c r="W62" i="1" s="1"/>
  <c r="G62" i="1"/>
  <c r="F62" i="1"/>
  <c r="E62" i="1"/>
  <c r="H61" i="1"/>
  <c r="W61" i="1" s="1"/>
  <c r="G61" i="1"/>
  <c r="F61" i="1"/>
  <c r="E61" i="1"/>
  <c r="W60" i="1"/>
  <c r="H60" i="1"/>
  <c r="G60" i="1"/>
  <c r="F60" i="1"/>
  <c r="E60" i="1"/>
  <c r="W59" i="1"/>
  <c r="H59" i="1"/>
  <c r="G59" i="1"/>
  <c r="F59" i="1"/>
  <c r="E59" i="1"/>
  <c r="H58" i="1"/>
  <c r="W58" i="1" s="1"/>
  <c r="G58" i="1"/>
  <c r="F58" i="1"/>
  <c r="E58" i="1"/>
  <c r="H57" i="1"/>
  <c r="W57" i="1" s="1"/>
  <c r="G57" i="1"/>
  <c r="F57" i="1"/>
  <c r="E57" i="1"/>
  <c r="W56" i="1"/>
  <c r="H56" i="1"/>
  <c r="G56" i="1"/>
  <c r="F56" i="1"/>
  <c r="E56" i="1"/>
  <c r="W55" i="1"/>
  <c r="H55" i="1"/>
  <c r="G55" i="1"/>
  <c r="F55" i="1"/>
  <c r="E55" i="1"/>
  <c r="H54" i="1"/>
  <c r="W54" i="1" s="1"/>
  <c r="G54" i="1"/>
  <c r="F54" i="1"/>
  <c r="E54" i="1"/>
  <c r="H53" i="1"/>
  <c r="W53" i="1" s="1"/>
  <c r="G53" i="1"/>
  <c r="F53" i="1"/>
  <c r="E53" i="1"/>
  <c r="W52" i="1"/>
  <c r="H52" i="1"/>
  <c r="G52" i="1"/>
  <c r="F52" i="1"/>
  <c r="E52" i="1"/>
  <c r="W51" i="1"/>
  <c r="H51" i="1"/>
  <c r="G51" i="1"/>
  <c r="F51" i="1"/>
  <c r="E51" i="1"/>
  <c r="H50" i="1"/>
  <c r="W50" i="1" s="1"/>
  <c r="G50" i="1"/>
  <c r="F50" i="1"/>
  <c r="E50" i="1"/>
  <c r="H49" i="1"/>
  <c r="W49" i="1" s="1"/>
  <c r="G49" i="1"/>
  <c r="F49" i="1"/>
  <c r="E49" i="1"/>
  <c r="W48" i="1"/>
  <c r="H48" i="1"/>
  <c r="G48" i="1"/>
  <c r="F48" i="1"/>
  <c r="E48" i="1"/>
  <c r="W47" i="1"/>
  <c r="H47" i="1"/>
  <c r="G47" i="1"/>
  <c r="F47" i="1"/>
  <c r="E47" i="1"/>
  <c r="H46" i="1"/>
  <c r="W46" i="1" s="1"/>
  <c r="G46" i="1"/>
  <c r="F46" i="1"/>
  <c r="E46" i="1"/>
  <c r="H45" i="1"/>
  <c r="W45" i="1" s="1"/>
  <c r="G45" i="1"/>
  <c r="F45" i="1"/>
  <c r="E45" i="1"/>
  <c r="W44" i="1"/>
  <c r="H44" i="1"/>
  <c r="G44" i="1"/>
  <c r="F44" i="1"/>
  <c r="E44" i="1"/>
  <c r="W43" i="1"/>
  <c r="H43" i="1"/>
  <c r="G43" i="1"/>
  <c r="F43" i="1"/>
  <c r="E43" i="1"/>
  <c r="H42" i="1"/>
  <c r="W42" i="1" s="1"/>
  <c r="G42" i="1"/>
  <c r="F42" i="1"/>
  <c r="E42" i="1"/>
  <c r="H41" i="1"/>
  <c r="W41" i="1" s="1"/>
  <c r="G41" i="1"/>
  <c r="F41" i="1"/>
  <c r="E41" i="1"/>
  <c r="W40" i="1"/>
  <c r="H40" i="1"/>
  <c r="G40" i="1"/>
  <c r="F40" i="1"/>
  <c r="E40" i="1"/>
  <c r="W39" i="1"/>
  <c r="H39" i="1"/>
  <c r="G39" i="1"/>
  <c r="F39" i="1"/>
  <c r="E39" i="1"/>
  <c r="H38" i="1"/>
  <c r="W38" i="1" s="1"/>
  <c r="G38" i="1"/>
  <c r="F38" i="1"/>
  <c r="E38" i="1"/>
  <c r="H37" i="1"/>
  <c r="W37" i="1" s="1"/>
  <c r="G37" i="1"/>
  <c r="F37" i="1"/>
  <c r="E37" i="1"/>
  <c r="W36" i="1"/>
  <c r="H36" i="1"/>
  <c r="G36" i="1"/>
  <c r="F36" i="1"/>
  <c r="E36" i="1"/>
  <c r="W35" i="1"/>
  <c r="H35" i="1"/>
  <c r="G35" i="1"/>
  <c r="F35" i="1"/>
  <c r="E35" i="1"/>
  <c r="H34" i="1"/>
  <c r="W34" i="1" s="1"/>
  <c r="G34" i="1"/>
  <c r="F34" i="1"/>
  <c r="E34" i="1"/>
  <c r="H33" i="1"/>
  <c r="W33" i="1" s="1"/>
  <c r="G33" i="1"/>
  <c r="F33" i="1"/>
  <c r="E33" i="1"/>
  <c r="W32" i="1"/>
  <c r="H32" i="1"/>
  <c r="G32" i="1"/>
  <c r="F32" i="1"/>
  <c r="E32" i="1"/>
  <c r="W31" i="1"/>
  <c r="H31" i="1"/>
  <c r="G31" i="1"/>
  <c r="F31" i="1"/>
  <c r="E31" i="1"/>
  <c r="H30" i="1"/>
  <c r="W30" i="1" s="1"/>
  <c r="G30" i="1"/>
  <c r="F30" i="1"/>
  <c r="E30" i="1"/>
  <c r="H29" i="1"/>
  <c r="W29" i="1" s="1"/>
  <c r="G29" i="1"/>
  <c r="F29" i="1"/>
  <c r="E29" i="1"/>
  <c r="W28" i="1"/>
  <c r="H28" i="1"/>
  <c r="G28" i="1"/>
  <c r="F28" i="1"/>
  <c r="E28" i="1"/>
  <c r="W27" i="1"/>
  <c r="H27" i="1"/>
  <c r="G27" i="1"/>
  <c r="F27" i="1"/>
  <c r="E27" i="1"/>
  <c r="H26" i="1"/>
  <c r="W26" i="1" s="1"/>
  <c r="G26" i="1"/>
  <c r="F26" i="1"/>
  <c r="E26" i="1"/>
  <c r="H25" i="1"/>
  <c r="W25" i="1" s="1"/>
  <c r="G25" i="1"/>
  <c r="F25" i="1"/>
  <c r="E25" i="1"/>
  <c r="W24" i="1"/>
  <c r="H24" i="1"/>
  <c r="G24" i="1"/>
  <c r="F24" i="1"/>
  <c r="E24" i="1"/>
  <c r="W23" i="1"/>
  <c r="H23" i="1"/>
  <c r="G23" i="1"/>
  <c r="F23" i="1"/>
  <c r="E23" i="1"/>
  <c r="H22" i="1"/>
  <c r="W22" i="1" s="1"/>
  <c r="G22" i="1"/>
  <c r="F22" i="1"/>
  <c r="E22" i="1"/>
  <c r="H21" i="1"/>
  <c r="W21" i="1" s="1"/>
  <c r="G21" i="1"/>
  <c r="F21" i="1"/>
  <c r="E21" i="1"/>
  <c r="W20" i="1"/>
  <c r="H20" i="1"/>
  <c r="G20" i="1"/>
  <c r="F20" i="1"/>
  <c r="E20" i="1"/>
  <c r="W19" i="1"/>
  <c r="H19" i="1"/>
  <c r="G19" i="1"/>
  <c r="F19" i="1"/>
  <c r="E19" i="1"/>
  <c r="H18" i="1"/>
  <c r="W18" i="1" s="1"/>
  <c r="G18" i="1"/>
  <c r="F18" i="1"/>
  <c r="E18" i="1"/>
  <c r="H17" i="1"/>
  <c r="W17" i="1" s="1"/>
  <c r="G17" i="1"/>
  <c r="F17" i="1"/>
  <c r="E17" i="1"/>
  <c r="W16" i="1"/>
  <c r="H16" i="1"/>
  <c r="G16" i="1"/>
  <c r="F16" i="1"/>
  <c r="E16" i="1"/>
  <c r="W15" i="1"/>
  <c r="H15" i="1"/>
  <c r="G15" i="1"/>
  <c r="F15" i="1"/>
  <c r="E15" i="1"/>
  <c r="H14" i="1"/>
  <c r="W14" i="1" s="1"/>
  <c r="G14" i="1"/>
  <c r="F14" i="1"/>
  <c r="E14" i="1"/>
  <c r="H13" i="1"/>
  <c r="W13" i="1" s="1"/>
  <c r="G13" i="1"/>
  <c r="F13" i="1"/>
  <c r="E13" i="1"/>
  <c r="W12" i="1"/>
  <c r="H12" i="1"/>
  <c r="G12" i="1"/>
  <c r="F12" i="1"/>
  <c r="E12" i="1"/>
  <c r="W11" i="1"/>
  <c r="H11" i="1"/>
  <c r="G11" i="1"/>
  <c r="F11" i="1"/>
  <c r="E11" i="1"/>
  <c r="H10" i="1"/>
  <c r="W10" i="1" s="1"/>
  <c r="G10" i="1"/>
  <c r="F10" i="1"/>
  <c r="E10" i="1"/>
  <c r="H9" i="1"/>
  <c r="W9" i="1" s="1"/>
  <c r="G9" i="1"/>
  <c r="F9" i="1"/>
  <c r="E9" i="1"/>
  <c r="W8" i="1"/>
  <c r="H8" i="1"/>
  <c r="G8" i="1"/>
  <c r="F8" i="1"/>
  <c r="E8" i="1"/>
  <c r="W7" i="1"/>
  <c r="H7" i="1"/>
  <c r="G7" i="1"/>
  <c r="F7" i="1"/>
  <c r="E7" i="1"/>
  <c r="H6" i="1"/>
  <c r="W6" i="1" s="1"/>
  <c r="G6" i="1"/>
  <c r="F6" i="1"/>
  <c r="E6" i="1"/>
  <c r="H5" i="1"/>
  <c r="W5" i="1" s="1"/>
  <c r="G5" i="1"/>
  <c r="F5" i="1"/>
  <c r="E5" i="1"/>
  <c r="W4" i="1"/>
  <c r="H4" i="1"/>
  <c r="G4" i="1"/>
  <c r="F4" i="1"/>
  <c r="E4" i="1"/>
  <c r="W3" i="1"/>
  <c r="H3" i="1"/>
  <c r="G3" i="1"/>
  <c r="F3" i="1"/>
  <c r="E3" i="1"/>
  <c r="H2" i="1"/>
  <c r="W2" i="1" s="1"/>
  <c r="F2" i="1"/>
  <c r="E2" i="1"/>
</calcChain>
</file>

<file path=xl/sharedStrings.xml><?xml version="1.0" encoding="utf-8"?>
<sst xmlns="http://schemas.openxmlformats.org/spreadsheetml/2006/main" count="10333" uniqueCount="3991">
  <si>
    <t>Row ID</t>
  </si>
  <si>
    <t>Order ID</t>
  </si>
  <si>
    <t>Order Date</t>
  </si>
  <si>
    <t>Ship Date</t>
  </si>
  <si>
    <t>Year</t>
  </si>
  <si>
    <t>Month</t>
  </si>
  <si>
    <t>Month Number</t>
  </si>
  <si>
    <t>Ship Duration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</si>
  <si>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</si>
  <si>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</si>
  <si>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</si>
  <si>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</si>
  <si>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</si>
  <si>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</si>
  <si>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</si>
  <si>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</si>
  <si>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</si>
  <si>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</si>
  <si>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</si>
  <si>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</si>
  <si>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</si>
  <si>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</si>
  <si>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Delivery Status</t>
  </si>
  <si>
    <t>CA-2015-135405</t>
  </si>
  <si>
    <t xml:space="preserve"> </t>
  </si>
  <si>
    <t>Standard Class</t>
  </si>
  <si>
    <t>MS-17830</t>
  </si>
  <si>
    <t>Melanie Seite</t>
  </si>
  <si>
    <t>Consumer</t>
  </si>
  <si>
    <t>United States</t>
  </si>
  <si>
    <t>Laredo</t>
  </si>
  <si>
    <t>Texas</t>
  </si>
  <si>
    <t>Central</t>
  </si>
  <si>
    <t>OFF-AR-10004078</t>
  </si>
  <si>
    <t>Office Supplies</t>
  </si>
  <si>
    <t>Art</t>
  </si>
  <si>
    <t>Newell 312</t>
  </si>
  <si>
    <t>CA-2015-130092</t>
  </si>
  <si>
    <t>First Class</t>
  </si>
  <si>
    <t>SV-20365</t>
  </si>
  <si>
    <t>Seth Vernon</t>
  </si>
  <si>
    <t>Dover</t>
  </si>
  <si>
    <t>Delaware</t>
  </si>
  <si>
    <t>East</t>
  </si>
  <si>
    <t>FUR-FU-10000010</t>
  </si>
  <si>
    <t>Furniture</t>
  </si>
  <si>
    <t>Furnishings</t>
  </si>
  <si>
    <t>DAX Value U-Channel Document Frames, Easel Back</t>
  </si>
  <si>
    <t>CA-2015-149020</t>
  </si>
  <si>
    <t>AJ-10780</t>
  </si>
  <si>
    <t>Anthony Jacobs</t>
  </si>
  <si>
    <t>Corporate</t>
  </si>
  <si>
    <t>Springfield</t>
  </si>
  <si>
    <t>Virginia</t>
  </si>
  <si>
    <t>South</t>
  </si>
  <si>
    <t>OFF-LA-10004272</t>
  </si>
  <si>
    <t>Labels</t>
  </si>
  <si>
    <t>Avery 482</t>
  </si>
  <si>
    <t>CA-2015-103366</t>
  </si>
  <si>
    <t>EH-13990</t>
  </si>
  <si>
    <t>Erica Hackney</t>
  </si>
  <si>
    <t>Roswell</t>
  </si>
  <si>
    <t>Georgia</t>
  </si>
  <si>
    <t>TEC-AC-10003628</t>
  </si>
  <si>
    <t>Technology</t>
  </si>
  <si>
    <t>Accessories</t>
  </si>
  <si>
    <t>Logitech 910-002974 M325 Wireless Mouse for Web Scrolling</t>
  </si>
  <si>
    <t>CA-2015-115056</t>
  </si>
  <si>
    <t>Same Day</t>
  </si>
  <si>
    <t>AR-10510</t>
  </si>
  <si>
    <t>Andrew Roberts</t>
  </si>
  <si>
    <t>Columbus</t>
  </si>
  <si>
    <t>Ohio</t>
  </si>
  <si>
    <t>OFF-AP-10003971</t>
  </si>
  <si>
    <t>Appliances</t>
  </si>
  <si>
    <t>Belkin 6 Outlet Metallic Surge Strip</t>
  </si>
  <si>
    <t>CA-2015-127614</t>
  </si>
  <si>
    <t>NF-18385</t>
  </si>
  <si>
    <t>Natalie Fritzler</t>
  </si>
  <si>
    <t>Chesapeake</t>
  </si>
  <si>
    <t>TEC-AC-10001432</t>
  </si>
  <si>
    <t>Enermax Aurora Lite Keyboard</t>
  </si>
  <si>
    <t>CA-2015-168368</t>
  </si>
  <si>
    <t>Second Class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</si>
  <si>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</si>
  <si>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</si>
  <si>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</si>
  <si>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</si>
  <si>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</si>
  <si>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</si>
  <si>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</si>
  <si>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US-2015-165589</t>
  </si>
  <si>
    <t>TB-21595</t>
  </si>
  <si>
    <t>Troy Blackwell</t>
  </si>
  <si>
    <t>Lubbock</t>
  </si>
  <si>
    <t>FUR-FU-10002396</t>
  </si>
  <si>
    <t>DAX Copper Panel Document Frame, 5 x 7 Size</t>
  </si>
  <si>
    <t>CA-2015-140795</t>
  </si>
  <si>
    <t>BD-11500</t>
  </si>
  <si>
    <t>Bradley Drucker</t>
  </si>
  <si>
    <t>Green Bay</t>
  </si>
  <si>
    <t>Wisconsin</t>
  </si>
  <si>
    <t>CA-2015-152296</t>
  </si>
  <si>
    <t>IL-15100</t>
  </si>
  <si>
    <t>Ivan Liston</t>
  </si>
  <si>
    <t>San Francisco</t>
  </si>
  <si>
    <t>California</t>
  </si>
  <si>
    <t>West</t>
  </si>
  <si>
    <t>OFF-BI-10004506</t>
  </si>
  <si>
    <t>Binders</t>
  </si>
  <si>
    <t>Wilson Jones data.warehouse D-Ring Binders with DublLock</t>
  </si>
  <si>
    <t>US-2015-138828</t>
  </si>
  <si>
    <t>KD-16345</t>
  </si>
  <si>
    <t>Katherine Ducich</t>
  </si>
  <si>
    <t>New York City</t>
  </si>
  <si>
    <t>New York</t>
  </si>
  <si>
    <t>OFF-AR-10000658</t>
  </si>
  <si>
    <t>Newell 324</t>
  </si>
  <si>
    <t>CA-2015-125171</t>
  </si>
  <si>
    <t>AG-10390</t>
  </si>
  <si>
    <t>Allen Goldenen</t>
  </si>
  <si>
    <t>OFF-LA-10001175</t>
  </si>
  <si>
    <t>Avery 514</t>
  </si>
  <si>
    <t>CA-2015-108903</t>
  </si>
  <si>
    <t>DO-13435</t>
  </si>
  <si>
    <t>Denny Ordway</t>
  </si>
  <si>
    <t>OFF-AR-10004010</t>
  </si>
  <si>
    <t>Hunt Boston Vacuum Mount KS Pencil Sharpener</t>
  </si>
  <si>
    <t>CA-2015-153619</t>
  </si>
  <si>
    <t>TC-21535</t>
  </si>
  <si>
    <t>Tracy Collins</t>
  </si>
  <si>
    <t>Home Office</t>
  </si>
  <si>
    <t>Los Angeles</t>
  </si>
  <si>
    <t>OFF-AR-10001868</t>
  </si>
  <si>
    <t>Prang Dustless Chalk Sticks</t>
  </si>
  <si>
    <t>CA-2015-120474</t>
  </si>
  <si>
    <t>RP-19390</t>
  </si>
  <si>
    <t>Resi PÃ¶lking</t>
  </si>
  <si>
    <t>Madison</t>
  </si>
  <si>
    <t>FUR-CH-10001854</t>
  </si>
  <si>
    <t>Office Star - Professional Matrix Back Chair with 2-to-1 Synchro Tilt and Mesh Fabric Seat</t>
  </si>
  <si>
    <t>CA-2015-150798</t>
  </si>
  <si>
    <t>JK-15730</t>
  </si>
  <si>
    <t>Joe Kamberova</t>
  </si>
  <si>
    <t>TEC-CO-10001571</t>
  </si>
  <si>
    <t>Copiers</t>
  </si>
  <si>
    <t>Sharp 1540cs Digital Laser Copier</t>
  </si>
  <si>
    <t>US-2015-161613</t>
  </si>
  <si>
    <t>MC-17605</t>
  </si>
  <si>
    <t>Matt Connell</t>
  </si>
  <si>
    <t>Houston</t>
  </si>
  <si>
    <t>FUR-CH-10003746</t>
  </si>
  <si>
    <t>Hon 4070 Series Pagoda Round Back Stacking Chairs</t>
  </si>
  <si>
    <t>CA-2015-143210</t>
  </si>
  <si>
    <t>AA-10645</t>
  </si>
  <si>
    <t>Anna Andreadi</t>
  </si>
  <si>
    <t>Lowell</t>
  </si>
  <si>
    <t>Massachusetts</t>
  </si>
  <si>
    <t>TEC-PH-10004434</t>
  </si>
  <si>
    <t>Phones</t>
  </si>
  <si>
    <t>Cisco IPÂ PhoneÂ 7961G VoIPÂ phoneÂ - Dark gray</t>
  </si>
  <si>
    <t>CA-2015-114790</t>
  </si>
  <si>
    <t>FM-14215</t>
  </si>
  <si>
    <t>Filia McAdams</t>
  </si>
  <si>
    <t>Richmond</t>
  </si>
  <si>
    <t>Kentucky</t>
  </si>
  <si>
    <t>OFF-AP-10002578</t>
  </si>
  <si>
    <t>Fellowes Premier Superior Surge Suppressor, 10-Outlet, With Phone and Remote</t>
  </si>
  <si>
    <t>US-2015-100279</t>
  </si>
  <si>
    <t>SW-20275</t>
  </si>
  <si>
    <t>Scott Williamson</t>
  </si>
  <si>
    <t>Royal Oak</t>
  </si>
  <si>
    <t>Michigan</t>
  </si>
  <si>
    <t>OFF-PA-10002259</t>
  </si>
  <si>
    <t>Paper</t>
  </si>
  <si>
    <t>Geographics Note Cards, Blank, White, 8 1/2" x 11"</t>
  </si>
  <si>
    <t>CA-2015-158337</t>
  </si>
  <si>
    <t>KA-16525</t>
  </si>
  <si>
    <t>Kelly Andreada</t>
  </si>
  <si>
    <t>OFF-PA-10002137</t>
  </si>
  <si>
    <t>Southworth 100% RÃ©sumÃ© Paper, 24lb.</t>
  </si>
  <si>
    <t>CA-2015-166884</t>
  </si>
  <si>
    <t>CK-12205</t>
  </si>
  <si>
    <t>Chloris Kastensmidt</t>
  </si>
  <si>
    <t>FUR-FU-10003981</t>
  </si>
  <si>
    <t>Eldon Wave Desk Accessories</t>
  </si>
  <si>
    <t>CA-2015-124618</t>
  </si>
  <si>
    <t>CS-11860</t>
  </si>
  <si>
    <t>Cari Schnelling</t>
  </si>
  <si>
    <t>Lakeland</t>
  </si>
  <si>
    <t>Florida</t>
  </si>
  <si>
    <t>TEC-CO-10004202</t>
  </si>
  <si>
    <t>Brother DCP1000 Digital 3 in 1 Multifunction Machine</t>
  </si>
  <si>
    <t>CA-2015-155271</t>
  </si>
  <si>
    <t>AA-10480</t>
  </si>
  <si>
    <t>Andrew Allen</t>
  </si>
  <si>
    <t>Middletown</t>
  </si>
  <si>
    <t>Connecticut</t>
  </si>
  <si>
    <t>FUR-FU-10001473</t>
  </si>
  <si>
    <t>DAX Wood Document Frame</t>
  </si>
  <si>
    <t>CA-2015-165428</t>
  </si>
  <si>
    <t>JL-15130</t>
  </si>
  <si>
    <t>Jack Lebron</t>
  </si>
  <si>
    <t>OFF-BI-10002949</t>
  </si>
  <si>
    <t>Prestige Round Ring Binders</t>
  </si>
  <si>
    <t>CA-2015-127936</t>
  </si>
  <si>
    <t>CL-12565</t>
  </si>
  <si>
    <t>Clay Ludtke</t>
  </si>
  <si>
    <t>OFF-AR-10002445</t>
  </si>
  <si>
    <t>SANFORD Major Accent Highlighters</t>
  </si>
  <si>
    <t>US-2015-120236</t>
  </si>
  <si>
    <t>MR-17545</t>
  </si>
  <si>
    <t>Mathew Reese</t>
  </si>
  <si>
    <t>OFF-BI-10004099</t>
  </si>
  <si>
    <t>GBC VeloBinder Strips</t>
  </si>
  <si>
    <t>CA-2015-112158</t>
  </si>
  <si>
    <t>DP-13165</t>
  </si>
  <si>
    <t>David Philippe</t>
  </si>
  <si>
    <t>CA-2015-101147</t>
  </si>
  <si>
    <t>MC-17575</t>
  </si>
  <si>
    <t>Matt Collins</t>
  </si>
  <si>
    <t>Chicago</t>
  </si>
  <si>
    <t>Illinois</t>
  </si>
  <si>
    <t>OFF-AP-10004249</t>
  </si>
  <si>
    <t>Staple holder</t>
  </si>
  <si>
    <t>US-2015-163797</t>
  </si>
  <si>
    <t>PC-19000</t>
  </si>
  <si>
    <t>Pauline Chand</t>
  </si>
  <si>
    <t>Chandler</t>
  </si>
  <si>
    <t>Arizona</t>
  </si>
  <si>
    <t>OFF-FA-10001883</t>
  </si>
  <si>
    <t>Fasteners</t>
  </si>
  <si>
    <t>Alliance Super-Size Bands, Assorted Sizes</t>
  </si>
  <si>
    <t>US-2015-102715</t>
  </si>
  <si>
    <t>JK-15370</t>
  </si>
  <si>
    <t>Jay Kimmel</t>
  </si>
  <si>
    <t>Miami</t>
  </si>
  <si>
    <t>OFF-FA-10001332</t>
  </si>
  <si>
    <t>Acco Banker's Clasps, 5 3/4"-Long</t>
  </si>
  <si>
    <t>CA-2015-100363</t>
  </si>
  <si>
    <t>JM-15655</t>
  </si>
  <si>
    <t>Jim Mitchum</t>
  </si>
  <si>
    <t>Glendale</t>
  </si>
  <si>
    <t>OFF-FA-10000611</t>
  </si>
  <si>
    <t>Binder Clips by OIC</t>
  </si>
  <si>
    <t>US-2015-121734</t>
  </si>
  <si>
    <t>SE-20110</t>
  </si>
  <si>
    <t>Sanjit Engle</t>
  </si>
  <si>
    <t>Lewiston</t>
  </si>
  <si>
    <t>Idaho</t>
  </si>
  <si>
    <t>OFF-BI-10004817</t>
  </si>
  <si>
    <t>GBC Personal VeloBind Strips</t>
  </si>
  <si>
    <t>CA-2015-138940</t>
  </si>
  <si>
    <t>GM-14455</t>
  </si>
  <si>
    <t>Gary Mitchum</t>
  </si>
  <si>
    <t>Austin</t>
  </si>
  <si>
    <t>TEC-PH-10001835</t>
  </si>
  <si>
    <t>Jawbone JAMBOX Wireless Bluetooth Speaker</t>
  </si>
  <si>
    <t>CA-2015-154599</t>
  </si>
  <si>
    <t>KN-16450</t>
  </si>
  <si>
    <t>Kean Nguyen</t>
  </si>
  <si>
    <t>Redondo Beach</t>
  </si>
  <si>
    <t>TEC-PH-10001557</t>
  </si>
  <si>
    <t>Pyle PMP37LED</t>
  </si>
  <si>
    <t>CA-2015-110555</t>
  </si>
  <si>
    <t>MM-18055</t>
  </si>
  <si>
    <t>Michelle Moray</t>
  </si>
  <si>
    <t>Great Falls</t>
  </si>
  <si>
    <t>Montana</t>
  </si>
  <si>
    <t>OFF-ST-10000876</t>
  </si>
  <si>
    <t>Storage</t>
  </si>
  <si>
    <t>Eldon Simplefile Box Office</t>
  </si>
  <si>
    <t>US-2015-143707</t>
  </si>
  <si>
    <t>HR-14770</t>
  </si>
  <si>
    <t>Hallie Redmond</t>
  </si>
  <si>
    <t>TEC-PH-10003655</t>
  </si>
  <si>
    <t>Sannysis Cute Owl Design Soft Skin Case Cover for Samsung Galaxy S4</t>
  </si>
  <si>
    <t>CA-2015-113880</t>
  </si>
  <si>
    <t>VF-21715</t>
  </si>
  <si>
    <t>Vicky Freymann</t>
  </si>
  <si>
    <t>Elmhurst</t>
  </si>
  <si>
    <t>FUR-CH-10000863</t>
  </si>
  <si>
    <t>Novimex Swivel Fabric Task Chair</t>
  </si>
  <si>
    <t>CA-2015-131009</t>
  </si>
  <si>
    <t>SC-20380</t>
  </si>
  <si>
    <t>Shahid Collister</t>
  </si>
  <si>
    <t>El Paso</t>
  </si>
  <si>
    <t>OFF-FA-10004395</t>
  </si>
  <si>
    <t>Plymouth Boxed Rubber Bands by Plymouth</t>
  </si>
  <si>
    <t>US-2015-128685</t>
  </si>
  <si>
    <t>MZ-17515</t>
  </si>
  <si>
    <t>Mary Zewe</t>
  </si>
  <si>
    <t>OFF-BI-10004140</t>
  </si>
  <si>
    <t>Avery Non-Stick Binders</t>
  </si>
  <si>
    <t>CA-2015-130274</t>
  </si>
  <si>
    <t>JS-15940</t>
  </si>
  <si>
    <t>Joni Sundaresam</t>
  </si>
  <si>
    <t>Appleton</t>
  </si>
  <si>
    <t>OFF-LA-10002195</t>
  </si>
  <si>
    <t>Avery 481</t>
  </si>
  <si>
    <t>CA-2015-111899</t>
  </si>
  <si>
    <t>NC-18340</t>
  </si>
  <si>
    <t>Nat Carroll</t>
  </si>
  <si>
    <t>OFF-AR-10001725</t>
  </si>
  <si>
    <t>Boston Home &amp; Office Model 2000 Electric Pencil Sharpeners</t>
  </si>
  <si>
    <t>CA-2015-160773</t>
  </si>
  <si>
    <t>LW-16825</t>
  </si>
  <si>
    <t>Laurel Workman</t>
  </si>
  <si>
    <t>Deltona</t>
  </si>
  <si>
    <t>TEC-PH-10004586</t>
  </si>
  <si>
    <t>Wilson SignalBoost 841262 DB PRO Amplifier Kit</t>
  </si>
  <si>
    <t>US-2015-160444</t>
  </si>
  <si>
    <t>DC-12850</t>
  </si>
  <si>
    <t>Dan Campbell</t>
  </si>
  <si>
    <t>OFF-ST-10001522</t>
  </si>
  <si>
    <t>Gould Plastics 18-Pocket Panel Bin, 34w x 5-1/4d x 20-1/2h</t>
  </si>
  <si>
    <t>CA-2015-117345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</si>
  <si>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</si>
  <si>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</si>
  <si>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</si>
  <si>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</si>
  <si>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</si>
  <si>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</si>
  <si>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CA-2015-133690</t>
  </si>
  <si>
    <t>BS-11755</t>
  </si>
  <si>
    <t>Bruce Stewart</t>
  </si>
  <si>
    <t>Denver</t>
  </si>
  <si>
    <t>Colorado</t>
  </si>
  <si>
    <t>FUR-TA-10004289</t>
  </si>
  <si>
    <t>Tables</t>
  </si>
  <si>
    <t>BoxOffice By Design Rectangular and Half-Moon Meeting Room Tables</t>
  </si>
  <si>
    <t>CA-2015-128986</t>
  </si>
  <si>
    <t>GH-14410</t>
  </si>
  <si>
    <t>Gary Hansen</t>
  </si>
  <si>
    <t>OFF-PA-10001289</t>
  </si>
  <si>
    <t>White Computer Printout Paper by Universal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</si>
  <si>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</si>
  <si>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</si>
  <si>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</si>
  <si>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</si>
  <si>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</si>
  <si>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</si>
  <si>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CA-2015-109855</t>
  </si>
  <si>
    <t>LH-16900</t>
  </si>
  <si>
    <t>Lena Hernandez</t>
  </si>
  <si>
    <t>OFF-BI-10004716</t>
  </si>
  <si>
    <t>Wilson Jones Hanging Recycled Pressboard Data Binders</t>
  </si>
  <si>
    <t>CA-2015-157721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</si>
  <si>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</si>
  <si>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</si>
  <si>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</si>
  <si>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</si>
  <si>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</si>
  <si>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US-2015-132745</t>
  </si>
  <si>
    <t>NF-18475</t>
  </si>
  <si>
    <t>Neil FranzÃ¶sisch</t>
  </si>
  <si>
    <t>Reno</t>
  </si>
  <si>
    <t>Nevada</t>
  </si>
  <si>
    <t>OFF-FA-10000254</t>
  </si>
  <si>
    <t>Sterling Rubber Bands by Alliance</t>
  </si>
  <si>
    <t>CA-2015-108189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</si>
  <si>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</si>
  <si>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</si>
  <si>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</si>
  <si>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</si>
  <si>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</si>
  <si>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CA-2015-148915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</si>
  <si>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</si>
  <si>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</si>
  <si>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</si>
  <si>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</si>
  <si>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</si>
  <si>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</si>
  <si>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CA-2015-102673</t>
  </si>
  <si>
    <t>KH-16630</t>
  </si>
  <si>
    <t>Ken Heidel</t>
  </si>
  <si>
    <t>OFF-FA-10003021</t>
  </si>
  <si>
    <t>Staples</t>
  </si>
  <si>
    <t>US-2015-137155</t>
  </si>
  <si>
    <t>DL-12925</t>
  </si>
  <si>
    <t>Daniel Lacy</t>
  </si>
  <si>
    <t>Long Beach</t>
  </si>
  <si>
    <t>OFF-AP-10002518</t>
  </si>
  <si>
    <t>Kensington 7 Outlet MasterPiece Power Center</t>
  </si>
  <si>
    <t>CA-2015-139423</t>
  </si>
  <si>
    <t>DG-13300</t>
  </si>
  <si>
    <t>Deirdre Greer</t>
  </si>
  <si>
    <t>Orange</t>
  </si>
  <si>
    <t>New Jersey</t>
  </si>
  <si>
    <t>OFF-AP-10004708</t>
  </si>
  <si>
    <t>Fellowes Superior 10 Outlet Split Surge Protector</t>
  </si>
  <si>
    <t>CA-2015-119529</t>
  </si>
  <si>
    <t>DM-13345</t>
  </si>
  <si>
    <t>Denise Monton</t>
  </si>
  <si>
    <t>OFF-BI-10000546</t>
  </si>
  <si>
    <t>Avery Durable Binders</t>
  </si>
  <si>
    <t>US-2015-114377</t>
  </si>
  <si>
    <t>BG-11035</t>
  </si>
  <si>
    <t>Barry Gonzalez</t>
  </si>
  <si>
    <t>Hampton</t>
  </si>
  <si>
    <t>FUR-CH-10004754</t>
  </si>
  <si>
    <t>Global Stack Chair with Arms, Black</t>
  </si>
  <si>
    <t>CA-2015-131051</t>
  </si>
  <si>
    <t>TR-21325</t>
  </si>
  <si>
    <t>Toby Ritter</t>
  </si>
  <si>
    <t>FUR-FU-10001861</t>
  </si>
  <si>
    <t>Floodlight Indoor Halogen Bulbs, 1 Bulb per Pack, 60 Watts</t>
  </si>
  <si>
    <t>CA-2015-114181</t>
  </si>
  <si>
    <t>AF-10885</t>
  </si>
  <si>
    <t>Art Foster</t>
  </si>
  <si>
    <t>Philadelphia</t>
  </si>
  <si>
    <t>Pennsylvania</t>
  </si>
  <si>
    <t>FUR-BO-10004467</t>
  </si>
  <si>
    <t>Bookcases</t>
  </si>
  <si>
    <t>Bestar Classic Bookcase</t>
  </si>
  <si>
    <t>US-2015-102071</t>
  </si>
  <si>
    <t>PG-18820</t>
  </si>
  <si>
    <t>Patrick Gardner</t>
  </si>
  <si>
    <t>TEC-AC-10003441</t>
  </si>
  <si>
    <t>Kingston Digital DataTraveler 32GB USB 2.0</t>
  </si>
  <si>
    <t>CA-2015-159709</t>
  </si>
  <si>
    <t>AI-10855</t>
  </si>
  <si>
    <t>Arianne Irving</t>
  </si>
  <si>
    <t>Kent</t>
  </si>
  <si>
    <t>Washington</t>
  </si>
  <si>
    <t>OFF-EN-10001434</t>
  </si>
  <si>
    <t>Envelopes</t>
  </si>
  <si>
    <t>Strathmore #10 Envelopes, Ultimate White</t>
  </si>
  <si>
    <t>CA-2015-103310</t>
  </si>
  <si>
    <t>GM-14680</t>
  </si>
  <si>
    <t>Greg Matthias</t>
  </si>
  <si>
    <t>San Jose</t>
  </si>
  <si>
    <t>OFF-PA-10004353</t>
  </si>
  <si>
    <t>Southworth 25% Cotton Premium Laser Paper and Envelopes</t>
  </si>
  <si>
    <t>CA-2015-119172</t>
  </si>
  <si>
    <t>HD-14785</t>
  </si>
  <si>
    <t>Harold Dahlen</t>
  </si>
  <si>
    <t>OFF-PA-10003036</t>
  </si>
  <si>
    <t>Black Print Carbonless 8 1/2" x 8 1/4" Rapid Memo Book</t>
  </si>
  <si>
    <t>CA-2015-127159</t>
  </si>
  <si>
    <t>HL-15040</t>
  </si>
  <si>
    <t>Hunter Lopez</t>
  </si>
  <si>
    <t>Milwaukee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</si>
  <si>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</si>
  <si>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</si>
  <si>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</si>
  <si>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</si>
  <si>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</si>
  <si>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</si>
  <si>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</si>
  <si>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CA-2015-103849</t>
  </si>
  <si>
    <t>PG-18895</t>
  </si>
  <si>
    <t>Paul Gonzalez</t>
  </si>
  <si>
    <t>Fort Worth</t>
  </si>
  <si>
    <t>TEC-AC-10001465</t>
  </si>
  <si>
    <t>SanDisk Cruzer 64 GB USB Flash Drive</t>
  </si>
  <si>
    <t>CA-2015-152100</t>
  </si>
  <si>
    <t>VW-21775</t>
  </si>
  <si>
    <t>Victoria Wilson</t>
  </si>
  <si>
    <t>Huntsville</t>
  </si>
  <si>
    <t>FUR-CH-10000015</t>
  </si>
  <si>
    <t>Hon Multipurpose Stacking Arm Chairs</t>
  </si>
  <si>
    <t>CA-2015-139017</t>
  </si>
  <si>
    <t>RM-19375</t>
  </si>
  <si>
    <t>Raymond Messe</t>
  </si>
  <si>
    <t>TEC-AC-10001013</t>
  </si>
  <si>
    <t>Logitech ClearChat Comfort/USB Headset H390</t>
  </si>
  <si>
    <t>CA-2015-127523</t>
  </si>
  <si>
    <t>BG-11695</t>
  </si>
  <si>
    <t>Brooke Gillingham</t>
  </si>
  <si>
    <t>CA-2015-113768</t>
  </si>
  <si>
    <t>AH-10030</t>
  </si>
  <si>
    <t>Aaron Hawkins</t>
  </si>
  <si>
    <t>FUR-CH-10002439</t>
  </si>
  <si>
    <t>Iceberg Nesting Folding Chair, 19w x 6d x 43h</t>
  </si>
  <si>
    <t>CA-2015-104780</t>
  </si>
  <si>
    <t>BT-11530</t>
  </si>
  <si>
    <t>Bradley Talbott</t>
  </si>
  <si>
    <t>San Diego</t>
  </si>
  <si>
    <t>OFF-AR-10003514</t>
  </si>
  <si>
    <t>4009 Highlighters by Sanford</t>
  </si>
  <si>
    <t>CA-2015-139857</t>
  </si>
  <si>
    <t>CD-12790</t>
  </si>
  <si>
    <t>Cynthia Delaney</t>
  </si>
  <si>
    <t>OFF-FA-10001843</t>
  </si>
  <si>
    <t>CA-2015-111059</t>
  </si>
  <si>
    <t>TB-21400</t>
  </si>
  <si>
    <t>Tom Boeckenhauer</t>
  </si>
  <si>
    <t>Seattle</t>
  </si>
  <si>
    <t>OFF-BI-10004593</t>
  </si>
  <si>
    <t>Ibico Laser Imprintable Binding System Covers</t>
  </si>
  <si>
    <t>CA-2015-104269</t>
  </si>
  <si>
    <t>DB-13060</t>
  </si>
  <si>
    <t>Dave Brooks</t>
  </si>
  <si>
    <t>FUR-CH-10004063</t>
  </si>
  <si>
    <t>Global Deluxe High-Back Manager's Chair</t>
  </si>
  <si>
    <t>US-2015-157021</t>
  </si>
  <si>
    <t>KM-16720</t>
  </si>
  <si>
    <t>Kunst Miller</t>
  </si>
  <si>
    <t>Vallejo</t>
  </si>
  <si>
    <t>OFF-LA-10002312</t>
  </si>
  <si>
    <t>Avery 490</t>
  </si>
  <si>
    <t>CA-2015-138359</t>
  </si>
  <si>
    <t>KH-16330</t>
  </si>
  <si>
    <t>Katharine Harms</t>
  </si>
  <si>
    <t>Revere</t>
  </si>
  <si>
    <t>OFF-ST-10000636</t>
  </si>
  <si>
    <t>Rogers Profile Extra Capacity Storage Tub</t>
  </si>
  <si>
    <t>US-2015-157847</t>
  </si>
  <si>
    <t>SC-20020</t>
  </si>
  <si>
    <t>Sam Craven</t>
  </si>
  <si>
    <t>OFF-PA-10002986</t>
  </si>
  <si>
    <t>Xerox 1898</t>
  </si>
  <si>
    <t>CA-2015-131926</t>
  </si>
  <si>
    <t>DW-13480</t>
  </si>
  <si>
    <t>Dianna Wilson</t>
  </si>
  <si>
    <t>Lakeville</t>
  </si>
  <si>
    <t>Minnesota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</si>
  <si>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</si>
  <si>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</si>
  <si>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</si>
  <si>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</si>
  <si>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</si>
  <si>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</si>
  <si>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US-2015-165659</t>
  </si>
  <si>
    <t>LT-17110</t>
  </si>
  <si>
    <t>Liz Thompson</t>
  </si>
  <si>
    <t>Little Rock</t>
  </si>
  <si>
    <t>Arkansas</t>
  </si>
  <si>
    <t>FUR-FU-10001935</t>
  </si>
  <si>
    <t>3M Hangers With Command Adhesive</t>
  </si>
  <si>
    <t>US-2015-157070</t>
  </si>
  <si>
    <t>QJ-19255</t>
  </si>
  <si>
    <t>Quincy Jones</t>
  </si>
  <si>
    <t>Detroit</t>
  </si>
  <si>
    <t>OFF-BI-10001765</t>
  </si>
  <si>
    <t>Wilson Jones Heavy-Duty Casebound Ring Binders with Metal Hinges</t>
  </si>
  <si>
    <t>CA-2015-100895</t>
  </si>
  <si>
    <t>SV-20785</t>
  </si>
  <si>
    <t>Stewart Visinsky</t>
  </si>
  <si>
    <t>OFF-AR-10004511</t>
  </si>
  <si>
    <t>Sanford Colorific Scented Colored Pencils, 12/Pack</t>
  </si>
  <si>
    <t>CA-2015-153150</t>
  </si>
  <si>
    <t>Dl-13600</t>
  </si>
  <si>
    <t>Dorris liebe</t>
  </si>
  <si>
    <t>OFF-BI-10003355</t>
  </si>
  <si>
    <t>Cardinal Holdit Business Card Pockets</t>
  </si>
  <si>
    <t>CA-2015-107594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</si>
  <si>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</si>
  <si>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</si>
  <si>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</si>
  <si>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</si>
  <si>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</si>
  <si>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CA-2015-162684</t>
  </si>
  <si>
    <t>AS-10630</t>
  </si>
  <si>
    <t>Ann Steele</t>
  </si>
  <si>
    <t>OFF-FA-10000992</t>
  </si>
  <si>
    <t>Acco Clips to Go Binder Clips, 24 Clips in Two Sizes</t>
  </si>
  <si>
    <t>CA-2015-166891</t>
  </si>
  <si>
    <t>CC-12220</t>
  </si>
  <si>
    <t>Chris Cortes</t>
  </si>
  <si>
    <t>FUR-CH-10003298</t>
  </si>
  <si>
    <t>Office Star - Contemporary Task Swivel chair with Loop Arms, Charcoal</t>
  </si>
  <si>
    <t>CA-2015-152233</t>
  </si>
  <si>
    <t>KH-16510</t>
  </si>
  <si>
    <t>Keith Herrera</t>
  </si>
  <si>
    <t>Pomona</t>
  </si>
  <si>
    <t>TEC-AC-10002800</t>
  </si>
  <si>
    <t>Plantronics Audio 478 Stereo USB Headset</t>
  </si>
  <si>
    <t>CA-2015-107454</t>
  </si>
  <si>
    <t>RD-19720</t>
  </si>
  <si>
    <t>Roger Demir</t>
  </si>
  <si>
    <t>OFF-LA-10001569</t>
  </si>
  <si>
    <t>Avery 499</t>
  </si>
  <si>
    <t>CA-2015-129147</t>
  </si>
  <si>
    <t>LC-17050</t>
  </si>
  <si>
    <t>Liz Carlisle</t>
  </si>
  <si>
    <t>Medina</t>
  </si>
  <si>
    <t>TEC-PH-10001299</t>
  </si>
  <si>
    <t>Polycom CX300 Desktop Phone USB VoIP phone</t>
  </si>
  <si>
    <t>CA-2015-120670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</si>
  <si>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</si>
  <si>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</si>
  <si>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</si>
  <si>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</si>
  <si>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</si>
  <si>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CA-2015-115889</t>
  </si>
  <si>
    <t>SH-20395</t>
  </si>
  <si>
    <t>Shahid Hopkins</t>
  </si>
  <si>
    <t>TEC-PH-10001615</t>
  </si>
  <si>
    <t>AT&amp;T CL82213</t>
  </si>
  <si>
    <t>US-2015-117744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</si>
  <si>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</si>
  <si>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</si>
  <si>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</si>
  <si>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</si>
  <si>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</si>
  <si>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CA-2015-164861</t>
  </si>
  <si>
    <t>MC-17635</t>
  </si>
  <si>
    <t>Matthew Clasen</t>
  </si>
  <si>
    <t>Saint Louis</t>
  </si>
  <si>
    <t>OFF-PA-10001972</t>
  </si>
  <si>
    <t>Xerox 214</t>
  </si>
  <si>
    <t>CA-2015-108147</t>
  </si>
  <si>
    <t>RD-19480</t>
  </si>
  <si>
    <t>Rick Duston</t>
  </si>
  <si>
    <t>OFF-BI-10003876</t>
  </si>
  <si>
    <t>Green Canvas Binder for 8-1/2" x 14" Sheets</t>
  </si>
  <si>
    <t>CA-2015-133753</t>
  </si>
  <si>
    <t>CW-11905</t>
  </si>
  <si>
    <t>Carl Weiss</t>
  </si>
  <si>
    <t>TEC-PH-10000376</t>
  </si>
  <si>
    <t>Square Credit Card Reader</t>
  </si>
  <si>
    <t>CA-2015-160262</t>
  </si>
  <si>
    <t>TS-21205</t>
  </si>
  <si>
    <t>Thomas Seio</t>
  </si>
  <si>
    <t>North Las Vegas</t>
  </si>
  <si>
    <t>OFF-AR-10002335</t>
  </si>
  <si>
    <t>DIXON Oriole Pencils</t>
  </si>
  <si>
    <t>US-2015-141257</t>
  </si>
  <si>
    <t>CS-11950</t>
  </si>
  <si>
    <t>Carlos Soltero</t>
  </si>
  <si>
    <t>FUR-CH-10002758</t>
  </si>
  <si>
    <t>Hon Deluxe Fabric Upholstered Stacking Chairs, Squared Back</t>
  </si>
  <si>
    <t>CA-2015-115812</t>
  </si>
  <si>
    <t>BH-11710</t>
  </si>
  <si>
    <t>Brosina Hoffman</t>
  </si>
  <si>
    <t>FUR-FU-10001487</t>
  </si>
  <si>
    <t>Eldon Expressions Wood and Plastic Desk Accessories, Cherry Wood</t>
  </si>
  <si>
    <t>CA-2015-144281</t>
  </si>
  <si>
    <t>HK-14890</t>
  </si>
  <si>
    <t>Heather Kirkland</t>
  </si>
  <si>
    <t>OFF-LA-10003930</t>
  </si>
  <si>
    <t>Dot Matrix Printer Tape Reel Labels, White, 5000/Box</t>
  </si>
  <si>
    <t>CA-2015-133851</t>
  </si>
  <si>
    <t>CM-12445</t>
  </si>
  <si>
    <t>Chuck Magee</t>
  </si>
  <si>
    <t>OFF-SU-10001225</t>
  </si>
  <si>
    <t>Supplies</t>
  </si>
  <si>
    <t>Staple remover</t>
  </si>
  <si>
    <t>CA-2015-103800</t>
  </si>
  <si>
    <t>DP-13000</t>
  </si>
  <si>
    <t>Darren Powers</t>
  </si>
  <si>
    <t>OFF-PA-10000174</t>
  </si>
  <si>
    <t>Message Book, Wirebound, Four 5 1/2" X 4" Forms/Pg., 200 Dupl. Sets/Book</t>
  </si>
  <si>
    <t>CA-2015-168312</t>
  </si>
  <si>
    <t>GW-14605</t>
  </si>
  <si>
    <t>Giulietta Weimer</t>
  </si>
  <si>
    <t>OFF-ST-10003692</t>
  </si>
  <si>
    <t>Recycled Steel Personal File for Hanging File Folders</t>
  </si>
  <si>
    <t>CA-2015-155852</t>
  </si>
  <si>
    <t>AJ-10945</t>
  </si>
  <si>
    <t>Ashley Jarboe</t>
  </si>
  <si>
    <t>Wilmington</t>
  </si>
  <si>
    <t>OFF-AR-10003560</t>
  </si>
  <si>
    <t>Zebra Zazzle Fluorescent Highlighters</t>
  </si>
  <si>
    <t>CA-2015-105648</t>
  </si>
  <si>
    <t>EJ-14155</t>
  </si>
  <si>
    <t>Eva Jacobs</t>
  </si>
  <si>
    <t>FUR-TA-10002958</t>
  </si>
  <si>
    <t>Bevis Oval Conference Table, Walnut</t>
  </si>
  <si>
    <t>CA-2015-113887</t>
  </si>
  <si>
    <t>TH-21550</t>
  </si>
  <si>
    <t>Tracy Hopkins</t>
  </si>
  <si>
    <t>OFF-PA-10004071</t>
  </si>
  <si>
    <t>Eaton Premium Continuous-Feed Paper, 25% Cotton, Letter Size, White, 1000 Shts/Box</t>
  </si>
  <si>
    <t>CA-2015-151001</t>
  </si>
  <si>
    <t>JG-15805</t>
  </si>
  <si>
    <t>John Grady</t>
  </si>
  <si>
    <t>Decatur</t>
  </si>
  <si>
    <t>OFF-ST-10003455</t>
  </si>
  <si>
    <t>Tenex File Box, Personal Filing Tote with Lid, Black</t>
  </si>
  <si>
    <t>CA-2015-149104</t>
  </si>
  <si>
    <t>RD-19900</t>
  </si>
  <si>
    <t>Ruben Dartt</t>
  </si>
  <si>
    <t>Dearborn Heights</t>
  </si>
  <si>
    <t>OFF-AR-10002952</t>
  </si>
  <si>
    <t>Stanley Contemporary Battery Pencil Sharpeners</t>
  </si>
  <si>
    <t>CA-2015-165806</t>
  </si>
  <si>
    <t>VM-21685</t>
  </si>
  <si>
    <t>Valerie Mitchum</t>
  </si>
  <si>
    <t>Marietta</t>
  </si>
  <si>
    <t>OFF-PA-10003441</t>
  </si>
  <si>
    <t>Xerox 226</t>
  </si>
  <si>
    <t>US-2015-148194</t>
  </si>
  <si>
    <t>BS-11365</t>
  </si>
  <si>
    <t>Bill Shonely</t>
  </si>
  <si>
    <t>FUR-FU-10001852</t>
  </si>
  <si>
    <t>Eldon Regeneration Recycled Desk Accessories, Smoke</t>
  </si>
  <si>
    <t>CA-2015-111934</t>
  </si>
  <si>
    <t>GD-14590</t>
  </si>
  <si>
    <t>Giulietta Dortch</t>
  </si>
  <si>
    <t>Arlington</t>
  </si>
  <si>
    <t>OFF-BI-10004364</t>
  </si>
  <si>
    <t>Storex Dura Pro Binders</t>
  </si>
  <si>
    <t>CA-2015-104472</t>
  </si>
  <si>
    <t>CK-12325</t>
  </si>
  <si>
    <t>Christine Kargatis</t>
  </si>
  <si>
    <t>Orem</t>
  </si>
  <si>
    <t>OFF-BI-10001658</t>
  </si>
  <si>
    <t>GBC Standard Therm-A-Bind Covers</t>
  </si>
  <si>
    <t>CA-2015-135657</t>
  </si>
  <si>
    <t>SC-20725</t>
  </si>
  <si>
    <t>Steven Cartwright</t>
  </si>
  <si>
    <t>FUR-TA-10004086</t>
  </si>
  <si>
    <t>KI Adjustable-Height Table</t>
  </si>
  <si>
    <t>CA-2015-141299</t>
  </si>
  <si>
    <t>RB-19795</t>
  </si>
  <si>
    <t>Ross Baird</t>
  </si>
  <si>
    <t>Midland</t>
  </si>
  <si>
    <t>OFF-EN-10004459</t>
  </si>
  <si>
    <t>Security-Tint Envelopes</t>
  </si>
  <si>
    <t>CA-2015-120096</t>
  </si>
  <si>
    <t>KE-16420</t>
  </si>
  <si>
    <t>Katrina Edelman</t>
  </si>
  <si>
    <t>Aurora</t>
  </si>
  <si>
    <t>OFF-PA-10001977</t>
  </si>
  <si>
    <t>Xerox 194</t>
  </si>
  <si>
    <t>US-2015-117968</t>
  </si>
  <si>
    <t>RS-19420</t>
  </si>
  <si>
    <t>Ricardo Sperren</t>
  </si>
  <si>
    <t>Meriden</t>
  </si>
  <si>
    <t>OFF-AP-10002765</t>
  </si>
  <si>
    <t>Fellowes Advanced Computer Series Surge Protectors</t>
  </si>
  <si>
    <t>CA-2015-151792</t>
  </si>
  <si>
    <t>CV-12295</t>
  </si>
  <si>
    <t>Christina VanderZanden</t>
  </si>
  <si>
    <t>TEC-AC-10001606</t>
  </si>
  <si>
    <t>Logitech Wireless Performance Mouse MX for PC and Mac</t>
  </si>
  <si>
    <t>CA-2015-158281</t>
  </si>
  <si>
    <t>AG-10525</t>
  </si>
  <si>
    <t>Andy Gerbode</t>
  </si>
  <si>
    <t>TEC-MA-10002210</t>
  </si>
  <si>
    <t>Machines</t>
  </si>
  <si>
    <t>Epson TM-T88V Direct Thermal Printer - Monochrome - Desktop</t>
  </si>
  <si>
    <t>CA-2015-152268</t>
  </si>
  <si>
    <t>SC-20095</t>
  </si>
  <si>
    <t>Sanjit Chand</t>
  </si>
  <si>
    <t>Fayetteville</t>
  </si>
  <si>
    <t>OFF-BI-10001359</t>
  </si>
  <si>
    <t>GBC DocuBind TL300 Electric Binding System</t>
  </si>
  <si>
    <t>CA-2015-136861</t>
  </si>
  <si>
    <t>PR-18880</t>
  </si>
  <si>
    <t>Patrick Ryan</t>
  </si>
  <si>
    <t>Saint Petersburg</t>
  </si>
  <si>
    <t>FUR-FU-10001967</t>
  </si>
  <si>
    <t>Telescoping Adjustable Floor Lamp</t>
  </si>
  <si>
    <t>CA-2015-120775</t>
  </si>
  <si>
    <t>RD-19930</t>
  </si>
  <si>
    <t>Russell D'Ascenzo</t>
  </si>
  <si>
    <t>Dallas</t>
  </si>
  <si>
    <t>OFF-FA-10002676</t>
  </si>
  <si>
    <t>Colored Push Pins</t>
  </si>
  <si>
    <t>CA-2015-134313</t>
  </si>
  <si>
    <t>RA-19915</t>
  </si>
  <si>
    <t>Russell Applegate</t>
  </si>
  <si>
    <t>OFF-AR-10001897</t>
  </si>
  <si>
    <t>Model L Table or Wall-Mount Pencil Sharpener</t>
  </si>
  <si>
    <t>CA-2015-148782</t>
  </si>
  <si>
    <t>PO-18850</t>
  </si>
  <si>
    <t>Patrick O'Brill</t>
  </si>
  <si>
    <t>Irving</t>
  </si>
  <si>
    <t>CA-2015-134726</t>
  </si>
  <si>
    <t>SW-20755</t>
  </si>
  <si>
    <t>Steven Ward</t>
  </si>
  <si>
    <t>TEC-AC-10000023</t>
  </si>
  <si>
    <t>Maxell 74 Minute CD-R Spindle, 50/Pack</t>
  </si>
  <si>
    <t>CA-2015-121573</t>
  </si>
  <si>
    <t>SG-20605</t>
  </si>
  <si>
    <t>Speros Goranitis</t>
  </si>
  <si>
    <t>TEC-PH-10000984</t>
  </si>
  <si>
    <t>Panasonic KX-TG9471B</t>
  </si>
  <si>
    <t>US-2015-124625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</si>
  <si>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</si>
  <si>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</si>
  <si>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</si>
  <si>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</si>
  <si>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</si>
  <si>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</si>
  <si>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CA-2015-131527</t>
  </si>
  <si>
    <t>TB-21280</t>
  </si>
  <si>
    <t>Toby Braunhardt</t>
  </si>
  <si>
    <t>Jacksonville</t>
  </si>
  <si>
    <t>TEC-PH-10001644</t>
  </si>
  <si>
    <t>BlueLounge Milo Smartphone Stand, White/Metallic</t>
  </si>
  <si>
    <t>CA-2015-132864</t>
  </si>
  <si>
    <t>KN-16390</t>
  </si>
  <si>
    <t>Katherine Nockton</t>
  </si>
  <si>
    <t>TEC-AC-10001267</t>
  </si>
  <si>
    <t>ImationÂ 32GB Pocket Pro USB 3.0Â Flash DriveÂ - 32 GB - Black - 1 P ...</t>
  </si>
  <si>
    <t>CA-2015-154095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</si>
  <si>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</si>
  <si>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</si>
  <si>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</si>
  <si>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</si>
  <si>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</si>
  <si>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</si>
  <si>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CA-2015-125542</t>
  </si>
  <si>
    <t>NB-18655</t>
  </si>
  <si>
    <t>Nona Balk</t>
  </si>
  <si>
    <t>OFF-EN-10000056</t>
  </si>
  <si>
    <t>Cameo Buff Policy Envelopes</t>
  </si>
  <si>
    <t>CA-2015-150203</t>
  </si>
  <si>
    <t>JB-15925</t>
  </si>
  <si>
    <t>Joni Blumstein</t>
  </si>
  <si>
    <t>OFF-AP-10001469</t>
  </si>
  <si>
    <t>Fellowes 8 Outlet Superior Workstation Surge Protector</t>
  </si>
  <si>
    <t>CA-2015-113271</t>
  </si>
  <si>
    <t>DS-13030</t>
  </si>
  <si>
    <t>Darrin Sayre</t>
  </si>
  <si>
    <t>OFF-BI-10002609</t>
  </si>
  <si>
    <t>Avery Hidden Tab Dividers for Binding Systems</t>
  </si>
  <si>
    <t>CA-2015-123225</t>
  </si>
  <si>
    <t>MN-17935</t>
  </si>
  <si>
    <t>Michael Nguyen</t>
  </si>
  <si>
    <t>TEC-PH-10000895</t>
  </si>
  <si>
    <t>Polycom VVX 310 VoIP phone</t>
  </si>
  <si>
    <t>CA-2015-165379</t>
  </si>
  <si>
    <t>BM-11650</t>
  </si>
  <si>
    <t>Brian Moss</t>
  </si>
  <si>
    <t>OFF-PA-10003072</t>
  </si>
  <si>
    <t>Eureka Recycled Copy Paper 8 1/2" x 11", Ream</t>
  </si>
  <si>
    <t>CA-2015-163552</t>
  </si>
  <si>
    <t>LA-16780</t>
  </si>
  <si>
    <t>Laura Armstrong</t>
  </si>
  <si>
    <t>Hackensack</t>
  </si>
  <si>
    <t>OFF-PA-10000474</t>
  </si>
  <si>
    <t>Easy-staple paper</t>
  </si>
  <si>
    <t>CA-2015-133305</t>
  </si>
  <si>
    <t>MH-17455</t>
  </si>
  <si>
    <t>Mark Hamilton</t>
  </si>
  <si>
    <t>OFF-PA-10001970</t>
  </si>
  <si>
    <t>Xerox 1881</t>
  </si>
  <si>
    <t>CA-2015-124807</t>
  </si>
  <si>
    <t>ME-17725</t>
  </si>
  <si>
    <t>Max Engle</t>
  </si>
  <si>
    <t>OFF-PA-10001526</t>
  </si>
  <si>
    <t>Xerox 1949</t>
  </si>
  <si>
    <t>CA-2015-110184</t>
  </si>
  <si>
    <t>BF-11170</t>
  </si>
  <si>
    <t>Ben Ferrer</t>
  </si>
  <si>
    <t>CA-2015-161508</t>
  </si>
  <si>
    <t>PV-18985</t>
  </si>
  <si>
    <t>Paul Van Hugh</t>
  </si>
  <si>
    <t>League City</t>
  </si>
  <si>
    <t>FUR-CH-10002126</t>
  </si>
  <si>
    <t>Hon Deluxe Fabric Upholstered Stacking Chairs</t>
  </si>
  <si>
    <t>CA-2015-129924</t>
  </si>
  <si>
    <t>AC-10420</t>
  </si>
  <si>
    <t>Alyssa Crouse</t>
  </si>
  <si>
    <t>OFF-BI-10003314</t>
  </si>
  <si>
    <t>Tuff Stuff Recycled Round Ring Binders</t>
  </si>
  <si>
    <t>CA-2015-124464</t>
  </si>
  <si>
    <t>SS-20515</t>
  </si>
  <si>
    <t>Shirley Schmidt</t>
  </si>
  <si>
    <t>Newark</t>
  </si>
  <si>
    <t>OFF-AP-10000576</t>
  </si>
  <si>
    <t>Belkin 7 Outlet SurgeMaster II</t>
  </si>
  <si>
    <t>CA-2015-112326</t>
  </si>
  <si>
    <t>PO-19195</t>
  </si>
  <si>
    <t>Phillina Ober</t>
  </si>
  <si>
    <t>Naperville</t>
  </si>
  <si>
    <t>OFF-LA-10003223</t>
  </si>
  <si>
    <t>Avery 508</t>
  </si>
  <si>
    <t>CA-2015-130813</t>
  </si>
  <si>
    <t>LS-17230</t>
  </si>
  <si>
    <t>Lycoris Saunders</t>
  </si>
  <si>
    <t>OFF-PA-10002005</t>
  </si>
  <si>
    <t>Xerox 225</t>
  </si>
  <si>
    <t>CA-2015-107181</t>
  </si>
  <si>
    <t>DB-13270</t>
  </si>
  <si>
    <t>Deborah Brumfield</t>
  </si>
  <si>
    <t>OFF-BI-10004230</t>
  </si>
  <si>
    <t>GBC Recycled Grain Textured Covers</t>
  </si>
  <si>
    <t>CA-2015-104808</t>
  </si>
  <si>
    <t>MH-17440</t>
  </si>
  <si>
    <t>Mark Haberlin</t>
  </si>
  <si>
    <t>OFF-BI-10003676</t>
  </si>
  <si>
    <t>GBC Standard Recycled Report Covers, Clear Plastic Sheets</t>
  </si>
  <si>
    <t>CA-2015-107524</t>
  </si>
  <si>
    <t>KN-16705</t>
  </si>
  <si>
    <t>Kristina Nunn</t>
  </si>
  <si>
    <t>OFF-EN-10001990</t>
  </si>
  <si>
    <t>Staple envelope</t>
  </si>
  <si>
    <t>CA-2015-127964</t>
  </si>
  <si>
    <t>AP-10720</t>
  </si>
  <si>
    <t>Anne Pryor</t>
  </si>
  <si>
    <t>TEC-PH-10004700</t>
  </si>
  <si>
    <t>PowerGen Dual USB Car Charger</t>
  </si>
  <si>
    <t>US-2015-127978</t>
  </si>
  <si>
    <t>JS-15595</t>
  </si>
  <si>
    <t>Jill Stevenson</t>
  </si>
  <si>
    <t>OFF-LA-10000305</t>
  </si>
  <si>
    <t>Avery 495</t>
  </si>
  <si>
    <t>CA-2015-169061</t>
  </si>
  <si>
    <t>AB-10150</t>
  </si>
  <si>
    <t>Aimee Bixby</t>
  </si>
  <si>
    <t>Yonkers</t>
  </si>
  <si>
    <t>OFF-AR-10000588</t>
  </si>
  <si>
    <t>Newell 345</t>
  </si>
  <si>
    <t>CA-2015-156587</t>
  </si>
  <si>
    <t>AB-10015</t>
  </si>
  <si>
    <t>Aaron Bergman</t>
  </si>
  <si>
    <t>FUR-CH-10004477</t>
  </si>
  <si>
    <t>Global Push Button Manager's Chair, Indigo</t>
  </si>
  <si>
    <t>CA-2015-164315</t>
  </si>
  <si>
    <t>RD-19585</t>
  </si>
  <si>
    <t>Rob Dowd</t>
  </si>
  <si>
    <t>Athens</t>
  </si>
  <si>
    <t>OFF-PA-10004248</t>
  </si>
  <si>
    <t>Xerox 1990</t>
  </si>
  <si>
    <t>CA-2015-160276</t>
  </si>
  <si>
    <t>AH-10690</t>
  </si>
  <si>
    <t>Anna HÃ¤berlin</t>
  </si>
  <si>
    <t>Virginia Beach</t>
  </si>
  <si>
    <t>FUR-FU-10003192</t>
  </si>
  <si>
    <t>Luxo Adjustable Task Clamp Lamp</t>
  </si>
  <si>
    <t>CA-2015-149538</t>
  </si>
  <si>
    <t>KB-16585</t>
  </si>
  <si>
    <t>Ken Black</t>
  </si>
  <si>
    <t>Lafayette</t>
  </si>
  <si>
    <t>Louisiana</t>
  </si>
  <si>
    <t>OFF-ST-10004180</t>
  </si>
  <si>
    <t>Safco Commercial Shelving</t>
  </si>
  <si>
    <t>US-2015-118486</t>
  </si>
  <si>
    <t>SD-20485</t>
  </si>
  <si>
    <t>Shirley Daniels</t>
  </si>
  <si>
    <t>OFF-SU-10004498</t>
  </si>
  <si>
    <t>Martin-Yale Premier Letter Opener</t>
  </si>
  <si>
    <t>CA-2015-117709</t>
  </si>
  <si>
    <t>PM-18940</t>
  </si>
  <si>
    <t>Paul MacIntyre</t>
  </si>
  <si>
    <t>Jackson</t>
  </si>
  <si>
    <t>OFF-BI-10001294</t>
  </si>
  <si>
    <t>Fellowes Binding Cases</t>
  </si>
  <si>
    <t>CA-2015-110219</t>
  </si>
  <si>
    <t>EB-13870</t>
  </si>
  <si>
    <t>Emily Burns</t>
  </si>
  <si>
    <t>San Antonio</t>
  </si>
  <si>
    <t>CA-2015-157784</t>
  </si>
  <si>
    <t>MC-17845</t>
  </si>
  <si>
    <t>Michael Chen</t>
  </si>
  <si>
    <t>Mississippi</t>
  </si>
  <si>
    <t>TEC-AC-10003911</t>
  </si>
  <si>
    <t>NETGEAR AC1750 Dual Band GigabitÂ Smart WiFi Router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</si>
  <si>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</si>
  <si>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</si>
  <si>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</si>
  <si>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</si>
  <si>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</si>
  <si>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</si>
  <si>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CA-2015-134278</t>
  </si>
  <si>
    <t>EP-13915</t>
  </si>
  <si>
    <t>Emily Phan</t>
  </si>
  <si>
    <t>TEC-CO-10001046</t>
  </si>
  <si>
    <t>Canon Imageclass D680 Copier / Fax</t>
  </si>
  <si>
    <t>US-2015-106299</t>
  </si>
  <si>
    <t>NZ-18565</t>
  </si>
  <si>
    <t>Nick Zandusky</t>
  </si>
  <si>
    <t>OFF-BI-10001758</t>
  </si>
  <si>
    <t>Wilson Jones 14 Line Acrylic Coated Pressboard Data Binders</t>
  </si>
  <si>
    <t>CA-2015-125612</t>
  </si>
  <si>
    <t>BK-11260</t>
  </si>
  <si>
    <t>Berenike Kampe</t>
  </si>
  <si>
    <t>OFF-PA-10001019</t>
  </si>
  <si>
    <t>Xerox 1884</t>
  </si>
  <si>
    <t>CA-2015-134215</t>
  </si>
  <si>
    <t>ML-17395</t>
  </si>
  <si>
    <t>Marina Lichtenstein</t>
  </si>
  <si>
    <t>Bangor</t>
  </si>
  <si>
    <t>Maine</t>
  </si>
  <si>
    <t>OFF-AP-10001271</t>
  </si>
  <si>
    <t>Eureka The Boss Cordless Rechargeable Stick Vac</t>
  </si>
  <si>
    <t>CA-2015-106971</t>
  </si>
  <si>
    <t>BM-11785</t>
  </si>
  <si>
    <t>Bryan Mills</t>
  </si>
  <si>
    <t>Buffalo Grove</t>
  </si>
  <si>
    <t>TEC-AC-10000844</t>
  </si>
  <si>
    <t>LogitechÂ Gaming G510s - Keyboard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</si>
  <si>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</si>
  <si>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</si>
  <si>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</si>
  <si>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</si>
  <si>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</si>
  <si>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</si>
  <si>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>CA-2015-157882</t>
  </si>
  <si>
    <t>AR-10405</t>
  </si>
  <si>
    <t>Allen Rosenblatt</t>
  </si>
  <si>
    <t>FUR-TA-10001866</t>
  </si>
  <si>
    <t>Bevis Round Conference Room Tables and Bases</t>
  </si>
  <si>
    <t>CA-2015-153479</t>
  </si>
  <si>
    <t>DF-13135</t>
  </si>
  <si>
    <t>David Flashing</t>
  </si>
  <si>
    <t>OFF-LA-10004689</t>
  </si>
  <si>
    <t>Avery 512</t>
  </si>
  <si>
    <t>CA-2015-132542</t>
  </si>
  <si>
    <t>AM-10360</t>
  </si>
  <si>
    <t>Alice McCarthy</t>
  </si>
  <si>
    <t>CA-2015-142951</t>
  </si>
  <si>
    <t>JG-15115</t>
  </si>
  <si>
    <t>Jack Garza</t>
  </si>
  <si>
    <t>TEC-AC-10002331</t>
  </si>
  <si>
    <t>Maxell 74 Minute CDR, 10/Pack</t>
  </si>
  <si>
    <t>CA-2015-126907</t>
  </si>
  <si>
    <t>SM-20950</t>
  </si>
  <si>
    <t>Suzanne McNair</t>
  </si>
  <si>
    <t>OFF-PA-10000533</t>
  </si>
  <si>
    <t>Southworth Parchment Paper &amp; Envelopes</t>
  </si>
  <si>
    <t>CA-2015-152562</t>
  </si>
  <si>
    <t>JO-15145</t>
  </si>
  <si>
    <t>Jack O'Briant</t>
  </si>
  <si>
    <t>OFF-ST-10000464</t>
  </si>
  <si>
    <t>Multi-Use Personal File Cart and Caster Set, Three Stacking Bins</t>
  </si>
  <si>
    <t>CA-2015-168305</t>
  </si>
  <si>
    <t>PL-18925</t>
  </si>
  <si>
    <t>Paul Lucas</t>
  </si>
  <si>
    <t>OFF-LA-10003498</t>
  </si>
  <si>
    <t>Avery 475</t>
  </si>
  <si>
    <t>CA-2015-137589</t>
  </si>
  <si>
    <t>MS-17770</t>
  </si>
  <si>
    <t>Maxwell Schwartz</t>
  </si>
  <si>
    <t>Lancaster</t>
  </si>
  <si>
    <t>OFF-SU-10000157</t>
  </si>
  <si>
    <t>Compact Automatic Electric Letter Opener</t>
  </si>
  <si>
    <t>CA-2015-146731</t>
  </si>
  <si>
    <t>AT-10735</t>
  </si>
  <si>
    <t>Annie Thurman</t>
  </si>
  <si>
    <t>Nashville</t>
  </si>
  <si>
    <t>Tennessee</t>
  </si>
  <si>
    <t>OFF-PA-10000141</t>
  </si>
  <si>
    <t>Ampad Evidence Wirebond Steno Books, 6" x 9"</t>
  </si>
  <si>
    <t>CA-2015-149244</t>
  </si>
  <si>
    <t>MS-17530</t>
  </si>
  <si>
    <t>MaryBeth Skach</t>
  </si>
  <si>
    <t>FUR-FU-10004671</t>
  </si>
  <si>
    <t>Executive Impressions 12" Wall Clock</t>
  </si>
  <si>
    <t>CA-2015-127187</t>
  </si>
  <si>
    <t>CP-12085</t>
  </si>
  <si>
    <t>Cathy Prescott</t>
  </si>
  <si>
    <t>TEC-PH-10000673</t>
  </si>
  <si>
    <t>Plantronics Voyager Pro HD - Bluetooth Headset</t>
  </si>
  <si>
    <t>CA-2015-110030</t>
  </si>
  <si>
    <t>LF-17185</t>
  </si>
  <si>
    <t>Luke Foster</t>
  </si>
  <si>
    <t>FUR-FU-10002759</t>
  </si>
  <si>
    <t>12-1/2 Diameter Round Wall Clock</t>
  </si>
  <si>
    <t>CA-2015-106726</t>
  </si>
  <si>
    <t>RS-19765</t>
  </si>
  <si>
    <t>Roland Schwarz</t>
  </si>
  <si>
    <t>OFF-ST-10001496</t>
  </si>
  <si>
    <t>Standard Rollaway File with Lock</t>
  </si>
  <si>
    <t>CA-2015-154592</t>
  </si>
  <si>
    <t>EH-14005</t>
  </si>
  <si>
    <t>Erica Hernandez</t>
  </si>
  <si>
    <t>OFF-PA-10000062</t>
  </si>
  <si>
    <t>Green Bar Computer Printout Paper</t>
  </si>
  <si>
    <t>CA-2015-166471</t>
  </si>
  <si>
    <t>MG-17650</t>
  </si>
  <si>
    <t>Matthew Grinstein</t>
  </si>
  <si>
    <t>TEC-PH-10001530</t>
  </si>
  <si>
    <t>Cisco Unified IP Phone 7945G VoIP phone</t>
  </si>
  <si>
    <t>CA-2015-169726</t>
  </si>
  <si>
    <t>JH-15985</t>
  </si>
  <si>
    <t>Joseph Holt</t>
  </si>
  <si>
    <t>OFF-BI-10004600</t>
  </si>
  <si>
    <t>Ibico Ibimaster 300 Manual Binding System</t>
  </si>
  <si>
    <t>CA-2015-151708</t>
  </si>
  <si>
    <t>MB-17305</t>
  </si>
  <si>
    <t>Maria Bertelson</t>
  </si>
  <si>
    <t>FUR-FU-10001602</t>
  </si>
  <si>
    <t>Eldon Delta Triangular Chair Mat, 52" x 58", Clear</t>
  </si>
  <si>
    <t>CA-2015-141901</t>
  </si>
  <si>
    <t>GM-14500</t>
  </si>
  <si>
    <t>Gene McClure</t>
  </si>
  <si>
    <t>Fresno</t>
  </si>
  <si>
    <t>OFF-PA-10001667</t>
  </si>
  <si>
    <t>Great White Multi-Use Recycled Paper (20Lb. and 84 Bright)</t>
  </si>
  <si>
    <t>CA-2015-131450</t>
  </si>
  <si>
    <t>LR-16915</t>
  </si>
  <si>
    <t>Lena Radford</t>
  </si>
  <si>
    <t>CA-2015-110527</t>
  </si>
  <si>
    <t>ED-13885</t>
  </si>
  <si>
    <t>Emily Ducich</t>
  </si>
  <si>
    <t>OFF-LA-10000262</t>
  </si>
  <si>
    <t>Avery 494</t>
  </si>
  <si>
    <t>CA-2015-154641</t>
  </si>
  <si>
    <t>KL-16645</t>
  </si>
  <si>
    <t>Ken Lonsdale</t>
  </si>
  <si>
    <t>OFF-ST-10004459</t>
  </si>
  <si>
    <t>Tennsco Single-Tier Lockers</t>
  </si>
  <si>
    <t>CA-2015-109302</t>
  </si>
  <si>
    <t>CS-12175</t>
  </si>
  <si>
    <t>Charles Sheldon</t>
  </si>
  <si>
    <t>OFF-BI-10002854</t>
  </si>
  <si>
    <t>Performers Binder/Pad Holder, Black</t>
  </si>
  <si>
    <t>CA-2015-109897</t>
  </si>
  <si>
    <t>BW-11200</t>
  </si>
  <si>
    <t>Ben Wallace</t>
  </si>
  <si>
    <t>TEC-PH-10003691</t>
  </si>
  <si>
    <t>BlackBerry Q10</t>
  </si>
  <si>
    <t>CA-2015-156244</t>
  </si>
  <si>
    <t>DH-13675</t>
  </si>
  <si>
    <t>Duane Huffman</t>
  </si>
  <si>
    <t>OFF-PA-10000295</t>
  </si>
  <si>
    <t>Xerox 229</t>
  </si>
  <si>
    <t>CA-2015-123400</t>
  </si>
  <si>
    <t>EB-13930</t>
  </si>
  <si>
    <t>Eric Barreto</t>
  </si>
  <si>
    <t>OFF-BI-10000666</t>
  </si>
  <si>
    <t>Surelock Post Binders</t>
  </si>
  <si>
    <t>CA-2015-131905</t>
  </si>
  <si>
    <t>ND-18460</t>
  </si>
  <si>
    <t>Neil Ducich</t>
  </si>
  <si>
    <t>OFF-LA-10002787</t>
  </si>
  <si>
    <t>Avery 480</t>
  </si>
  <si>
    <t>CA-2015-105172</t>
  </si>
  <si>
    <t>PK-18910</t>
  </si>
  <si>
    <t>Paul Knutson</t>
  </si>
  <si>
    <t>OFF-LA-10001641</t>
  </si>
  <si>
    <t>Avery 518</t>
  </si>
  <si>
    <t>CA-2015-133228</t>
  </si>
  <si>
    <t>MS-17710</t>
  </si>
  <si>
    <t>Maurice Satty</t>
  </si>
  <si>
    <t>FUR-FU-10004020</t>
  </si>
  <si>
    <t>Advantus Panel Wall Acrylic Frame</t>
  </si>
  <si>
    <t>CA-2015-102988</t>
  </si>
  <si>
    <t>GM-14695</t>
  </si>
  <si>
    <t>Greg Maxwell</t>
  </si>
  <si>
    <t>Alexandria</t>
  </si>
  <si>
    <t>OFF-AR-10004757</t>
  </si>
  <si>
    <t>Crayola Colored Pencils</t>
  </si>
  <si>
    <t>CA-2015-166457</t>
  </si>
  <si>
    <t>PF-19120</t>
  </si>
  <si>
    <t>Peter Fuller</t>
  </si>
  <si>
    <t>OFF-PA-10003016</t>
  </si>
  <si>
    <t>Adams "While You Were Out" Message Pads</t>
  </si>
  <si>
    <t>CA-2015-147914</t>
  </si>
  <si>
    <t>MP-17470</t>
  </si>
  <si>
    <t>Mark Packer</t>
  </si>
  <si>
    <t>OFF-PA-10001685</t>
  </si>
  <si>
    <t>CA-2015-151946</t>
  </si>
  <si>
    <t>BT-11440</t>
  </si>
  <si>
    <t>Bobby Trafton</t>
  </si>
  <si>
    <t>FUR-FU-10002878</t>
  </si>
  <si>
    <t>Seth Thomas 14" Day/Date Wall Clock</t>
  </si>
  <si>
    <t>CA-2015-126361</t>
  </si>
  <si>
    <t>VD-21670</t>
  </si>
  <si>
    <t>Valerie Dominguez</t>
  </si>
  <si>
    <t>Pleasant Grove</t>
  </si>
  <si>
    <t>OFF-AP-10003590</t>
  </si>
  <si>
    <t>Hoover WindTunnel Plus Canister Vacuum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</si>
  <si>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</si>
  <si>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</si>
  <si>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</si>
  <si>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</si>
  <si>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</si>
  <si>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CA-2015-130449</t>
  </si>
  <si>
    <t>VP-21760</t>
  </si>
  <si>
    <t>Victoria Pisteka</t>
  </si>
  <si>
    <t>US-2015-155817</t>
  </si>
  <si>
    <t>SL-20155</t>
  </si>
  <si>
    <t>Sara Luxemburg</t>
  </si>
  <si>
    <t>Durham</t>
  </si>
  <si>
    <t>OFF-ST-10000532</t>
  </si>
  <si>
    <t>Advantus Rolling Drawer Organizers</t>
  </si>
  <si>
    <t>CA-2015-102085</t>
  </si>
  <si>
    <t>JD-16015</t>
  </si>
  <si>
    <t>Joy Daniels</t>
  </si>
  <si>
    <t>OFF-LA-10002475</t>
  </si>
  <si>
    <t>Avery 519</t>
  </si>
  <si>
    <t>CA-2015-164973</t>
  </si>
  <si>
    <t>NM-18445</t>
  </si>
  <si>
    <t>Nathan Mautz</t>
  </si>
  <si>
    <t>FUR-CH-10002602</t>
  </si>
  <si>
    <t>DMI Arturo Collection Mission-style Design Wood Chair</t>
  </si>
  <si>
    <t>CA-2015-123498</t>
  </si>
  <si>
    <t>TC-20980</t>
  </si>
  <si>
    <t>Tamara Chand</t>
  </si>
  <si>
    <t>OFF-BI-10000632</t>
  </si>
  <si>
    <t>Satellite Sectional Post Binders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</si>
  <si>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</si>
  <si>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</si>
  <si>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</si>
  <si>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</si>
  <si>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</si>
  <si>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</si>
  <si>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CA-2015-122749</t>
  </si>
  <si>
    <t>NG-18430</t>
  </si>
  <si>
    <t>Nathan Gelder</t>
  </si>
  <si>
    <t>Oklahoma City</t>
  </si>
  <si>
    <t>Oklahoma</t>
  </si>
  <si>
    <t>TEC-PH-10003811</t>
  </si>
  <si>
    <t>Jabra Supreme Plus Driver EditionÂ Headset</t>
  </si>
  <si>
    <t>CA-2015-166191</t>
  </si>
  <si>
    <t>DK-13150</t>
  </si>
  <si>
    <t>David Kendrick</t>
  </si>
  <si>
    <t>CA-2015-151162</t>
  </si>
  <si>
    <t>EA-14035</t>
  </si>
  <si>
    <t>Erin Ashbrook</t>
  </si>
  <si>
    <t>OFF-PA-10001033</t>
  </si>
  <si>
    <t>Xerox 1893</t>
  </si>
  <si>
    <t>CA-2015-122882</t>
  </si>
  <si>
    <t>SB-20290</t>
  </si>
  <si>
    <t>Sean Braxton</t>
  </si>
  <si>
    <t>OFF-ST-10002344</t>
  </si>
  <si>
    <t>Carina 42"Hx23 3/4"W Media Storage Unit</t>
  </si>
  <si>
    <t>CA-2015-100006</t>
  </si>
  <si>
    <t>DK-13375</t>
  </si>
  <si>
    <t>Dennis Kane</t>
  </si>
  <si>
    <t>TEC-PH-10002075</t>
  </si>
  <si>
    <t>AT&amp;T EL51110 DECT</t>
  </si>
  <si>
    <t>CA-2015-117765</t>
  </si>
  <si>
    <t>RB-19465</t>
  </si>
  <si>
    <t>Rick Bensley</t>
  </si>
  <si>
    <t>Tulsa</t>
  </si>
  <si>
    <t>FUR-TA-10001039</t>
  </si>
  <si>
    <t>US-2015-115987</t>
  </si>
  <si>
    <t>LH-17020</t>
  </si>
  <si>
    <t>Lisa Hazard</t>
  </si>
  <si>
    <t>Tyler</t>
  </si>
  <si>
    <t>OFF-BI-10001071</t>
  </si>
  <si>
    <t>GBC ProClick Punch Binding System</t>
  </si>
  <si>
    <t>CA-2015-128839</t>
  </si>
  <si>
    <t>TT-21070</t>
  </si>
  <si>
    <t>Ted Trevino</t>
  </si>
  <si>
    <t>OFF-FA-10002280</t>
  </si>
  <si>
    <t>Advantus Plastic Paper Clips</t>
  </si>
  <si>
    <t>CA-2015-146815</t>
  </si>
  <si>
    <t>PP-18955</t>
  </si>
  <si>
    <t>Paul Prost</t>
  </si>
  <si>
    <t>FUR-CH-10004289</t>
  </si>
  <si>
    <t>Global Super Steno Chair</t>
  </si>
  <si>
    <t>CA-2015-140032</t>
  </si>
  <si>
    <t>TS-21340</t>
  </si>
  <si>
    <t>Toby Swindell</t>
  </si>
  <si>
    <t>OFF-BI-10000822</t>
  </si>
  <si>
    <t>Acco PRESSTEX Data Binder with Storage Hooks, Light Blue, 9 1/2" X 11"</t>
  </si>
  <si>
    <t>CA-2015-113383</t>
  </si>
  <si>
    <t>SF-20065</t>
  </si>
  <si>
    <t>Sandra Flanagan</t>
  </si>
  <si>
    <t>Clifton</t>
  </si>
  <si>
    <t>OFF-AP-10004532</t>
  </si>
  <si>
    <t>Kensington 6 Outlet Guardian Standard Surge Protector</t>
  </si>
  <si>
    <t>CA-2015-126193</t>
  </si>
  <si>
    <t>SS-20410</t>
  </si>
  <si>
    <t>Shahid Shariari</t>
  </si>
  <si>
    <t>Oswego</t>
  </si>
  <si>
    <t>OFF-FA-10000936</t>
  </si>
  <si>
    <t>Acco Hot Clips Clips to Go</t>
  </si>
  <si>
    <t>CA-2015-107818</t>
  </si>
  <si>
    <t>MC-17275</t>
  </si>
  <si>
    <t>Marc Crier</t>
  </si>
  <si>
    <t>Pasco</t>
  </si>
  <si>
    <t>OFF-AR-10003045</t>
  </si>
  <si>
    <t>Prang Colored Pencils</t>
  </si>
  <si>
    <t>CA-2015-102869</t>
  </si>
  <si>
    <t>LC-17140</t>
  </si>
  <si>
    <t>Logan Currie</t>
  </si>
  <si>
    <t>OFF-PA-10000788</t>
  </si>
  <si>
    <t>Xerox 210</t>
  </si>
  <si>
    <t>US-2015-138835</t>
  </si>
  <si>
    <t>DA-13450</t>
  </si>
  <si>
    <t>Dianna Arnett</t>
  </si>
  <si>
    <t>CA-2015-146283</t>
  </si>
  <si>
    <t>KT-16465</t>
  </si>
  <si>
    <t>Kean Takahito</t>
  </si>
  <si>
    <t>CA-2015-112837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</si>
  <si>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</si>
  <si>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</si>
  <si>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</si>
  <si>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</si>
  <si>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</si>
  <si>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US-2015-150924</t>
  </si>
  <si>
    <t>PT-19090</t>
  </si>
  <si>
    <t>Pete Takahito</t>
  </si>
  <si>
    <t>OFF-BI-10004040</t>
  </si>
  <si>
    <t>Wilson Jones Impact Binders</t>
  </si>
  <si>
    <t>CA-2015-138527</t>
  </si>
  <si>
    <t>BN-11470</t>
  </si>
  <si>
    <t>Brad Norvell</t>
  </si>
  <si>
    <t>Cary</t>
  </si>
  <si>
    <t>OFF-PA-10001800</t>
  </si>
  <si>
    <t>Xerox 220</t>
  </si>
  <si>
    <t>CA-2015-116246</t>
  </si>
  <si>
    <t>LW-17215</t>
  </si>
  <si>
    <t>Luke Weiss</t>
  </si>
  <si>
    <t>FUR-CH-10002024</t>
  </si>
  <si>
    <t>HON 5400 Series Task Chairs for Big and Tall</t>
  </si>
  <si>
    <t>US-2015-119081</t>
  </si>
  <si>
    <t>TA-21385</t>
  </si>
  <si>
    <t>Tom Ashbrook</t>
  </si>
  <si>
    <t>Olathe</t>
  </si>
  <si>
    <t>Kansas</t>
  </si>
  <si>
    <t>CA-2015-113362</t>
  </si>
  <si>
    <t>AJ-10960</t>
  </si>
  <si>
    <t>Astrea Jones</t>
  </si>
  <si>
    <t>Rochester</t>
  </si>
  <si>
    <t>OFF-ST-10001809</t>
  </si>
  <si>
    <t>Fellowes Officeware Wire Shelving</t>
  </si>
  <si>
    <t>CA-2015-167199</t>
  </si>
  <si>
    <t>ME-17320</t>
  </si>
  <si>
    <t>Maria Etezadi</t>
  </si>
  <si>
    <t>Henderson</t>
  </si>
  <si>
    <t>CA-2015-108182</t>
  </si>
  <si>
    <t>DL-13315</t>
  </si>
  <si>
    <t>Delfina Latchford</t>
  </si>
  <si>
    <t>Romeoville</t>
  </si>
  <si>
    <t>OFF-BI-10001196</t>
  </si>
  <si>
    <t>Avery Flip-Chart Easel Binder, Black</t>
  </si>
  <si>
    <t>US-2015-169390</t>
  </si>
  <si>
    <t>CS-12250</t>
  </si>
  <si>
    <t>Chris Selesnick</t>
  </si>
  <si>
    <t>OFF-ST-10001558</t>
  </si>
  <si>
    <t>Acco Perma 4000 Stacking Storage Drawers</t>
  </si>
  <si>
    <t>CA-2015-136742</t>
  </si>
  <si>
    <t>GP-14740</t>
  </si>
  <si>
    <t>Guy Phonely</t>
  </si>
  <si>
    <t>OFF-BI-10003719</t>
  </si>
  <si>
    <t>Large Capacity Hanging Post Binders</t>
  </si>
  <si>
    <t>CA-2015-153808</t>
  </si>
  <si>
    <t>FH-14275</t>
  </si>
  <si>
    <t>Frank Hawley</t>
  </si>
  <si>
    <t>CA-2015-124023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</si>
  <si>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</si>
  <si>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</si>
  <si>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</si>
  <si>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</si>
  <si>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</si>
  <si>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</si>
  <si>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CA-2015-135755</t>
  </si>
  <si>
    <t>NC-18415</t>
  </si>
  <si>
    <t>Nathan Cano</t>
  </si>
  <si>
    <t>OFF-BI-10004828</t>
  </si>
  <si>
    <t>GBC Poly Designer Binding Covers</t>
  </si>
  <si>
    <t>CA-2015-121664</t>
  </si>
  <si>
    <t>HP-14815</t>
  </si>
  <si>
    <t>Harold Pawlan</t>
  </si>
  <si>
    <t>OFF-BI-10003684</t>
  </si>
  <si>
    <t>Wilson Jones Legal Size Ring Binders</t>
  </si>
  <si>
    <t>CA-2015-116666</t>
  </si>
  <si>
    <t>KT-16480</t>
  </si>
  <si>
    <t>Kean Thornton</t>
  </si>
  <si>
    <t>TEC-CO-10001449</t>
  </si>
  <si>
    <t>Hewlett Packard LaserJet 3310 Copier</t>
  </si>
  <si>
    <t>CA-2015-151897</t>
  </si>
  <si>
    <t>VT-21700</t>
  </si>
  <si>
    <t>Valerie Takahito</t>
  </si>
  <si>
    <t>OFF-LA-10001074</t>
  </si>
  <si>
    <t>Round Specialty Laser Printer Labels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</si>
  <si>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</si>
  <si>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</si>
  <si>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</si>
  <si>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</si>
  <si>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</si>
  <si>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</si>
  <si>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CA-2015-150301</t>
  </si>
  <si>
    <t>MH-18025</t>
  </si>
  <si>
    <t>Michelle Huthwaite</t>
  </si>
  <si>
    <t>Buffalo</t>
  </si>
  <si>
    <t>FUR-CH-10002647</t>
  </si>
  <si>
    <t>Situations Contoured Folding Chairs, 4/Set</t>
  </si>
  <si>
    <t>CA-2015-156790</t>
  </si>
  <si>
    <t>VG-21790</t>
  </si>
  <si>
    <t>Vivek Gonzalez</t>
  </si>
  <si>
    <t>FUR-BO-10000468</t>
  </si>
  <si>
    <t>O'Sullivan 2-Shelf Heavy-Duty Bookcases</t>
  </si>
  <si>
    <t>CA-2015-106572</t>
  </si>
  <si>
    <t>NP-18700</t>
  </si>
  <si>
    <t>Nora Preis</t>
  </si>
  <si>
    <t>Bowling Green</t>
  </si>
  <si>
    <t>OFF-ST-10000585</t>
  </si>
  <si>
    <t>Economy Rollaway Files</t>
  </si>
  <si>
    <t>CA-2015-152422</t>
  </si>
  <si>
    <t>BD-11635</t>
  </si>
  <si>
    <t>Brian Derr</t>
  </si>
  <si>
    <t>OFF-AP-10002892</t>
  </si>
  <si>
    <t>Belkin F5C206VTEL 6 Outlet Surge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</si>
  <si>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</si>
  <si>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</si>
  <si>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</si>
  <si>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</si>
  <si>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</si>
  <si>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CA-2015-140403</t>
  </si>
  <si>
    <t>TN-21040</t>
  </si>
  <si>
    <t>Tanja Norvell</t>
  </si>
  <si>
    <t>Manteca</t>
  </si>
  <si>
    <t>FUR-CH-10002774</t>
  </si>
  <si>
    <t>Global Deluxe Stacking Chair, Gray</t>
  </si>
  <si>
    <t>US-2015-105137</t>
  </si>
  <si>
    <t>RB-19435</t>
  </si>
  <si>
    <t>Richard Bierner</t>
  </si>
  <si>
    <t>TEC-MA-10002694</t>
  </si>
  <si>
    <t>Hewlett-Packard Deskjet F4180 All-in-One Color Ink-jet - Printer / copier / scanner</t>
  </si>
  <si>
    <t>US-2015-134054</t>
  </si>
  <si>
    <t>FC-14335</t>
  </si>
  <si>
    <t>Fred Chung</t>
  </si>
  <si>
    <t>Albuquerque</t>
  </si>
  <si>
    <t>New Mexico</t>
  </si>
  <si>
    <t>OFF-AR-10000937</t>
  </si>
  <si>
    <t>Dixon Ticonderoga Core-Lock Colored Pencils, 48-Color Set</t>
  </si>
  <si>
    <t>CA-2015-132227</t>
  </si>
  <si>
    <t>SZ-20035</t>
  </si>
  <si>
    <t>Sam Zeldin</t>
  </si>
  <si>
    <t>OFF-BI-10000962</t>
  </si>
  <si>
    <t>Acco Flexible ACCOHIDE Square Ring Data Binder, Dark Blue, 11 1/2" X 14" 7/8"</t>
  </si>
  <si>
    <t>CA-2015-109134</t>
  </si>
  <si>
    <t>DE-13255</t>
  </si>
  <si>
    <t>Deanra Eno</t>
  </si>
  <si>
    <t>FUR-FU-10000320</t>
  </si>
  <si>
    <t>OIC Stacking Trays</t>
  </si>
  <si>
    <t>CA-2015-133634</t>
  </si>
  <si>
    <t>SR-20740</t>
  </si>
  <si>
    <t>Steven Roelle</t>
  </si>
  <si>
    <t>TEC-AC-10002550</t>
  </si>
  <si>
    <t>Maxell 4.7GB DVD-RW 3/Pack</t>
  </si>
  <si>
    <t>CA-2015-114251</t>
  </si>
  <si>
    <t>MD-17350</t>
  </si>
  <si>
    <t>Maribeth Dona</t>
  </si>
  <si>
    <t>FUR-FU-10001468</t>
  </si>
  <si>
    <t>Tenex Antistatic Computer Chair Mats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</si>
  <si>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</si>
  <si>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</si>
  <si>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</si>
  <si>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</si>
  <si>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</si>
  <si>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</si>
  <si>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CA-2015-133830</t>
  </si>
  <si>
    <t>RL-19615</t>
  </si>
  <si>
    <t>Rob Lucas</t>
  </si>
  <si>
    <t>CA-2015-138737</t>
  </si>
  <si>
    <t>FP-14320</t>
  </si>
  <si>
    <t>Frank Preis</t>
  </si>
  <si>
    <t>OFF-AR-10003190</t>
  </si>
  <si>
    <t>Newell 32</t>
  </si>
  <si>
    <t>CA-2015-135608</t>
  </si>
  <si>
    <t>JK-15625</t>
  </si>
  <si>
    <t>Jim Karlsson</t>
  </si>
  <si>
    <t>Olympia</t>
  </si>
  <si>
    <t>OFF-PA-10001954</t>
  </si>
  <si>
    <t>Xerox 1964</t>
  </si>
  <si>
    <t>CA-2015-119977</t>
  </si>
  <si>
    <t>DN-13690</t>
  </si>
  <si>
    <t>Duane Noonan</t>
  </si>
  <si>
    <t>OFF-PA-10003823</t>
  </si>
  <si>
    <t>Xerox 197</t>
  </si>
  <si>
    <t>CA-2015-157924</t>
  </si>
  <si>
    <t>HA-14920</t>
  </si>
  <si>
    <t>Helen Andreada</t>
  </si>
  <si>
    <t>Pasadena</t>
  </si>
  <si>
    <t>OFF-ST-10002352</t>
  </si>
  <si>
    <t>Iris Project Case</t>
  </si>
  <si>
    <t>CA-2015-138240</t>
  </si>
  <si>
    <t>SJ-20500</t>
  </si>
  <si>
    <t>Shirley Jackson</t>
  </si>
  <si>
    <t>OFF-AR-10002135</t>
  </si>
  <si>
    <t>Boston Heavy-Duty Trimline Electric Pencil Sharpeners</t>
  </si>
  <si>
    <t>US-2015-126571</t>
  </si>
  <si>
    <t>JF-15565</t>
  </si>
  <si>
    <t>Jill Fjeld</t>
  </si>
  <si>
    <t>OFF-ST-10003816</t>
  </si>
  <si>
    <t>Fellowes High-Stak Drawer Files</t>
  </si>
  <si>
    <t>CA-2015-114314</t>
  </si>
  <si>
    <t>DB-13555</t>
  </si>
  <si>
    <t>Dorothy Badders</t>
  </si>
  <si>
    <t>CA-2015-128538</t>
  </si>
  <si>
    <t>AS-10240</t>
  </si>
  <si>
    <t>Alan Shonely</t>
  </si>
  <si>
    <t>OFF-EN-10001219</t>
  </si>
  <si>
    <t>#10- 4 1/8" x 9 1/2" Security-Tint Envelopes</t>
  </si>
  <si>
    <t>CA-2015-116834</t>
  </si>
  <si>
    <t>Dp-13240</t>
  </si>
  <si>
    <t>Dean percer</t>
  </si>
  <si>
    <t>FUR-FU-10001196</t>
  </si>
  <si>
    <t>DAX Cubicle Frames - 8x10</t>
  </si>
  <si>
    <t>US-2015-154655</t>
  </si>
  <si>
    <t>BP-11050</t>
  </si>
  <si>
    <t>Barry Pond</t>
  </si>
  <si>
    <t>OFF-SU-10000898</t>
  </si>
  <si>
    <t>Acme Hot Forged Carbon Steel Scissors with Nickel-Plated Handles, 3 7/8" Cut, 8"L</t>
  </si>
  <si>
    <t>US-2015-122021</t>
  </si>
  <si>
    <t>AC-10660</t>
  </si>
  <si>
    <t>Anna Chung</t>
  </si>
  <si>
    <t>Parma</t>
  </si>
  <si>
    <t>FUR-CH-10003761</t>
  </si>
  <si>
    <t>Global Italian Leather Office Chair</t>
  </si>
  <si>
    <t>CA-2015-151967</t>
  </si>
  <si>
    <t>NB-18580</t>
  </si>
  <si>
    <t>Nicole Brennan</t>
  </si>
  <si>
    <t>Bossier City</t>
  </si>
  <si>
    <t>FUR-FU-10000193</t>
  </si>
  <si>
    <t>Tenex Chairmats For Use with Hard Floors</t>
  </si>
  <si>
    <t>US-2015-131982</t>
  </si>
  <si>
    <t>NP-18685</t>
  </si>
  <si>
    <t>Nora Pelletier</t>
  </si>
  <si>
    <t>Des Moines</t>
  </si>
  <si>
    <t>OFF-BI-10004224</t>
  </si>
  <si>
    <t>Catalog Binders with Expanding Posts</t>
  </si>
  <si>
    <t>US-2015-154879</t>
  </si>
  <si>
    <t>SN-20710</t>
  </si>
  <si>
    <t>Steve Nguyen</t>
  </si>
  <si>
    <t>OFF-LA-10004425</t>
  </si>
  <si>
    <t>Staple-on labels</t>
  </si>
  <si>
    <t>CA-2015-159520</t>
  </si>
  <si>
    <t>GT-14635</t>
  </si>
  <si>
    <t>Grant Thornton</t>
  </si>
  <si>
    <t>CA-2015-106229</t>
  </si>
  <si>
    <t>NR-18550</t>
  </si>
  <si>
    <t>Nick Radford</t>
  </si>
  <si>
    <t>FUR-TA-10002041</t>
  </si>
  <si>
    <t>Bevis Round Conference Table Top, X-Base</t>
  </si>
  <si>
    <t>CA-2015-132612</t>
  </si>
  <si>
    <t>FO-14305</t>
  </si>
  <si>
    <t>Frank Olsen</t>
  </si>
  <si>
    <t>Harrisonburg</t>
  </si>
  <si>
    <t>FUR-TA-10004534</t>
  </si>
  <si>
    <t>Bevis 44 x 96 Conference Tables</t>
  </si>
  <si>
    <t>CA-2015-107139</t>
  </si>
  <si>
    <t>DP-13390</t>
  </si>
  <si>
    <t>Dennis Pardue</t>
  </si>
  <si>
    <t>OFF-BI-10001670</t>
  </si>
  <si>
    <t>Vinyl Sectional Post Binders</t>
  </si>
  <si>
    <t>US-2015-138758</t>
  </si>
  <si>
    <t>JL-15835</t>
  </si>
  <si>
    <t>John Lee</t>
  </si>
  <si>
    <t>CA-2015-150490</t>
  </si>
  <si>
    <t>SS-20590</t>
  </si>
  <si>
    <t>Sonia Sunley</t>
  </si>
  <si>
    <t>TEC-AC-10004510</t>
  </si>
  <si>
    <t>Logitech Desktop MK120 Mouse and keyboard Combo</t>
  </si>
  <si>
    <t>CA-2015-115357</t>
  </si>
  <si>
    <t>RF-19735</t>
  </si>
  <si>
    <t>Roland Fjeld</t>
  </si>
  <si>
    <t>South Carolina</t>
  </si>
  <si>
    <t>CA-2015-137575</t>
  </si>
  <si>
    <t>TB-21625</t>
  </si>
  <si>
    <t>Trudy Brown</t>
  </si>
  <si>
    <t>TEC-AC-10004571</t>
  </si>
  <si>
    <t>Logitech G700s Rechargeable Gaming Mouse</t>
  </si>
  <si>
    <t>CA-2015-154669</t>
  </si>
  <si>
    <t>TM-21010</t>
  </si>
  <si>
    <t>Tamara Manning</t>
  </si>
  <si>
    <t>Vacaville</t>
  </si>
  <si>
    <t>CA-2015-163293</t>
  </si>
  <si>
    <t>KC-16255</t>
  </si>
  <si>
    <t>Karen Carlisle</t>
  </si>
  <si>
    <t>Macon</t>
  </si>
  <si>
    <t>TEC-AC-10004209</t>
  </si>
  <si>
    <t>Memorex Froggy Flash Drive 4 GB</t>
  </si>
  <si>
    <t>US-2015-131870</t>
  </si>
  <si>
    <t>NF-18595</t>
  </si>
  <si>
    <t>Nicole Fjeld</t>
  </si>
  <si>
    <t>FUR-FU-10002501</t>
  </si>
  <si>
    <t>Nu-Dell Executive Frame</t>
  </si>
  <si>
    <t>CA-2015-125829</t>
  </si>
  <si>
    <t>WB-21850</t>
  </si>
  <si>
    <t>William Brown</t>
  </si>
  <si>
    <t>TEC-PH-10001079</t>
  </si>
  <si>
    <t>Polycom SoundPoint Pro SE-225 Corded phone</t>
  </si>
  <si>
    <t>US-2015-134187</t>
  </si>
  <si>
    <t>TH-21235</t>
  </si>
  <si>
    <t>Tiffany House</t>
  </si>
  <si>
    <t>OFF-AR-10000940</t>
  </si>
  <si>
    <t>Newell 343</t>
  </si>
  <si>
    <t>CA-2015-144666</t>
  </si>
  <si>
    <t>JP-15520</t>
  </si>
  <si>
    <t>Jeremy Pistek</t>
  </si>
  <si>
    <t>OFF-ST-10002743</t>
  </si>
  <si>
    <t>SAFCO Boltless Steel Shelving</t>
  </si>
  <si>
    <t>US-2015-112872</t>
  </si>
  <si>
    <t>RC-19960</t>
  </si>
  <si>
    <t>Ryan Crowe</t>
  </si>
  <si>
    <t>OFF-ST-10002205</t>
  </si>
  <si>
    <t>File Shuttle I and Handi-File</t>
  </si>
  <si>
    <t>CA-2015-103219</t>
  </si>
  <si>
    <t>BF-11215</t>
  </si>
  <si>
    <t>Benjamin Farhat</t>
  </si>
  <si>
    <t>FUR-FU-10004091</t>
  </si>
  <si>
    <t>Eldon 200 Class Desk Accessories, Black</t>
  </si>
  <si>
    <t>CA-2015-163419</t>
  </si>
  <si>
    <t>TZ-21580</t>
  </si>
  <si>
    <t>Tracy Zic</t>
  </si>
  <si>
    <t>Louisville</t>
  </si>
  <si>
    <t>OFF-AR-10000034</t>
  </si>
  <si>
    <t>BIC Brite Liner Grip Highlighters, Assorted, 5/Pack</t>
  </si>
  <si>
    <t>CA-2015-165309</t>
  </si>
  <si>
    <t>KD-16270</t>
  </si>
  <si>
    <t>Karen Daniels</t>
  </si>
  <si>
    <t>CA-2015-155796</t>
  </si>
  <si>
    <t>TS-21430</t>
  </si>
  <si>
    <t>Tom Stivers</t>
  </si>
  <si>
    <t>Reading</t>
  </si>
  <si>
    <t>FUR-FU-10000409</t>
  </si>
  <si>
    <t>GE 4 Foot Flourescent Tube, 40 Watt</t>
  </si>
  <si>
    <t>CA-2015-151295</t>
  </si>
  <si>
    <t>JA-15970</t>
  </si>
  <si>
    <t>Joseph Airdo</t>
  </si>
  <si>
    <t>OFF-PA-10001947</t>
  </si>
  <si>
    <t>Xerox 1974</t>
  </si>
  <si>
    <t>US-2015-159618</t>
  </si>
  <si>
    <t>DB-12970</t>
  </si>
  <si>
    <t>Darren Budd</t>
  </si>
  <si>
    <t>OFF-AR-10003183</t>
  </si>
  <si>
    <t>Avery Fluorescent Highlighter Four-Color Set</t>
  </si>
  <si>
    <t>CA-2015-105893</t>
  </si>
  <si>
    <t>PK-19075</t>
  </si>
  <si>
    <t>Pete Kriz</t>
  </si>
  <si>
    <t>OFF-ST-10004186</t>
  </si>
  <si>
    <t>Stur-D-Stor Shelving, Vertical 5-Shelf: 72"H x 36"W x 18 1/2"D</t>
  </si>
  <si>
    <t>CA-2015-105270</t>
  </si>
  <si>
    <t>AP-10915</t>
  </si>
  <si>
    <t>Arthur Prichep</t>
  </si>
  <si>
    <t>OFF-AR-10003156</t>
  </si>
  <si>
    <t>50 Colored Long Pencils</t>
  </si>
  <si>
    <t>CA-2015-159835</t>
  </si>
  <si>
    <t>RB-19330</t>
  </si>
  <si>
    <t>Randy Bradley</t>
  </si>
  <si>
    <t>US-2015-123183</t>
  </si>
  <si>
    <t>GR-14560</t>
  </si>
  <si>
    <t>Georgia Rosenberg</t>
  </si>
  <si>
    <t>CA-2015-141817</t>
  </si>
  <si>
    <t>MB-18085</t>
  </si>
  <si>
    <t>Mick Brown</t>
  </si>
  <si>
    <t>OFF-AR-10003478</t>
  </si>
  <si>
    <t>Avery Hi-Liter EverBold Pen Style Fluorescent Highlighters, 4/Pack</t>
  </si>
  <si>
    <t>CA-2015-105417</t>
  </si>
  <si>
    <t>VS-21820</t>
  </si>
  <si>
    <t>Vivek Sundaresam</t>
  </si>
  <si>
    <t>FUR-FU-10004864</t>
  </si>
  <si>
    <t>Howard Miller 14-1/2" Diameter Chrome Round Wall Clock</t>
  </si>
  <si>
    <t>CA-2015-107755</t>
  </si>
  <si>
    <t>CK-12760</t>
  </si>
  <si>
    <t>Cyma Kinney</t>
  </si>
  <si>
    <t>Linden</t>
  </si>
  <si>
    <t>TEC-AC-10000710</t>
  </si>
  <si>
    <t>Maxell DVD-RAM Discs</t>
  </si>
  <si>
    <t>CA-2015-104563</t>
  </si>
  <si>
    <t>CM-12715</t>
  </si>
  <si>
    <t>Craig Molinari</t>
  </si>
  <si>
    <t>OFF-AR-10000390</t>
  </si>
  <si>
    <t>Newell Chalk Holder</t>
  </si>
  <si>
    <t>CA-2015-169803</t>
  </si>
  <si>
    <t>SC-20260</t>
  </si>
  <si>
    <t>Scott Cohen</t>
  </si>
  <si>
    <t>FUR-TA-10000688</t>
  </si>
  <si>
    <t>Chromcraft Bull-Nose Wood Round Conference Table Top, Wood Base</t>
  </si>
  <si>
    <t>CA-2015-102652</t>
  </si>
  <si>
    <t>AY-10555</t>
  </si>
  <si>
    <t>Andy Yotov</t>
  </si>
  <si>
    <t>FUR-FU-10000747</t>
  </si>
  <si>
    <t>Tenex B1-RE Series Chair Mats for Low Pile Carpets</t>
  </si>
  <si>
    <t>US-2015-118997</t>
  </si>
  <si>
    <t>RA-19885</t>
  </si>
  <si>
    <t>Ruben Ausman</t>
  </si>
  <si>
    <t>FUR-TA-10001086</t>
  </si>
  <si>
    <t>SAFCO PlanMaster Boards, 60w x 37-1/2d, White Melamine</t>
  </si>
  <si>
    <t>CA-2015-121769</t>
  </si>
  <si>
    <t>JS-15880</t>
  </si>
  <si>
    <t>John Stevenson</t>
  </si>
  <si>
    <t>Toledo</t>
  </si>
  <si>
    <t>FUR-TA-10004442</t>
  </si>
  <si>
    <t>Riverside Furniture Stanwyck Manor Table Series</t>
  </si>
  <si>
    <t>CA-2015-166086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</si>
  <si>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</si>
  <si>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</si>
  <si>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</si>
  <si>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</si>
  <si>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</si>
  <si>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US-2015-161305</t>
  </si>
  <si>
    <t>SB-20170</t>
  </si>
  <si>
    <t>Sarah Bern</t>
  </si>
  <si>
    <t>OFF-BI-10002794</t>
  </si>
  <si>
    <t>Avery Trapezoid Ring Binder, 3" Capacity, Black, 1040 sheets</t>
  </si>
  <si>
    <t>CA-2015-152849</t>
  </si>
  <si>
    <t>DW-13195</t>
  </si>
  <si>
    <t>David Wiener</t>
  </si>
  <si>
    <t>Knoxville</t>
  </si>
  <si>
    <t>OFF-AR-10002833</t>
  </si>
  <si>
    <t>Newell 322</t>
  </si>
  <si>
    <t>CA-2015-147543</t>
  </si>
  <si>
    <t>BC-11125</t>
  </si>
  <si>
    <t>Becky Castell</t>
  </si>
  <si>
    <t>El Cajon</t>
  </si>
  <si>
    <t>FUR-CH-10000155</t>
  </si>
  <si>
    <t>Global Comet Stacking Armless Chair</t>
  </si>
  <si>
    <t>CA-2015-100090</t>
  </si>
  <si>
    <t>EB-13705</t>
  </si>
  <si>
    <t>Ed Braxton</t>
  </si>
  <si>
    <t>FUR-TA-10003715</t>
  </si>
  <si>
    <t>Hon 2111 Invitation Series Corner Table</t>
  </si>
  <si>
    <t>CA-2015-124723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</si>
  <si>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</si>
  <si>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</si>
  <si>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</si>
  <si>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</si>
  <si>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</si>
  <si>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CA-2015-124478</t>
  </si>
  <si>
    <t>MA-17560</t>
  </si>
  <si>
    <t>Matt Abelman</t>
  </si>
  <si>
    <t>Trenton</t>
  </si>
  <si>
    <t>CA-2015-109918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</si>
  <si>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</si>
  <si>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</si>
  <si>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</si>
  <si>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</si>
  <si>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</si>
  <si>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CA-2015-139892</t>
  </si>
  <si>
    <t>BM-11140</t>
  </si>
  <si>
    <t>Becky Martin</t>
  </si>
  <si>
    <t>OFF-AR-10004441</t>
  </si>
  <si>
    <t>BIC Brite Liner Highlighters</t>
  </si>
  <si>
    <t>CA-2015-123127</t>
  </si>
  <si>
    <t>SP-20620</t>
  </si>
  <si>
    <t>Stefania Perrino</t>
  </si>
  <si>
    <t>OFF-AP-10001962</t>
  </si>
  <si>
    <t>Black &amp; Decker Filter for Double Action Dustbuster Cordless Vac BLDV7210</t>
  </si>
  <si>
    <t>CA-2015-126403</t>
  </si>
  <si>
    <t>RR-19525</t>
  </si>
  <si>
    <t>Rick Reed</t>
  </si>
  <si>
    <t>OFF-PA-10001144</t>
  </si>
  <si>
    <t>Xerox 1913</t>
  </si>
  <si>
    <t>CA-2015-120278</t>
  </si>
  <si>
    <t>MS-17365</t>
  </si>
  <si>
    <t>Maribeth Schnelling</t>
  </si>
  <si>
    <t>Wausau</t>
  </si>
  <si>
    <t>OFF-AP-10001293</t>
  </si>
  <si>
    <t>Belkin 8 Outlet Surge Protector</t>
  </si>
  <si>
    <t>CA-2015-151078</t>
  </si>
  <si>
    <t>RF-19840</t>
  </si>
  <si>
    <t>Roy FranzÃ¶sisch</t>
  </si>
  <si>
    <t>OFF-ST-10001328</t>
  </si>
  <si>
    <t>Personal Filing Tote with Lid, Black/Gray</t>
  </si>
  <si>
    <t>CA-2015-138296</t>
  </si>
  <si>
    <t>RC-19825</t>
  </si>
  <si>
    <t>Roy Collins</t>
  </si>
  <si>
    <t>OFF-ST-10002444</t>
  </si>
  <si>
    <t>Recycled Eldon Regeneration Jumbo File</t>
  </si>
  <si>
    <t>US-2015-122959</t>
  </si>
  <si>
    <t>CY-12745</t>
  </si>
  <si>
    <t>Craig Yedwab</t>
  </si>
  <si>
    <t>OFF-BI-10003650</t>
  </si>
  <si>
    <t>GBC DocuBind 300 Electric Binding Machine</t>
  </si>
  <si>
    <t>CA-2015-104773</t>
  </si>
  <si>
    <t>TB-21175</t>
  </si>
  <si>
    <t>Thomas Boland</t>
  </si>
  <si>
    <t>OFF-ST-10000777</t>
  </si>
  <si>
    <t>Companion Letter/Legal File, Black</t>
  </si>
  <si>
    <t>CA-2015-129364</t>
  </si>
  <si>
    <t>TB-21250</t>
  </si>
  <si>
    <t>Tim Brockman</t>
  </si>
  <si>
    <t>Salem</t>
  </si>
  <si>
    <t>CA-2015-101175</t>
  </si>
  <si>
    <t>DM-12955</t>
  </si>
  <si>
    <t>Dario Medina</t>
  </si>
  <si>
    <t>Mesa</t>
  </si>
  <si>
    <t>OFF-ST-10004950</t>
  </si>
  <si>
    <t>Acco Perma 3000 Stacking Storage Drawers</t>
  </si>
  <si>
    <t>US-2015-112991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</si>
  <si>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</si>
  <si>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</si>
  <si>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</si>
  <si>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</si>
  <si>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</si>
  <si>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CA-2015-144071</t>
  </si>
  <si>
    <t>DJ-13420</t>
  </si>
  <si>
    <t>Denny Joy</t>
  </si>
  <si>
    <t>FUR-FU-10000397</t>
  </si>
  <si>
    <t>Luxo Economy Swing Arm Lamp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</si>
  <si>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</si>
  <si>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</si>
  <si>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</si>
  <si>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</si>
  <si>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</si>
  <si>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CA-2015-113320</t>
  </si>
  <si>
    <t>LH-17155</t>
  </si>
  <si>
    <t>Logan Haushalter</t>
  </si>
  <si>
    <t>Oakland</t>
  </si>
  <si>
    <t>FUR-FU-10004270</t>
  </si>
  <si>
    <t>Eldon Image Series Desk Accessories, Burgundy</t>
  </si>
  <si>
    <t>CA-2015-107573</t>
  </si>
  <si>
    <t>PB-19150</t>
  </si>
  <si>
    <t>Philip Brown</t>
  </si>
  <si>
    <t>OFF-EN-10001099</t>
  </si>
  <si>
    <t>CA-2015-124247</t>
  </si>
  <si>
    <t>SH-20635</t>
  </si>
  <si>
    <t>Stefanie Holloman</t>
  </si>
  <si>
    <t>Sacramento</t>
  </si>
  <si>
    <t>CA-2015-165477</t>
  </si>
  <si>
    <t>RE-19405</t>
  </si>
  <si>
    <t>Ricardo Emerson</t>
  </si>
  <si>
    <t>OFF-AP-10003281</t>
  </si>
  <si>
    <t>Acco 6 Outlet Guardian Standard Surge Suppressor</t>
  </si>
  <si>
    <t>CA-2016-119480</t>
  </si>
  <si>
    <t>CC-12685</t>
  </si>
  <si>
    <t>Craig Carroll</t>
  </si>
  <si>
    <t>US-2016-157154</t>
  </si>
  <si>
    <t>MM-17920</t>
  </si>
  <si>
    <t>Michael Moore</t>
  </si>
  <si>
    <t>FUR-TA-10001889</t>
  </si>
  <si>
    <t>Bush Advantage Collection Racetrack Conference Table</t>
  </si>
  <si>
    <t>CA-2016-128608</t>
  </si>
  <si>
    <t>CS-12490</t>
  </si>
  <si>
    <t>Cindy Schnelling</t>
  </si>
  <si>
    <t>OFF-AR-10001374</t>
  </si>
  <si>
    <t>BIC Brite Liner Highlighters, Chisel Tip</t>
  </si>
  <si>
    <t>CA-2016-153325</t>
  </si>
  <si>
    <t>ST-20530</t>
  </si>
  <si>
    <t>Shui Tom</t>
  </si>
  <si>
    <t>OFF-BI-10004236</t>
  </si>
  <si>
    <t>XtraLife ClearVue Slant-D Ring Binder, White, 3"</t>
  </si>
  <si>
    <t>CA-2016-104052</t>
  </si>
  <si>
    <t>TP-21565</t>
  </si>
  <si>
    <t>Tracy Poddar</t>
  </si>
  <si>
    <t>Coppell</t>
  </si>
  <si>
    <t>TEC-PH-10003215</t>
  </si>
  <si>
    <t>Jackery Bar Premium Fast-charging Portable Charger</t>
  </si>
  <si>
    <t>CA-2016-125416</t>
  </si>
  <si>
    <t>KC-16540</t>
  </si>
  <si>
    <t>Kelly Collister</t>
  </si>
  <si>
    <t>TEC-AC-10001552</t>
  </si>
  <si>
    <t>Logitech K350 2.4Ghz Wireless Keyboard</t>
  </si>
  <si>
    <t>US-2016-105676</t>
  </si>
  <si>
    <t>NM-18520</t>
  </si>
  <si>
    <t>Neoma Murray</t>
  </si>
  <si>
    <t>CA-2016-137064</t>
  </si>
  <si>
    <t>TS-21655</t>
  </si>
  <si>
    <t>Trudy Schmidt</t>
  </si>
  <si>
    <t>OFF-BI-10002049</t>
  </si>
  <si>
    <t>UniKeep View Case Binders</t>
  </si>
  <si>
    <t>CA-2016-102316</t>
  </si>
  <si>
    <t>DH-13075</t>
  </si>
  <si>
    <t>Dave Hallsten</t>
  </si>
  <si>
    <t>CA-2016-129917</t>
  </si>
  <si>
    <t>HM-14980</t>
  </si>
  <si>
    <t>Henry MacAllister</t>
  </si>
  <si>
    <t>OFF-BI-10001757</t>
  </si>
  <si>
    <t>Pressboard Hanging Data Binders for Unburst Sheets</t>
  </si>
  <si>
    <t>CA-2016-126739</t>
  </si>
  <si>
    <t>JH-16180</t>
  </si>
  <si>
    <t>Justin Hirsh</t>
  </si>
  <si>
    <t>FUR-CH-10000422</t>
  </si>
  <si>
    <t>Global Highback Leather Tilter in Burgundy</t>
  </si>
  <si>
    <t>CA-2016-160213</t>
  </si>
  <si>
    <t>AR-10825</t>
  </si>
  <si>
    <t>Anthony Rawles</t>
  </si>
  <si>
    <t>OFF-PA-10003848</t>
  </si>
  <si>
    <t>Xerox 1997</t>
  </si>
  <si>
    <t>CA-2016-148705</t>
  </si>
  <si>
    <t>EB-14170</t>
  </si>
  <si>
    <t>Evan Bailliet</t>
  </si>
  <si>
    <t>CA-2016-112116</t>
  </si>
  <si>
    <t>JE-15475</t>
  </si>
  <si>
    <t>Jeremy Ellison</t>
  </si>
  <si>
    <t>CA-2016-110632</t>
  </si>
  <si>
    <t>HR-14830</t>
  </si>
  <si>
    <t>Harold Ryan</t>
  </si>
  <si>
    <t>TEC-AC-10000387</t>
  </si>
  <si>
    <t>KeyTronicÂ KT800P2 -Â KeyboardÂ - Black</t>
  </si>
  <si>
    <t>CA-2016-104514</t>
  </si>
  <si>
    <t>CB-12535</t>
  </si>
  <si>
    <t>Claudia Bergmann</t>
  </si>
  <si>
    <t>OFF-ST-10001837</t>
  </si>
  <si>
    <t>SAFCO Mobile Desk Side File, Wire Frame</t>
  </si>
  <si>
    <t>CA-2016-157959</t>
  </si>
  <si>
    <t>RW-19540</t>
  </si>
  <si>
    <t>Rick Wilson</t>
  </si>
  <si>
    <t>FUR-FU-10004093</t>
  </si>
  <si>
    <t>Hand-Finished Solid Wood Document Frame</t>
  </si>
  <si>
    <t>CA-2016-164833</t>
  </si>
  <si>
    <t>LL-16840</t>
  </si>
  <si>
    <t>Lauren Leatherbury</t>
  </si>
  <si>
    <t>OFF-LA-10000443</t>
  </si>
  <si>
    <t>Avery 501</t>
  </si>
  <si>
    <t>CA-2016-140718</t>
  </si>
  <si>
    <t>FA-14230</t>
  </si>
  <si>
    <t>Frank Atkinson</t>
  </si>
  <si>
    <t>Raleigh</t>
  </si>
  <si>
    <t>TEC-PH-10003505</t>
  </si>
  <si>
    <t>Geemarc AmpliPOWER60</t>
  </si>
  <si>
    <t>CA-2016-137946</t>
  </si>
  <si>
    <t>DB-13615</t>
  </si>
  <si>
    <t>Doug Bickford</t>
  </si>
  <si>
    <t>OFF-BI-10001922</t>
  </si>
  <si>
    <t>CA-2016-115392</t>
  </si>
  <si>
    <t>RM-19675</t>
  </si>
  <si>
    <t>Robert Marley</t>
  </si>
  <si>
    <t>Cambridge</t>
  </si>
  <si>
    <t>TEC-PH-10002496</t>
  </si>
  <si>
    <t>Cisco SPA301</t>
  </si>
  <si>
    <t>CA-2016-116512</t>
  </si>
  <si>
    <t>MC-18100</t>
  </si>
  <si>
    <t>Mick Crebagga</t>
  </si>
  <si>
    <t>OFF-ST-10001505</t>
  </si>
  <si>
    <t>Perma STOR-ALL Hanging File Box, 13 1/8"W x 12 1/4"D x 10 1/2"H</t>
  </si>
  <si>
    <t>CA-2016-101000</t>
  </si>
  <si>
    <t>IG-15085</t>
  </si>
  <si>
    <t>Ivan Gibson</t>
  </si>
  <si>
    <t>Norwich</t>
  </si>
  <si>
    <t>OFF-AP-10000179</t>
  </si>
  <si>
    <t>Honeywell Enviracaire Portable HEPA Air Cleaner for up to 10 x 16 Room</t>
  </si>
  <si>
    <t>US-2016-136987</t>
  </si>
  <si>
    <t>AR-10540</t>
  </si>
  <si>
    <t>Andy Reiter</t>
  </si>
  <si>
    <t>TEC-CO-10001943</t>
  </si>
  <si>
    <t>Canon PC-428 Personal Copier</t>
  </si>
  <si>
    <t>CA-2016-100216</t>
  </si>
  <si>
    <t>HJ-14875</t>
  </si>
  <si>
    <t>Heather Jas</t>
  </si>
  <si>
    <t>CA-2016-134201</t>
  </si>
  <si>
    <t>EH-14125</t>
  </si>
  <si>
    <t>Eugene Hildebrand</t>
  </si>
  <si>
    <t>OFF-ST-10001476</t>
  </si>
  <si>
    <t>Steel Personal Filing/Posting Tote</t>
  </si>
  <si>
    <t>CA-2016-140921</t>
  </si>
  <si>
    <t>AA-10375</t>
  </si>
  <si>
    <t>Allen Armold</t>
  </si>
  <si>
    <t>FUR-FU-10003347</t>
  </si>
  <si>
    <t>Coloredge Poster Frame</t>
  </si>
  <si>
    <t>CA-2016-161998</t>
  </si>
  <si>
    <t>DB-13120</t>
  </si>
  <si>
    <t>David Bremer</t>
  </si>
  <si>
    <t>Tampa</t>
  </si>
  <si>
    <t>FUR-FU-10001095</t>
  </si>
  <si>
    <t>DAX Black Cherry Wood-Tone Poster Frame</t>
  </si>
  <si>
    <t>CA-2016-122406</t>
  </si>
  <si>
    <t>BE-11455</t>
  </si>
  <si>
    <t>Brad Eason</t>
  </si>
  <si>
    <t>Providence</t>
  </si>
  <si>
    <t>Rhode Island</t>
  </si>
  <si>
    <t>TEC-PH-10001527</t>
  </si>
  <si>
    <t>Plantronics MX500i Earset</t>
  </si>
  <si>
    <t>CA-2016-148873</t>
  </si>
  <si>
    <t>EM-13960</t>
  </si>
  <si>
    <t>Eric Murdock</t>
  </si>
  <si>
    <t>Quincy</t>
  </si>
  <si>
    <t>OFF-BI-10003196</t>
  </si>
  <si>
    <t>Accohide Poly Flexible Ring Binders</t>
  </si>
  <si>
    <t>CA-2016-140375</t>
  </si>
  <si>
    <t>SG-20470</t>
  </si>
  <si>
    <t>Sheri Gordon</t>
  </si>
  <si>
    <t>Rockville</t>
  </si>
  <si>
    <t>OFF-PA-10001870</t>
  </si>
  <si>
    <t>Xerox 202</t>
  </si>
  <si>
    <t>CA-2016-141740</t>
  </si>
  <si>
    <t>JF-15490</t>
  </si>
  <si>
    <t>Jeremy Farry</t>
  </si>
  <si>
    <t>FUR-CH-10001545</t>
  </si>
  <si>
    <t>Hon Comfortask Task/Swivel Chairs</t>
  </si>
  <si>
    <t>CA-2016-138625</t>
  </si>
  <si>
    <t>EG-13900</t>
  </si>
  <si>
    <t>Emily Grady</t>
  </si>
  <si>
    <t>OFF-AP-10003099</t>
  </si>
  <si>
    <t>Eureka Hand Vacuum, Bagless</t>
  </si>
  <si>
    <t>CA-2016-162047</t>
  </si>
  <si>
    <t>FH-14365</t>
  </si>
  <si>
    <t>Fred Hopkins</t>
  </si>
  <si>
    <t>FUR-CH-10004983</t>
  </si>
  <si>
    <t>Office Star - Mid Back Dual function Ergonomic High Back Chair with 2-Way Adjustable Arms</t>
  </si>
  <si>
    <t>CA-2016-137113</t>
  </si>
  <si>
    <t>TW-21025</t>
  </si>
  <si>
    <t>Tamara Willingham</t>
  </si>
  <si>
    <t>FUR-CH-10001215</t>
  </si>
  <si>
    <t>Global Troy Executive Leather Low-Back Tilter</t>
  </si>
  <si>
    <t>US-2016-160857</t>
  </si>
  <si>
    <t>NW-18400</t>
  </si>
  <si>
    <t>Natalie Webber</t>
  </si>
  <si>
    <t>CA-2016-144043</t>
  </si>
  <si>
    <t>AB-10165</t>
  </si>
  <si>
    <t>Alan Barnes</t>
  </si>
  <si>
    <t>TEC-AC-10002718</t>
  </si>
  <si>
    <t>Belkin Standard 104 key USB Keyboard</t>
  </si>
  <si>
    <t>CA-2016-135727</t>
  </si>
  <si>
    <t>PS-18970</t>
  </si>
  <si>
    <t>Paul Stevenson</t>
  </si>
  <si>
    <t>Phoenix</t>
  </si>
  <si>
    <t>FUR-CH-10004540</t>
  </si>
  <si>
    <t>Global Chrome Stack Chair</t>
  </si>
  <si>
    <t>CA-2016-159380</t>
  </si>
  <si>
    <t>CS-12505</t>
  </si>
  <si>
    <t>Cindy Stewart</t>
  </si>
  <si>
    <t>OFF-PA-10003893</t>
  </si>
  <si>
    <t>Xerox 1962</t>
  </si>
  <si>
    <t>CA-2016-130876</t>
  </si>
  <si>
    <t>AZ-10750</t>
  </si>
  <si>
    <t>Annie Zypern</t>
  </si>
  <si>
    <t>OFF-ST-10004258</t>
  </si>
  <si>
    <t>Portable Personal File Box</t>
  </si>
  <si>
    <t>CA-2016-131856</t>
  </si>
  <si>
    <t>JG-15160</t>
  </si>
  <si>
    <t>James Galang</t>
  </si>
  <si>
    <t>FUR-FU-10000175</t>
  </si>
  <si>
    <t>DAX Wood Document Frame.</t>
  </si>
  <si>
    <t>CA-2016-169278</t>
  </si>
  <si>
    <t>ME-18010</t>
  </si>
  <si>
    <t>Michelle Ellison</t>
  </si>
  <si>
    <t>OFF-BI-10001636</t>
  </si>
  <si>
    <t>Ibico Plastic and Wire Spiral Binding Combs</t>
  </si>
  <si>
    <t>CA-2016-110457</t>
  </si>
  <si>
    <t>DK-13090</t>
  </si>
  <si>
    <t>Dave Kipp</t>
  </si>
  <si>
    <t>FUR-TA-10001768</t>
  </si>
  <si>
    <t>Hon Racetrack Conference Tables</t>
  </si>
  <si>
    <t>CA-2016-102855</t>
  </si>
  <si>
    <t>JF-15415</t>
  </si>
  <si>
    <t>Jennifer Ferguson</t>
  </si>
  <si>
    <t>Spokane</t>
  </si>
  <si>
    <t>TEC-AC-10001767</t>
  </si>
  <si>
    <t>SanDisk Ultra 64 GB MicroSDHC Class 10 Memory Card</t>
  </si>
  <si>
    <t>CA-2016-150770</t>
  </si>
  <si>
    <t>LC-16870</t>
  </si>
  <si>
    <t>Lena Cacioppo</t>
  </si>
  <si>
    <t>OFF-AR-10001246</t>
  </si>
  <si>
    <t>Newell 317</t>
  </si>
  <si>
    <t>CA-2016-157322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</si>
  <si>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</si>
  <si>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</si>
  <si>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</si>
  <si>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</si>
  <si>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</si>
  <si>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CA-2016-147501</t>
  </si>
  <si>
    <t>Co-12640</t>
  </si>
  <si>
    <t>Corey-Lock</t>
  </si>
  <si>
    <t>OFF-BI-10002003</t>
  </si>
  <si>
    <t>Ibico Presentation Index for Binding Systems</t>
  </si>
  <si>
    <t>CA-2016-112767</t>
  </si>
  <si>
    <t>DK-12985</t>
  </si>
  <si>
    <t>Darren Koutras</t>
  </si>
  <si>
    <t>FUR-TA-10003469</t>
  </si>
  <si>
    <t>Balt Split Level Computer Training Table</t>
  </si>
  <si>
    <t>CA-2016-166135</t>
  </si>
  <si>
    <t>SC-20440</t>
  </si>
  <si>
    <t>Shaun Chance</t>
  </si>
  <si>
    <t>OFF-ST-10002974</t>
  </si>
  <si>
    <t>Trav-L-File Heavy-Duty Shuttle II, Black</t>
  </si>
  <si>
    <t>US-2016-145121</t>
  </si>
  <si>
    <t>MP-17965</t>
  </si>
  <si>
    <t>Michael Paige</t>
  </si>
  <si>
    <t>CA-2016-130890</t>
  </si>
  <si>
    <t>JO-15280</t>
  </si>
  <si>
    <t>Jas O'Carroll</t>
  </si>
  <si>
    <t>FUR-TA-10002903</t>
  </si>
  <si>
    <t>Bevis Round Bullnose 29" High Table Top</t>
  </si>
  <si>
    <t>CA-2016-103723</t>
  </si>
  <si>
    <t>BT-11305</t>
  </si>
  <si>
    <t>Beth Thompson</t>
  </si>
  <si>
    <t>OFF-AR-10003251</t>
  </si>
  <si>
    <t>Prang Drawing Pencil Set</t>
  </si>
  <si>
    <t>CA-2016-111038</t>
  </si>
  <si>
    <t>LC-16960</t>
  </si>
  <si>
    <t>Lindsay Castell</t>
  </si>
  <si>
    <t>FUR-CH-10003973</t>
  </si>
  <si>
    <t>GuestStacker Chair with Chrome Finish Legs</t>
  </si>
  <si>
    <t>CA-2016-134943</t>
  </si>
  <si>
    <t>SU-20665</t>
  </si>
  <si>
    <t>Stephanie Ulpright</t>
  </si>
  <si>
    <t>Ann Arbor</t>
  </si>
  <si>
    <t>CA-2016-110947</t>
  </si>
  <si>
    <t>AG-10765</t>
  </si>
  <si>
    <t>Anthony Garverick</t>
  </si>
  <si>
    <t>CA-2016-101868</t>
  </si>
  <si>
    <t>MJ-17740</t>
  </si>
  <si>
    <t>Max Jones</t>
  </si>
  <si>
    <t>US-2016-123960</t>
  </si>
  <si>
    <t>BD-11605</t>
  </si>
  <si>
    <t>Brian Dahlen</t>
  </si>
  <si>
    <t>Monroe</t>
  </si>
  <si>
    <t>TEC-AC-10003038</t>
  </si>
  <si>
    <t>Kingston Digital DataTraveler 16GB USB 2.0</t>
  </si>
  <si>
    <t>CA-2016-104115</t>
  </si>
  <si>
    <t>JH-15910</t>
  </si>
  <si>
    <t>Jonathan Howell</t>
  </si>
  <si>
    <t>West Palm Beach</t>
  </si>
  <si>
    <t>TEC-PH-10002844</t>
  </si>
  <si>
    <t>Speck Products Candyshell Flip Case</t>
  </si>
  <si>
    <t>CA-2016-139850</t>
  </si>
  <si>
    <t>GB-14575</t>
  </si>
  <si>
    <t>Giulietta Baptist</t>
  </si>
  <si>
    <t>CA-2016-131779</t>
  </si>
  <si>
    <t>LE-16810</t>
  </si>
  <si>
    <t>Laurel Elliston</t>
  </si>
  <si>
    <t>CA-2016-156734</t>
  </si>
  <si>
    <t>BV-11245</t>
  </si>
  <si>
    <t>Benjamin Venier</t>
  </si>
  <si>
    <t>Smyrna</t>
  </si>
  <si>
    <t>OFF-BI-10002982</t>
  </si>
  <si>
    <t>Avery Self-Adhesive Photo Pockets for Polaroid Photos</t>
  </si>
  <si>
    <t>CA-2016-127327</t>
  </si>
  <si>
    <t>PW-19030</t>
  </si>
  <si>
    <t>Pauline Webber</t>
  </si>
  <si>
    <t>Rome</t>
  </si>
  <si>
    <t>FUR-CH-10004218</t>
  </si>
  <si>
    <t>Global Fabric Manager's Chair, Dark Gray</t>
  </si>
  <si>
    <t>CA-2016-105970</t>
  </si>
  <si>
    <t>PA-19060</t>
  </si>
  <si>
    <t>Pete Armstrong</t>
  </si>
  <si>
    <t>Indiana</t>
  </si>
  <si>
    <t>CA-2016-125185</t>
  </si>
  <si>
    <t>AH-10195</t>
  </si>
  <si>
    <t>Alan Haines</t>
  </si>
  <si>
    <t>Bethlehem</t>
  </si>
  <si>
    <t>US-2016-122140</t>
  </si>
  <si>
    <t>MO-17950</t>
  </si>
  <si>
    <t>Michael Oakman</t>
  </si>
  <si>
    <t>OFF-AP-10001242</t>
  </si>
  <si>
    <t>APC 7 Outlet Network SurgeArrest Surge Protector</t>
  </si>
  <si>
    <t>CA-2016-136378</t>
  </si>
  <si>
    <t>CS-11845</t>
  </si>
  <si>
    <t>Cari Sayre</t>
  </si>
  <si>
    <t>OFF-BI-10003707</t>
  </si>
  <si>
    <t>Aluminum Screw Posts</t>
  </si>
  <si>
    <t>US-2016-142811</t>
  </si>
  <si>
    <t>JL-15850</t>
  </si>
  <si>
    <t>John Lucas</t>
  </si>
  <si>
    <t>TEC-PH-10003095</t>
  </si>
  <si>
    <t>Samsung HM1900 Bluetooth Headset</t>
  </si>
  <si>
    <t>CA-2016-145821</t>
  </si>
  <si>
    <t>JB-15400</t>
  </si>
  <si>
    <t>Jennifer Braxton</t>
  </si>
  <si>
    <t>TEC-PH-10004348</t>
  </si>
  <si>
    <t>OtterBox Defender Series Case - iPhone 5c</t>
  </si>
  <si>
    <t>CA-2016-116687</t>
  </si>
  <si>
    <t>NC-18625</t>
  </si>
  <si>
    <t>Noah Childs</t>
  </si>
  <si>
    <t>US-2016-138303</t>
  </si>
  <si>
    <t>MG-18145</t>
  </si>
  <si>
    <t>Mike Gockenbach</t>
  </si>
  <si>
    <t>OFF-ST-10004963</t>
  </si>
  <si>
    <t>Eldon Gobal File Keepers</t>
  </si>
  <si>
    <t>CA-2016-169537</t>
  </si>
  <si>
    <t>JH-15820</t>
  </si>
  <si>
    <t>John Huston</t>
  </si>
  <si>
    <t>Holland</t>
  </si>
  <si>
    <t>OFF-LA-10001982</t>
  </si>
  <si>
    <t>Smead Alpha-Z Color-Coded Name Labels First Letter Starter Set</t>
  </si>
  <si>
    <t>CA-2016-159863</t>
  </si>
  <si>
    <t>DS-13180</t>
  </si>
  <si>
    <t>David Smith</t>
  </si>
  <si>
    <t>TEC-AC-10000109</t>
  </si>
  <si>
    <t>Sony Micro Vault Click 16 GB USB 2.0 Flash Drive</t>
  </si>
  <si>
    <t>US-2016-119312</t>
  </si>
  <si>
    <t>CS-12400</t>
  </si>
  <si>
    <t>Christopher Schild</t>
  </si>
  <si>
    <t>OFF-ST-10000943</t>
  </si>
  <si>
    <t>Eldon ProFile File 'N Store Portable File Tub Letter/Legal Size Black</t>
  </si>
  <si>
    <t>CA-2016-121391</t>
  </si>
  <si>
    <t>AA-10315</t>
  </si>
  <si>
    <t>Alex Avila</t>
  </si>
  <si>
    <t>OFF-ST-10001590</t>
  </si>
  <si>
    <t>Tenex Personal Project File with Scoop Front Design, Black</t>
  </si>
  <si>
    <t>CA-2016-100657</t>
  </si>
  <si>
    <t>SW-20245</t>
  </si>
  <si>
    <t>Scot Wooten</t>
  </si>
  <si>
    <t>Troy</t>
  </si>
  <si>
    <t>FUR-CH-10003535</t>
  </si>
  <si>
    <t>Global Armless Task Chair, Royal Blue</t>
  </si>
  <si>
    <t>CA-2016-141810</t>
  </si>
  <si>
    <t>BB-10990</t>
  </si>
  <si>
    <t>Barry Blumstein</t>
  </si>
  <si>
    <t>OFF-BI-10001524</t>
  </si>
  <si>
    <t>GBC Premium Transparent Covers with Diagonal Lined Pattern</t>
  </si>
  <si>
    <t>CA-2016-140410</t>
  </si>
  <si>
    <t>CM-12655</t>
  </si>
  <si>
    <t>Corinna Mitchell</t>
  </si>
  <si>
    <t>TEC-PH-10003580</t>
  </si>
  <si>
    <t>Cisco IP Phone 7961G-GE VoIP phone</t>
  </si>
  <si>
    <t>US-2016-148817</t>
  </si>
  <si>
    <t>KD-16495</t>
  </si>
  <si>
    <t>Keith Dawkins</t>
  </si>
  <si>
    <t>OFF-ST-10001321</t>
  </si>
  <si>
    <t>Decoflex Hanging Personal Folder File, Blue</t>
  </si>
  <si>
    <t>CA-2016-122756</t>
  </si>
  <si>
    <t>DK-13225</t>
  </si>
  <si>
    <t>Dean Katz</t>
  </si>
  <si>
    <t>TEC-MA-10001681</t>
  </si>
  <si>
    <t>Lexmark MarkNet N8150 Wireless Print Server</t>
  </si>
  <si>
    <t>CA-2016-142475</t>
  </si>
  <si>
    <t>BS-11380</t>
  </si>
  <si>
    <t>Bill Stewart</t>
  </si>
  <si>
    <t>OFF-BI-10003718</t>
  </si>
  <si>
    <t>GBC Therma-A-Bind 250T Electric Binding System</t>
  </si>
  <si>
    <t>US-2016-145422</t>
  </si>
  <si>
    <t>PW-19240</t>
  </si>
  <si>
    <t>Pierre Wener</t>
  </si>
  <si>
    <t>FUR-BO-10002213</t>
  </si>
  <si>
    <t>Sauder Forest Hills Library, Woodland Oak Finish</t>
  </si>
  <si>
    <t>CA-2016-155600</t>
  </si>
  <si>
    <t>RO-19780</t>
  </si>
  <si>
    <t>Rose O'Brian</t>
  </si>
  <si>
    <t>Clarksville</t>
  </si>
  <si>
    <t>OFF-BI-10000545</t>
  </si>
  <si>
    <t>GBC Ibimaster 500 Manual ProClick Binding System</t>
  </si>
  <si>
    <t>CA-2016-166338</t>
  </si>
  <si>
    <t>MP-18175</t>
  </si>
  <si>
    <t>Mike Pelletier</t>
  </si>
  <si>
    <t>OFF-BI-10002852</t>
  </si>
  <si>
    <t>Ibico Standard Transparent Covers</t>
  </si>
  <si>
    <t>US-2016-120957</t>
  </si>
  <si>
    <t>KH-16690</t>
  </si>
  <si>
    <t>Kristen Hastings</t>
  </si>
  <si>
    <t>Riverside</t>
  </si>
  <si>
    <t>OFF-PA-10003953</t>
  </si>
  <si>
    <t>Xerox 218</t>
  </si>
  <si>
    <t>CA-2016-142237</t>
  </si>
  <si>
    <t>CK-12595</t>
  </si>
  <si>
    <t>Clytie Kelty</t>
  </si>
  <si>
    <t>FUR-FU-10004848</t>
  </si>
  <si>
    <t>Howard Miller 13-3/4" Diameter Brushed Chrome Round Wall Clock</t>
  </si>
  <si>
    <t>CA-2016-121097</t>
  </si>
  <si>
    <t>SF-20965</t>
  </si>
  <si>
    <t>Sylvia Foulston</t>
  </si>
  <si>
    <t>Baytown</t>
  </si>
  <si>
    <t>OFF-PA-10001937</t>
  </si>
  <si>
    <t>Xerox 21</t>
  </si>
  <si>
    <t>CA-2016-141243</t>
  </si>
  <si>
    <t>AH-10465</t>
  </si>
  <si>
    <t>Amy Hunt</t>
  </si>
  <si>
    <t>TEC-AC-10003198</t>
  </si>
  <si>
    <t>Enermax Acrylux Wireless Keyboard</t>
  </si>
  <si>
    <t>CA-2016-104038</t>
  </si>
  <si>
    <t>LO-17170</t>
  </si>
  <si>
    <t>Lori Olson</t>
  </si>
  <si>
    <t>Suffolk</t>
  </si>
  <si>
    <t>OFF-ST-10002554</t>
  </si>
  <si>
    <t>Tennsco Industrial Shelving</t>
  </si>
  <si>
    <t>CA-2016-107937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</si>
  <si>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</si>
  <si>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</si>
  <si>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</si>
  <si>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</si>
  <si>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</si>
  <si>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CA-2016-161242</t>
  </si>
  <si>
    <t>CG-12040</t>
  </si>
  <si>
    <t>Catherine Glotzbach</t>
  </si>
  <si>
    <t>CA-2016-124268</t>
  </si>
  <si>
    <t>AD-10180</t>
  </si>
  <si>
    <t>Alan Dominguez</t>
  </si>
  <si>
    <t>OFF-AR-10004817</t>
  </si>
  <si>
    <t>Colorific Watercolor Pencils</t>
  </si>
  <si>
    <t>CA-2016-152513</t>
  </si>
  <si>
    <t>JP-16135</t>
  </si>
  <si>
    <t>Julie Prescott</t>
  </si>
  <si>
    <t>OFF-BI-10002706</t>
  </si>
  <si>
    <t>Avery Premier Heavy-Duty Binder with Round Locking Rings</t>
  </si>
  <si>
    <t>CA-2016-129392</t>
  </si>
  <si>
    <t>DM-13015</t>
  </si>
  <si>
    <t>Darrin Martin</t>
  </si>
  <si>
    <t>US-2016-124219</t>
  </si>
  <si>
    <t>KW-16570</t>
  </si>
  <si>
    <t>Kelly Williams</t>
  </si>
  <si>
    <t>Kirkwood</t>
  </si>
  <si>
    <t>OFF-BI-10002215</t>
  </si>
  <si>
    <t>Wilson Jones Hanging View Binder, White, 1"</t>
  </si>
  <si>
    <t>CA-2016-104626</t>
  </si>
  <si>
    <t>DR-12940</t>
  </si>
  <si>
    <t>Daniel Raglin</t>
  </si>
  <si>
    <t>Franklin</t>
  </si>
  <si>
    <t>OFF-BI-10001510</t>
  </si>
  <si>
    <t>Deluxe Heavy-Duty Vinyl Round Ring Binder</t>
  </si>
  <si>
    <t>CA-2016-149734</t>
  </si>
  <si>
    <t>JC-16105</t>
  </si>
  <si>
    <t>Julie Creighton</t>
  </si>
  <si>
    <t>OFF-EN-10000927</t>
  </si>
  <si>
    <t>Jet-Pak Recycled Peel 'N' Seal Padded Mailers</t>
  </si>
  <si>
    <t>CA-2016-142755</t>
  </si>
  <si>
    <t>CS-12355</t>
  </si>
  <si>
    <t>Christine Sundaresam</t>
  </si>
  <si>
    <t>Xerox 1908</t>
  </si>
  <si>
    <t>CA-2016-133977</t>
  </si>
  <si>
    <t>AT-10435</t>
  </si>
  <si>
    <t>Alyssa Tate</t>
  </si>
  <si>
    <t>Tamarac</t>
  </si>
  <si>
    <t>OFF-BI-10003166</t>
  </si>
  <si>
    <t>GBC Plasticlear Binding Covers</t>
  </si>
  <si>
    <t>US-2016-137008</t>
  </si>
  <si>
    <t>JP-15460</t>
  </si>
  <si>
    <t>Jennifer Patt</t>
  </si>
  <si>
    <t>OFF-PA-10001295</t>
  </si>
  <si>
    <t>Computer Printout Paper with Letter-Trim Perforations</t>
  </si>
  <si>
    <t>US-2016-136259</t>
  </si>
  <si>
    <t>CB-12415</t>
  </si>
  <si>
    <t>Christy Brittain</t>
  </si>
  <si>
    <t>OFF-BI-10000773</t>
  </si>
  <si>
    <t>Insertable Tab Post Binder Dividers</t>
  </si>
  <si>
    <t>CA-2016-110093</t>
  </si>
  <si>
    <t>AB-10255</t>
  </si>
  <si>
    <t>Alejandro Ballentine</t>
  </si>
  <si>
    <t>CA-2016-110247</t>
  </si>
  <si>
    <t>RH-19555</t>
  </si>
  <si>
    <t>Ritsa Hightower</t>
  </si>
  <si>
    <t>Tallahassee</t>
  </si>
  <si>
    <t>OFF-BI-10001553</t>
  </si>
  <si>
    <t>SpineVue Locking Slant-D Ring Binders by Cardinal</t>
  </si>
  <si>
    <t>CA-2016-121699</t>
  </si>
  <si>
    <t>BD-11320</t>
  </si>
  <si>
    <t>Bill Donatelli</t>
  </si>
  <si>
    <t>OFF-BI-10004632</t>
  </si>
  <si>
    <t>GBC Binding covers</t>
  </si>
  <si>
    <t>CA-2016-128013</t>
  </si>
  <si>
    <t>MF-18250</t>
  </si>
  <si>
    <t>Monica Federle</t>
  </si>
  <si>
    <t>CA-2016-119634</t>
  </si>
  <si>
    <t>BW-11065</t>
  </si>
  <si>
    <t>Barry Weirich</t>
  </si>
  <si>
    <t>Executive Impressions 13" Clairmont Wall Clock</t>
  </si>
  <si>
    <t>CA-2016-104241</t>
  </si>
  <si>
    <t>AG-10495</t>
  </si>
  <si>
    <t>Andrew Gjertsen</t>
  </si>
  <si>
    <t>CA-2016-153108</t>
  </si>
  <si>
    <t>SF-20200</t>
  </si>
  <si>
    <t>Sarah Foster</t>
  </si>
  <si>
    <t>New Castle</t>
  </si>
  <si>
    <t>TEC-PH-10001552</t>
  </si>
  <si>
    <t>I Need's 3d Hello Kitty Hybrid Silicone Case Cover for HTC One X 4g with 3d Hello Kitty Stylus Pen Green/pink</t>
  </si>
  <si>
    <t>CA-2016-120320</t>
  </si>
  <si>
    <t>MV-18190</t>
  </si>
  <si>
    <t>Mike Vittorini</t>
  </si>
  <si>
    <t>TEC-PH-10000149</t>
  </si>
  <si>
    <t>Cisco SPA525G2 IP Phone - Wireless</t>
  </si>
  <si>
    <t>US-2016-159513</t>
  </si>
  <si>
    <t>JD-15790</t>
  </si>
  <si>
    <t>John Dryer</t>
  </si>
  <si>
    <t>TEC-MA-10003329</t>
  </si>
  <si>
    <t>Vtech AT&amp;T CL2940 Corded Speakerphone, Black</t>
  </si>
  <si>
    <t>CA-2016-130554</t>
  </si>
  <si>
    <t>FM-14290</t>
  </si>
  <si>
    <t>Frank Merwin</t>
  </si>
  <si>
    <t>OFF-AR-10001954</t>
  </si>
  <si>
    <t>Newell 331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</si>
  <si>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</si>
  <si>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</si>
  <si>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</si>
  <si>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</si>
  <si>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</si>
  <si>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CA-2016-158491</t>
  </si>
  <si>
    <t>BP-11155</t>
  </si>
  <si>
    <t>Becky Pak</t>
  </si>
  <si>
    <t>TEC-AC-10001874</t>
  </si>
  <si>
    <t>Logitech Wireless Anywhere Mouse MX for PC and Mac</t>
  </si>
  <si>
    <t>CA-2016-115168</t>
  </si>
  <si>
    <t>BB-11545</t>
  </si>
  <si>
    <t>Brenda Bowman</t>
  </si>
  <si>
    <t>Saint Charles</t>
  </si>
  <si>
    <t>OFF-PA-10000528</t>
  </si>
  <si>
    <t>Xerox 1981</t>
  </si>
  <si>
    <t>CA-2016-142041</t>
  </si>
  <si>
    <t>EM-13810</t>
  </si>
  <si>
    <t>Eleni McCrary</t>
  </si>
  <si>
    <t>OFF-BI-10004187</t>
  </si>
  <si>
    <t>3-ring staple pack</t>
  </si>
  <si>
    <t>CA-2016-111703</t>
  </si>
  <si>
    <t>KB-16315</t>
  </si>
  <si>
    <t>Karl Braun</t>
  </si>
  <si>
    <t>Hollywood</t>
  </si>
  <si>
    <t>OFF-PA-10000349</t>
  </si>
  <si>
    <t>CA-2016-128139</t>
  </si>
  <si>
    <t>BD-11725</t>
  </si>
  <si>
    <t>Bruce Degenhardt</t>
  </si>
  <si>
    <t>FUR-CH-10003956</t>
  </si>
  <si>
    <t>Novimex High-Tech Fabric Mesh Task Chair</t>
  </si>
  <si>
    <t>CA-2016-154956</t>
  </si>
  <si>
    <t>IM-15070</t>
  </si>
  <si>
    <t>Irene Maddox</t>
  </si>
  <si>
    <t>TEC-PH-10004165</t>
  </si>
  <si>
    <t>Mitel MiVoice 5330e IP Phone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</si>
  <si>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</si>
  <si>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</si>
  <si>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</si>
  <si>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</si>
  <si>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</si>
  <si>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CA-2016-130785</t>
  </si>
  <si>
    <t>AG-10900</t>
  </si>
  <si>
    <t>Arthur Gainer</t>
  </si>
  <si>
    <t>FUR-BO-10000330</t>
  </si>
  <si>
    <t>Sauder Camden County Barrister Bookcase, Planked Cherry Finish</t>
  </si>
  <si>
    <t>CA-2016-161445</t>
  </si>
  <si>
    <t>CC-12610</t>
  </si>
  <si>
    <t>Corey Catlett</t>
  </si>
  <si>
    <t>OFF-AR-10001953</t>
  </si>
  <si>
    <t>Boston 1645 Deluxe Heavier-Duty Electric Pencil Sharpener</t>
  </si>
  <si>
    <t>CA-2016-115091</t>
  </si>
  <si>
    <t>JJ-15760</t>
  </si>
  <si>
    <t>Joel Jenkins</t>
  </si>
  <si>
    <t>CA-2016-131422</t>
  </si>
  <si>
    <t>GB-14530</t>
  </si>
  <si>
    <t>George Bell</t>
  </si>
  <si>
    <t>FUR-CH-10001270</t>
  </si>
  <si>
    <t>Harbour Creations Steel Folding Chair</t>
  </si>
  <si>
    <t>CA-2016-105312</t>
  </si>
  <si>
    <t>MT-17815</t>
  </si>
  <si>
    <t>Meg Tillman</t>
  </si>
  <si>
    <t>Scottsdale</t>
  </si>
  <si>
    <t>OFF-EN-10002600</t>
  </si>
  <si>
    <t>Redi-Strip #10 Envelopes, 4 1/8 x 9 1/2</t>
  </si>
  <si>
    <t>CA-2016-102848</t>
  </si>
  <si>
    <t>KB-16240</t>
  </si>
  <si>
    <t>Karen Bern</t>
  </si>
  <si>
    <t>FUR-CH-10000595</t>
  </si>
  <si>
    <t>Safco Contoured Stacking Chairs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</si>
  <si>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</si>
  <si>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</si>
  <si>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</si>
  <si>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</si>
  <si>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</si>
  <si>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CA-2016-142377</t>
  </si>
  <si>
    <t>MS-17980</t>
  </si>
  <si>
    <t>Michael Stewart</t>
  </si>
  <si>
    <t>CA-2016-118871</t>
  </si>
  <si>
    <t>HM-14860</t>
  </si>
  <si>
    <t>Harry Marie</t>
  </si>
  <si>
    <t>OFF-EN-10003296</t>
  </si>
  <si>
    <t>Tyvek Side-Opening Peel &amp; Seel Expanding Envelopes</t>
  </si>
  <si>
    <t>CA-2016-156440</t>
  </si>
  <si>
    <t>MH-17620</t>
  </si>
  <si>
    <t>Matt Hagelstein</t>
  </si>
  <si>
    <t>FUR-FU-10004090</t>
  </si>
  <si>
    <t>Executive Impressions 14" Contract Wall Clock</t>
  </si>
  <si>
    <t>CA-2016-165050</t>
  </si>
  <si>
    <t>AH-10210</t>
  </si>
  <si>
    <t>Alan Hwang</t>
  </si>
  <si>
    <t>OFF-BI-10001031</t>
  </si>
  <si>
    <t>Pressboard Data Binders by Wilson Jones</t>
  </si>
  <si>
    <t>CA-2016-150791</t>
  </si>
  <si>
    <t>CC-12430</t>
  </si>
  <si>
    <t>Chuck Clark</t>
  </si>
  <si>
    <t>FUR-CH-10000665</t>
  </si>
  <si>
    <t>Global Airflow Leather Mesh Back Chair, Black</t>
  </si>
  <si>
    <t>US-2016-147242</t>
  </si>
  <si>
    <t>EH-13765</t>
  </si>
  <si>
    <t>Edward Hooks</t>
  </si>
  <si>
    <t>OFF-AP-10003842</t>
  </si>
  <si>
    <t>Euro-Pro Shark Turbo Vacuum</t>
  </si>
  <si>
    <t>CA-2016-139374</t>
  </si>
  <si>
    <t>AR-10345</t>
  </si>
  <si>
    <t>Alex Russell</t>
  </si>
  <si>
    <t>FUR-CH-10003981</t>
  </si>
  <si>
    <t>Global Commerce Series Low-Back Swivel/Tilt Chairs</t>
  </si>
  <si>
    <t>CA-2016-136658</t>
  </si>
  <si>
    <t>BO-11425</t>
  </si>
  <si>
    <t>Bobby Odegard</t>
  </si>
  <si>
    <t>OFF-AR-10000817</t>
  </si>
  <si>
    <t>Manco Dry-Lighter Erasable Highlighter</t>
  </si>
  <si>
    <t>CA-2016-128993</t>
  </si>
  <si>
    <t>CC-12670</t>
  </si>
  <si>
    <t>Craig Carreira</t>
  </si>
  <si>
    <t>CA-2016-125934</t>
  </si>
  <si>
    <t>SN-20560</t>
  </si>
  <si>
    <t>Skye Norling</t>
  </si>
  <si>
    <t>Paterson</t>
  </si>
  <si>
    <t>OFF-LA-10000414</t>
  </si>
  <si>
    <t>Avery 503</t>
  </si>
  <si>
    <t>CA-2016-158701</t>
  </si>
  <si>
    <t>JL-15175</t>
  </si>
  <si>
    <t>James Lanier</t>
  </si>
  <si>
    <t>OFF-AP-10004859</t>
  </si>
  <si>
    <t>Acco 6 Outlet Guardian Premium Surge Suppressor</t>
  </si>
  <si>
    <t>CA-2016-151785</t>
  </si>
  <si>
    <t>JJ-15445</t>
  </si>
  <si>
    <t>Jennifer Jackson</t>
  </si>
  <si>
    <t>CA-2016-146255</t>
  </si>
  <si>
    <t>EM-14140</t>
  </si>
  <si>
    <t>Eugene Moren</t>
  </si>
  <si>
    <t>TEC-AC-10004469</t>
  </si>
  <si>
    <t>Microsoft Sculpt Comfort Mouse</t>
  </si>
  <si>
    <t>US-2016-136476</t>
  </si>
  <si>
    <t>GG-14650</t>
  </si>
  <si>
    <t>Greg Guthrie</t>
  </si>
  <si>
    <t>Bristol</t>
  </si>
  <si>
    <t>CA-2016-124541</t>
  </si>
  <si>
    <t>TT-21220</t>
  </si>
  <si>
    <t>Thomas Thornton</t>
  </si>
  <si>
    <t>CA-2016-166947</t>
  </si>
  <si>
    <t>EB-13750</t>
  </si>
  <si>
    <t>Edward Becker</t>
  </si>
  <si>
    <t>FUR-CH-10004997</t>
  </si>
  <si>
    <t>Hon Every-Day Series Multi-Task Chairs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</si>
  <si>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</si>
  <si>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</si>
  <si>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</si>
  <si>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</si>
  <si>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</si>
  <si>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</si>
  <si>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CA-2016-164336</t>
  </si>
  <si>
    <t>MW-18220</t>
  </si>
  <si>
    <t>Mitch Webber</t>
  </si>
  <si>
    <t>TEC-AC-10002345</t>
  </si>
  <si>
    <t>HP Standard 104 key PS/2 Keyboard</t>
  </si>
  <si>
    <t>CA-2016-108665</t>
  </si>
  <si>
    <t>KM-16225</t>
  </si>
  <si>
    <t>Kalyca Meade</t>
  </si>
  <si>
    <t>FUR-FU-10002191</t>
  </si>
  <si>
    <t>G.E. Halogen Desk Lamp Bulbs</t>
  </si>
  <si>
    <t>CA-2016-135251</t>
  </si>
  <si>
    <t>RP-19270</t>
  </si>
  <si>
    <t>Rachel Payne</t>
  </si>
  <si>
    <t>OFF-LA-10004544</t>
  </si>
  <si>
    <t>Avery 505</t>
  </si>
  <si>
    <t>CA-2016-129322</t>
  </si>
  <si>
    <t>DB-13405</t>
  </si>
  <si>
    <t>Denny Blanton</t>
  </si>
  <si>
    <t>OFF-AR-10004587</t>
  </si>
  <si>
    <t>Boston 1827 Commercial Additional Cutter, Drive Gear &amp; Gear Rack for 1606</t>
  </si>
  <si>
    <t>CA-2016-105158</t>
  </si>
  <si>
    <t>SP-20860</t>
  </si>
  <si>
    <t>Sung Pak</t>
  </si>
  <si>
    <t>FUR-FU-10001706</t>
  </si>
  <si>
    <t>Longer-Life Soft White Bulbs</t>
  </si>
  <si>
    <t>CA-2016-148432</t>
  </si>
  <si>
    <t>MC-18130</t>
  </si>
  <si>
    <t>Mike Caudle</t>
  </si>
  <si>
    <t>OFF-FA-10004968</t>
  </si>
  <si>
    <t>Rubber Band Ball</t>
  </si>
  <si>
    <t>CA-2016-117611</t>
  </si>
  <si>
    <t>MZ-17335</t>
  </si>
  <si>
    <t>Maria Zettner</t>
  </si>
  <si>
    <t>CA-2016-161718</t>
  </si>
  <si>
    <t>SO-20335</t>
  </si>
  <si>
    <t>Sean O'Donnell</t>
  </si>
  <si>
    <t>Hempstead</t>
  </si>
  <si>
    <t>FUR-FU-10002445</t>
  </si>
  <si>
    <t>DAX Two-Tone Rosewood/Black Document Frame, Desktop, 5 x 7</t>
  </si>
  <si>
    <t>CA-2016-125710</t>
  </si>
  <si>
    <t>BT-11680</t>
  </si>
  <si>
    <t>Brian Thompson</t>
  </si>
  <si>
    <t>OFF-AR-10000657</t>
  </si>
  <si>
    <t>Binney &amp; Smith inkTank Desk Highlighter, Chisel Tip, Yellow, 12/Box</t>
  </si>
  <si>
    <t>CA-2016-131352</t>
  </si>
  <si>
    <t>GH-14485</t>
  </si>
  <si>
    <t>Gene Hale</t>
  </si>
  <si>
    <t>FUR-FU-10003708</t>
  </si>
  <si>
    <t>Tenex Traditional Chairmats for Medium Pile Carpet, Standard Lip, 36" x 48"</t>
  </si>
  <si>
    <t>CA-2016-162761</t>
  </si>
  <si>
    <t>SC-20575</t>
  </si>
  <si>
    <t>Sonia Cooley</t>
  </si>
  <si>
    <t>OFF-BI-10000145</t>
  </si>
  <si>
    <t>Zipper Ring Binder Pockets</t>
  </si>
  <si>
    <t>CA-2016-124499</t>
  </si>
  <si>
    <t>FM-14380</t>
  </si>
  <si>
    <t>Fred McMath</t>
  </si>
  <si>
    <t>FUR-CH-10000513</t>
  </si>
  <si>
    <t>High-Back Leather Manager's Chair</t>
  </si>
  <si>
    <t>CA-2016-159786</t>
  </si>
  <si>
    <t>RK-19300</t>
  </si>
  <si>
    <t>Ralph Kennedy</t>
  </si>
  <si>
    <t>CA-2016-147529</t>
  </si>
  <si>
    <t>DK-12835</t>
  </si>
  <si>
    <t>Damala Kotsonis</t>
  </si>
  <si>
    <t>CA-2016-110345</t>
  </si>
  <si>
    <t>TG-21310</t>
  </si>
  <si>
    <t>Toby Gnade</t>
  </si>
  <si>
    <t>CA-2016-161452</t>
  </si>
  <si>
    <t>CA-11965</t>
  </si>
  <si>
    <t>Carol Adams</t>
  </si>
  <si>
    <t>CA-2016-146290</t>
  </si>
  <si>
    <t>SV-20815</t>
  </si>
  <si>
    <t>Stuart Van</t>
  </si>
  <si>
    <t>Indianapolis</t>
  </si>
  <si>
    <t>CA-2016-141012</t>
  </si>
  <si>
    <t>TG-21640</t>
  </si>
  <si>
    <t>Trudy Glocke</t>
  </si>
  <si>
    <t>Pocatello</t>
  </si>
  <si>
    <t>CA-2016-161627</t>
  </si>
  <si>
    <t>SJ-20215</t>
  </si>
  <si>
    <t>Sarah Jordon</t>
  </si>
  <si>
    <t>FUR-CH-10003968</t>
  </si>
  <si>
    <t>Novimex Turbo Task Chair</t>
  </si>
  <si>
    <t>CA-2016-163895</t>
  </si>
  <si>
    <t>NS-18640</t>
  </si>
  <si>
    <t>Noel Staavos</t>
  </si>
  <si>
    <t>Boise</t>
  </si>
  <si>
    <t>OFF-BI-10004970</t>
  </si>
  <si>
    <t>ACCOHIDE 3-Ring Binder, Blue, 1"</t>
  </si>
  <si>
    <t>CA-2016-162621</t>
  </si>
  <si>
    <t>CA-12055</t>
  </si>
  <si>
    <t>Cathy Armstrong</t>
  </si>
  <si>
    <t>CA-2016-122623</t>
  </si>
  <si>
    <t>CC-12145</t>
  </si>
  <si>
    <t>Charles Crestani</t>
  </si>
  <si>
    <t>FUR-CH-10000553</t>
  </si>
  <si>
    <t>Metal Folding Chairs, Beige, 4/Carton</t>
  </si>
  <si>
    <t>CA-2016-105571</t>
  </si>
  <si>
    <t>CP-12340</t>
  </si>
  <si>
    <t>Christine Phan</t>
  </si>
  <si>
    <t>OFF-BI-10003305</t>
  </si>
  <si>
    <t>Avery Hanging File Binders</t>
  </si>
  <si>
    <t>CA-2016-144806</t>
  </si>
  <si>
    <t>GH-14425</t>
  </si>
  <si>
    <t>Gary Hwang</t>
  </si>
  <si>
    <t>Tucson</t>
  </si>
  <si>
    <t>FUR-FU-10002253</t>
  </si>
  <si>
    <t>Howard Miller 13" Diameter Pewter Finish Round Wall Clock</t>
  </si>
  <si>
    <t>CA-2016-148628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</si>
  <si>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</si>
  <si>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</si>
  <si>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</si>
  <si>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</si>
  <si>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</si>
  <si>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CA-2016-168634</t>
  </si>
  <si>
    <t>AF-10870</t>
  </si>
  <si>
    <t>Art Ferguson</t>
  </si>
  <si>
    <t>OFF-AP-10001626</t>
  </si>
  <si>
    <t>Commercial WindTunnel Clean Air Upright Vacuum, Replacement Belts, Filtration Bags</t>
  </si>
  <si>
    <t>CA-2016-135622</t>
  </si>
  <si>
    <t>TT-21460</t>
  </si>
  <si>
    <t>Tonja Turnell</t>
  </si>
  <si>
    <t>OFF-PA-10000100</t>
  </si>
  <si>
    <t>Xerox 1945</t>
  </si>
  <si>
    <t>CA-2016-155761</t>
  </si>
  <si>
    <t>SC-20800</t>
  </si>
  <si>
    <t>Stuart Calhoun</t>
  </si>
  <si>
    <t>CA-2016-126669</t>
  </si>
  <si>
    <t>DO-13645</t>
  </si>
  <si>
    <t>Doug O'Connell</t>
  </si>
  <si>
    <t>OFF-PA-10001357</t>
  </si>
  <si>
    <t>Xerox 1886</t>
  </si>
  <si>
    <t>CA-2016-164441</t>
  </si>
  <si>
    <t>AC-10450</t>
  </si>
  <si>
    <t>Amy Cox</t>
  </si>
  <si>
    <t>CA-2016-111990</t>
  </si>
  <si>
    <t>DB-13660</t>
  </si>
  <si>
    <t>Duane Benoit</t>
  </si>
  <si>
    <t>OFF-BI-10003291</t>
  </si>
  <si>
    <t>Wilson Jones Leather-Like Binders with DublLock Round Rings</t>
  </si>
  <si>
    <t>CA-2016-127509</t>
  </si>
  <si>
    <t>AS-10090</t>
  </si>
  <si>
    <t>Adam Shillingsburg</t>
  </si>
  <si>
    <t>OFF-BI-10002393</t>
  </si>
  <si>
    <t>Binder Posts</t>
  </si>
  <si>
    <t>CA-2016-126466</t>
  </si>
  <si>
    <t>JO-15550</t>
  </si>
  <si>
    <t>Jesus Ocampo</t>
  </si>
  <si>
    <t>Roseville</t>
  </si>
  <si>
    <t>OFF-FA-10000490</t>
  </si>
  <si>
    <t>OIC Binder Clips, Mini, 1/4" Capacity, Black</t>
  </si>
  <si>
    <t>CA-2016-105634</t>
  </si>
  <si>
    <t>HA-14905</t>
  </si>
  <si>
    <t>Helen Abelman</t>
  </si>
  <si>
    <t>OFF-AR-10001573</t>
  </si>
  <si>
    <t>American Pencil</t>
  </si>
  <si>
    <t>CA-2016-146486</t>
  </si>
  <si>
    <t>DV-13465</t>
  </si>
  <si>
    <t>Dianna Vittorini</t>
  </si>
  <si>
    <t>Oceanside</t>
  </si>
  <si>
    <t>CA-2016-158659</t>
  </si>
  <si>
    <t>SC-20695</t>
  </si>
  <si>
    <t>Steve Chapman</t>
  </si>
  <si>
    <t>OFF-ST-10003306</t>
  </si>
  <si>
    <t>Letter Size Cart</t>
  </si>
  <si>
    <t>CA-2016-121783</t>
  </si>
  <si>
    <t>PO-19180</t>
  </si>
  <si>
    <t>Philisse Overcash</t>
  </si>
  <si>
    <t>OFF-AP-10003849</t>
  </si>
  <si>
    <t>Hoover Shoulder Vac Commercial Portable Vacuum</t>
  </si>
  <si>
    <t>CA-2016-153220</t>
  </si>
  <si>
    <t>YC-21895</t>
  </si>
  <si>
    <t>Yoseph Carroll</t>
  </si>
  <si>
    <t>US-2016-153283</t>
  </si>
  <si>
    <t>EB-14110</t>
  </si>
  <si>
    <t>Eugene Barchas</t>
  </si>
  <si>
    <t>OFF-EN-10001539</t>
  </si>
  <si>
    <t>CA-2016-163090</t>
  </si>
  <si>
    <t>GH-14665</t>
  </si>
  <si>
    <t>Greg Hansen</t>
  </si>
  <si>
    <t>OFF-SU-10002537</t>
  </si>
  <si>
    <t>Acme Box Cutter Scissors</t>
  </si>
  <si>
    <t>CA-2016-126725</t>
  </si>
  <si>
    <t>BS-11665</t>
  </si>
  <si>
    <t>Brian Stugart</t>
  </si>
  <si>
    <t>TEC-PH-10003174</t>
  </si>
  <si>
    <t>RCA ViSYS 25825 Wireless digital phone</t>
  </si>
  <si>
    <t>CA-2016-105627</t>
  </si>
  <si>
    <t>DK-12895</t>
  </si>
  <si>
    <t>Dana Kaydos</t>
  </si>
  <si>
    <t>Kenosha</t>
  </si>
  <si>
    <t>FUR-BO-10002916</t>
  </si>
  <si>
    <t>Rush Hierlooms Collection 1" Thick Stackable Bookcases</t>
  </si>
  <si>
    <t>CA-2016-137512</t>
  </si>
  <si>
    <t>AG-10675</t>
  </si>
  <si>
    <t>Anna Gayman</t>
  </si>
  <si>
    <t>Allen</t>
  </si>
  <si>
    <t>FUR-TA-10001095</t>
  </si>
  <si>
    <t>Chromcraft Round Conference Tables</t>
  </si>
  <si>
    <t>CA-2016-164007</t>
  </si>
  <si>
    <t>MG-17695</t>
  </si>
  <si>
    <t>Maureen Gnade</t>
  </si>
  <si>
    <t>TEC-AC-10003433</t>
  </si>
  <si>
    <t>Maxell 4.7GB DVD+R 5/Pack</t>
  </si>
  <si>
    <t>CA-2016-121720</t>
  </si>
  <si>
    <t>JE-15610</t>
  </si>
  <si>
    <t>Jim Epp</t>
  </si>
  <si>
    <t>FUR-CH-10003312</t>
  </si>
  <si>
    <t>Hon 2090 â€œPillow Softâ€ Series Mid Back Swivel/Tilt Chairs</t>
  </si>
  <si>
    <t>CA-2016-136469</t>
  </si>
  <si>
    <t>TS-21370</t>
  </si>
  <si>
    <t>Todd Sumrall</t>
  </si>
  <si>
    <t>FUR-TA-10001520</t>
  </si>
  <si>
    <t>Lesro Sheffield Collection Coffee Table, End Table, Center Table, Corner Table</t>
  </si>
  <si>
    <t>CA-2016-141936</t>
  </si>
  <si>
    <t>PN-18775</t>
  </si>
  <si>
    <t>Parhena Norris</t>
  </si>
  <si>
    <t>Bakersfield</t>
  </si>
  <si>
    <t>OFF-BI-10002194</t>
  </si>
  <si>
    <t>Cardinal Hold-It CD Pocket</t>
  </si>
  <si>
    <t>CA-2016-163181</t>
  </si>
  <si>
    <t>AB-10105</t>
  </si>
  <si>
    <t>Adrian Barton</t>
  </si>
  <si>
    <t>OFF-AR-10001683</t>
  </si>
  <si>
    <t>Lumber Crayons</t>
  </si>
  <si>
    <t>CA-2016-154886</t>
  </si>
  <si>
    <t>SW-20455</t>
  </si>
  <si>
    <t>Shaun Weien</t>
  </si>
  <si>
    <t>TEC-AC-10001956</t>
  </si>
  <si>
    <t>Microsoft Arc Touch Mouse</t>
  </si>
  <si>
    <t>US-2016-149692</t>
  </si>
  <si>
    <t>KW-16435</t>
  </si>
  <si>
    <t>Katrina Willman</t>
  </si>
  <si>
    <t>OFF-BI-10002813</t>
  </si>
  <si>
    <t>Avery Reinforcements for Hole-Punch Pages</t>
  </si>
  <si>
    <t>CA-2016-129532</t>
  </si>
  <si>
    <t>YS-21880</t>
  </si>
  <si>
    <t>Yana Sorensen</t>
  </si>
  <si>
    <t>CA-2016-156118</t>
  </si>
  <si>
    <t>HG-14965</t>
  </si>
  <si>
    <t>Henry Goldwyn</t>
  </si>
  <si>
    <t>Colorado Springs</t>
  </si>
  <si>
    <t>CA-2016-157035</t>
  </si>
  <si>
    <t>KB-16600</t>
  </si>
  <si>
    <t>Ken Brennan</t>
  </si>
  <si>
    <t>OFF-PA-10004156</t>
  </si>
  <si>
    <t>Xerox 188</t>
  </si>
  <si>
    <t>CA-2016-143490</t>
  </si>
  <si>
    <t>NP-18325</t>
  </si>
  <si>
    <t>Naresj Patel</t>
  </si>
  <si>
    <t>CA-2016-135853</t>
  </si>
  <si>
    <t>CA-12775</t>
  </si>
  <si>
    <t>Cynthia Arntzen</t>
  </si>
  <si>
    <t>TEC-AC-10004761</t>
  </si>
  <si>
    <t>Maxell 4.7GB DVD+RW 3/Pack</t>
  </si>
  <si>
    <t>CA-2016-115693</t>
  </si>
  <si>
    <t>FC-14245</t>
  </si>
  <si>
    <t>Frank Carlisle</t>
  </si>
  <si>
    <t>OFF-AR-10003582</t>
  </si>
  <si>
    <t>Boston Electric Pencil Sharpener, Model 1818, Charcoal Black</t>
  </si>
  <si>
    <t>CA-2016-106208</t>
  </si>
  <si>
    <t>JW-16075</t>
  </si>
  <si>
    <t>Julia West</t>
  </si>
  <si>
    <t>OFF-AP-10004980</t>
  </si>
  <si>
    <t>3M Replacement Filter for Office Air Cleaner for 20' x 33' Room</t>
  </si>
  <si>
    <t>CA-2016-106362</t>
  </si>
  <si>
    <t>LC-16885</t>
  </si>
  <si>
    <t>Lena Creighton</t>
  </si>
  <si>
    <t>CA-2016-127481</t>
  </si>
  <si>
    <t>JD-15895</t>
  </si>
  <si>
    <t>Jonathan Doherty</t>
  </si>
  <si>
    <t>Las Vegas</t>
  </si>
  <si>
    <t>OFF-PA-10002036</t>
  </si>
  <si>
    <t>Xerox 1930</t>
  </si>
  <si>
    <t>US-2016-168732</t>
  </si>
  <si>
    <t>KM-16660</t>
  </si>
  <si>
    <t>Khloe Miller</t>
  </si>
  <si>
    <t>OFF-AR-10003087</t>
  </si>
  <si>
    <t>Staples in misc. colors</t>
  </si>
  <si>
    <t>CA-2016-112823</t>
  </si>
  <si>
    <t>RA-19945</t>
  </si>
  <si>
    <t>Ryan Akin</t>
  </si>
  <si>
    <t>Cleveland</t>
  </si>
  <si>
    <t>CA-2016-123232</t>
  </si>
  <si>
    <t>DJ-13630</t>
  </si>
  <si>
    <t>Doug Jacobs</t>
  </si>
  <si>
    <t>TEC-PH-10001051</t>
  </si>
  <si>
    <t>HTC One</t>
  </si>
  <si>
    <t>CA-2016-134082</t>
  </si>
  <si>
    <t>JK-15640</t>
  </si>
  <si>
    <t>Jim Kriz</t>
  </si>
  <si>
    <t>San Bernardino</t>
  </si>
  <si>
    <t>CA-2016-162544</t>
  </si>
  <si>
    <t>SG-20080</t>
  </si>
  <si>
    <t>Sandra Glassco</t>
  </si>
  <si>
    <t>OFF-PA-10004948</t>
  </si>
  <si>
    <t>Xerox 190</t>
  </si>
  <si>
    <t>CA-2016-153038</t>
  </si>
  <si>
    <t>RB-19645</t>
  </si>
  <si>
    <t>Robert Barroso</t>
  </si>
  <si>
    <t>Memphis</t>
  </si>
  <si>
    <t>OFF-EN-10000461</t>
  </si>
  <si>
    <t>#10- 4 1/8" x 9 1/2" Recycled Envelopes</t>
  </si>
  <si>
    <t>CA-2016-141754</t>
  </si>
  <si>
    <t>EM-14200</t>
  </si>
  <si>
    <t>Evan Minnotte</t>
  </si>
  <si>
    <t>OFF-LA-10004093</t>
  </si>
  <si>
    <t>Avery 486</t>
  </si>
  <si>
    <t>CA-2017-152163</t>
  </si>
  <si>
    <t>JF-15355</t>
  </si>
  <si>
    <t>Jay Fein</t>
  </si>
  <si>
    <t>CA-2017-111794</t>
  </si>
  <si>
    <t>HG-15025</t>
  </si>
  <si>
    <t>Hunter Glantz</t>
  </si>
  <si>
    <t>Amarillo</t>
  </si>
  <si>
    <t>TEC-AC-10003832</t>
  </si>
  <si>
    <t>ImationÂ 16GB Mini TravelDrive USB 2.0Â Flash Drive</t>
  </si>
  <si>
    <t>CA-2017-163937</t>
  </si>
  <si>
    <t>JB-16000</t>
  </si>
  <si>
    <t>Joy Bell-</t>
  </si>
  <si>
    <t>Longview</t>
  </si>
  <si>
    <t>US-2017-135923</t>
  </si>
  <si>
    <t>CM-11935</t>
  </si>
  <si>
    <t>Carlos Meador</t>
  </si>
  <si>
    <t>FUR-FU-10002107</t>
  </si>
  <si>
    <t>Eldon Pizzaz Desk Accessories</t>
  </si>
  <si>
    <t>CA-2017-146836</t>
  </si>
  <si>
    <t>CC-12475</t>
  </si>
  <si>
    <t>Cindy Chapman</t>
  </si>
  <si>
    <t>OFF-ST-10001580</t>
  </si>
  <si>
    <t>Super Decoflex Portable Personal File</t>
  </si>
  <si>
    <t>CA-2017-157686</t>
  </si>
  <si>
    <t>BD-11620</t>
  </si>
  <si>
    <t>Brian DeCherney</t>
  </si>
  <si>
    <t>US-2017-112396</t>
  </si>
  <si>
    <t>JR-16210</t>
  </si>
  <si>
    <t>Justin Ritter</t>
  </si>
  <si>
    <t>CA-2017-164938</t>
  </si>
  <si>
    <t>PB-19210</t>
  </si>
  <si>
    <t>Phillip Breyer</t>
  </si>
  <si>
    <t>TEC-PH-10004897</t>
  </si>
  <si>
    <t>Mediabridge Sport Armband iPhone 5s</t>
  </si>
  <si>
    <t>CA-2017-120005</t>
  </si>
  <si>
    <t>TS-21160</t>
  </si>
  <si>
    <t>Theresa Swint</t>
  </si>
  <si>
    <t>OFF-SU-10004782</t>
  </si>
  <si>
    <t>Elite 5" Scissors</t>
  </si>
  <si>
    <t>CA-2017-166674</t>
  </si>
  <si>
    <t>RB-19360</t>
  </si>
  <si>
    <t>Raymond Buch</t>
  </si>
  <si>
    <t>Auburn</t>
  </si>
  <si>
    <t>CA-2017-129714</t>
  </si>
  <si>
    <t>AB-10060</t>
  </si>
  <si>
    <t>Adam Bellavance</t>
  </si>
  <si>
    <t>TEC-AC-10000290</t>
  </si>
  <si>
    <t>Sabrent 4-Port USB 2.0 Hub</t>
  </si>
  <si>
    <t>CA-2017-124583</t>
  </si>
  <si>
    <t>LB-16795</t>
  </si>
  <si>
    <t>Laurel Beltran</t>
  </si>
  <si>
    <t>Huntington Beach</t>
  </si>
  <si>
    <t>OFF-EN-10002500</t>
  </si>
  <si>
    <t>Globe Weis Peel &amp; Seel First Class Envelopes</t>
  </si>
  <si>
    <t>CA-2017-118969</t>
  </si>
  <si>
    <t>LP-17095</t>
  </si>
  <si>
    <t>Liz Preis</t>
  </si>
  <si>
    <t>OFF-BI-10002429</t>
  </si>
  <si>
    <t>Premier Elliptical Ring Binder, Black</t>
  </si>
  <si>
    <t>CA-2017-130393</t>
  </si>
  <si>
    <t>JM-15865</t>
  </si>
  <si>
    <t>John Murray</t>
  </si>
  <si>
    <t>San Angelo</t>
  </si>
  <si>
    <t>CA-2017-169103</t>
  </si>
  <si>
    <t>ZC-21910</t>
  </si>
  <si>
    <t>Zuschuss Carroll</t>
  </si>
  <si>
    <t>CA-2017-169663</t>
  </si>
  <si>
    <t>RH-19510</t>
  </si>
  <si>
    <t>Rick Huthwaite</t>
  </si>
  <si>
    <t>CA-2017-108959</t>
  </si>
  <si>
    <t>MH-17785</t>
  </si>
  <si>
    <t>Maya Herman</t>
  </si>
  <si>
    <t>OFF-ST-10001272</t>
  </si>
  <si>
    <t>Mini 13-1/2 Capacity Data Binder Rack, Pearl</t>
  </si>
  <si>
    <t>US-2017-154361</t>
  </si>
  <si>
    <t>HZ-14950</t>
  </si>
  <si>
    <t>Henia Zydlo</t>
  </si>
  <si>
    <t>CA-2017-164784</t>
  </si>
  <si>
    <t>HF-14995</t>
  </si>
  <si>
    <t>Herbert Flentye</t>
  </si>
  <si>
    <t>CA-2017-101525</t>
  </si>
  <si>
    <t>CM-12235</t>
  </si>
  <si>
    <t>Chris McAfee</t>
  </si>
  <si>
    <t>OFF-PA-10001497</t>
  </si>
  <si>
    <t>Xerox 1914</t>
  </si>
  <si>
    <t>CA-2017-165848</t>
  </si>
  <si>
    <t>EN-13780</t>
  </si>
  <si>
    <t>Edward Nazzal</t>
  </si>
  <si>
    <t>CA-2017-156265</t>
  </si>
  <si>
    <t>BF-11020</t>
  </si>
  <si>
    <t>Barry FranzÃ¶sisch</t>
  </si>
  <si>
    <t>FUR-TA-10001691</t>
  </si>
  <si>
    <t>Barricks Non-Folding Utility Table with Steel Legs, Laminate Tops</t>
  </si>
  <si>
    <t>CA-2017-120859</t>
  </si>
  <si>
    <t>CV-12805</t>
  </si>
  <si>
    <t>Cynthia Voltz</t>
  </si>
  <si>
    <t>OFF-EN-10001335</t>
  </si>
  <si>
    <t>White Business Envelopes with Contemporary Seam, Recycled White Business Envelopes</t>
  </si>
  <si>
    <t>CA-2017-121601</t>
  </si>
  <si>
    <t>MO-17500</t>
  </si>
  <si>
    <t>Mary O'Rourke</t>
  </si>
  <si>
    <t>The Colony</t>
  </si>
  <si>
    <t>OFF-EN-10003862</t>
  </si>
  <si>
    <t>Laser &amp; Ink Jet Business Envelopes</t>
  </si>
  <si>
    <t>CA-2017-138520</t>
  </si>
  <si>
    <t>JL-15505</t>
  </si>
  <si>
    <t>Jeremy Lonsdale</t>
  </si>
  <si>
    <t>FUR-BO-10002268</t>
  </si>
  <si>
    <t>Sauder Barrister Bookcases</t>
  </si>
  <si>
    <t>CA-2017-128517</t>
  </si>
  <si>
    <t>SW-20350</t>
  </si>
  <si>
    <t>Sean Wendt</t>
  </si>
  <si>
    <t>TEC-PH-10002555</t>
  </si>
  <si>
    <t>Nortel Meridian M5316 Digital phone</t>
  </si>
  <si>
    <t>CA-2017-163594</t>
  </si>
  <si>
    <t>JF-15295</t>
  </si>
  <si>
    <t>Jason Fortune-</t>
  </si>
  <si>
    <t>OFF-PA-10000809</t>
  </si>
  <si>
    <t>Xerox 206</t>
  </si>
  <si>
    <t>CA-2017-127985</t>
  </si>
  <si>
    <t>DB-12910</t>
  </si>
  <si>
    <t>Daniel Byrd</t>
  </si>
  <si>
    <t>FUR-FU-10003274</t>
  </si>
  <si>
    <t>Regeneration Desk Collection</t>
  </si>
  <si>
    <t>CA-2017-129280</t>
  </si>
  <si>
    <t>SM-20905</t>
  </si>
  <si>
    <t>Susan MacKendrick</t>
  </si>
  <si>
    <t>CA-2017-144337</t>
  </si>
  <si>
    <t>SG-20890</t>
  </si>
  <si>
    <t>Susan Gilcrest</t>
  </si>
  <si>
    <t>OFF-PA-10000249</t>
  </si>
  <si>
    <t>CA-2017-104150</t>
  </si>
  <si>
    <t>AG-10330</t>
  </si>
  <si>
    <t>Alex Grayson</t>
  </si>
  <si>
    <t>OFF-EN-10002504</t>
  </si>
  <si>
    <t>Tyvek  Top-Opening Peel &amp; Seel Envelopes, Plain White</t>
  </si>
  <si>
    <t>US-2017-128195</t>
  </si>
  <si>
    <t>RA-19285</t>
  </si>
  <si>
    <t>Ralph Arnett</t>
  </si>
  <si>
    <t>CA-2017-113621</t>
  </si>
  <si>
    <t>JE-15745</t>
  </si>
  <si>
    <t>Joel Eaton</t>
  </si>
  <si>
    <t>US-2017-150035</t>
  </si>
  <si>
    <t>CL-11890</t>
  </si>
  <si>
    <t>Carl Ludwig</t>
  </si>
  <si>
    <t>FUR-FU-10003724</t>
  </si>
  <si>
    <t>Westinghouse Clip-On Gooseneck Lamps</t>
  </si>
  <si>
    <t>CA-2017-109911</t>
  </si>
  <si>
    <t>VG-21805</t>
  </si>
  <si>
    <t>Vivek Grady</t>
  </si>
  <si>
    <t>OFF-AR-10001662</t>
  </si>
  <si>
    <t>Rogers Handheld Barrel Pencil Sharpener</t>
  </si>
  <si>
    <t>US-2017-123610</t>
  </si>
  <si>
    <t>VM-21835</t>
  </si>
  <si>
    <t>Vivian Mathis</t>
  </si>
  <si>
    <t>Mission Viejo</t>
  </si>
  <si>
    <t>TEC-AC-10004518</t>
  </si>
  <si>
    <t>Memorex Mini Travel Drive 32 GB USB 2.0 Flash Drive</t>
  </si>
  <si>
    <t>CA-2017-122133</t>
  </si>
  <si>
    <t>JR-15670</t>
  </si>
  <si>
    <t>Jim Radford</t>
  </si>
  <si>
    <t>OFF-ST-10002574</t>
  </si>
  <si>
    <t>SAFCO Commercial Wire Shelving, Black</t>
  </si>
  <si>
    <t>CA-2017-116799</t>
  </si>
  <si>
    <t>JG-15310</t>
  </si>
  <si>
    <t>Jason Gross</t>
  </si>
  <si>
    <t>Odessa</t>
  </si>
  <si>
    <t>OFF-PA-10001892</t>
  </si>
  <si>
    <t>Rediform Wirebound "Phone Memo" Message Book, 11 x 5-3/4</t>
  </si>
  <si>
    <t>CA-2017-149902</t>
  </si>
  <si>
    <t>DW-13540</t>
  </si>
  <si>
    <t>Don Weiss</t>
  </si>
  <si>
    <t>OFF-AR-10002956</t>
  </si>
  <si>
    <t>Boston 16801 Nautilus Battery Pencil Sharpener</t>
  </si>
  <si>
    <t>US-2017-102239</t>
  </si>
  <si>
    <t>LW-16990</t>
  </si>
  <si>
    <t>Lindsay Williams</t>
  </si>
  <si>
    <t>FUR-TA-10003392</t>
  </si>
  <si>
    <t>Global Adaptabilities Conference Tables</t>
  </si>
  <si>
    <t>CA-2017-130029</t>
  </si>
  <si>
    <t>GT-14755</t>
  </si>
  <si>
    <t>Guy Thornton</t>
  </si>
  <si>
    <t>OFF-PA-10000552</t>
  </si>
  <si>
    <t>Xerox 200</t>
  </si>
  <si>
    <t>CA-2017-111913</t>
  </si>
  <si>
    <t>LC-16930</t>
  </si>
  <si>
    <t>Linda Cazamias</t>
  </si>
  <si>
    <t>TEC-PH-10002275</t>
  </si>
  <si>
    <t>Mitel 5320 IP Phone VoIP phone</t>
  </si>
  <si>
    <t>CA-2017-106950</t>
  </si>
  <si>
    <t>JE-15715</t>
  </si>
  <si>
    <t>Joe Elijah</t>
  </si>
  <si>
    <t>OFF-BI-10000014</t>
  </si>
  <si>
    <t>Heavy-Duty E-Z-D Binders</t>
  </si>
  <si>
    <t>CA-2017-116918</t>
  </si>
  <si>
    <t>JK-15205</t>
  </si>
  <si>
    <t>Jamie Kunitz</t>
  </si>
  <si>
    <t>Hialeah</t>
  </si>
  <si>
    <t>CA-2017-134376</t>
  </si>
  <si>
    <t>TT-21265</t>
  </si>
  <si>
    <t>Tim Taslimi</t>
  </si>
  <si>
    <t>CA-2017-114972</t>
  </si>
  <si>
    <t>PF-19225</t>
  </si>
  <si>
    <t>Phillip Flathmann</t>
  </si>
  <si>
    <t>FUR-CH-10001190</t>
  </si>
  <si>
    <t>Global Deluxe High-Back Office Chair in Storm</t>
  </si>
  <si>
    <t>CA-2017-162236</t>
  </si>
  <si>
    <t>ER-13855</t>
  </si>
  <si>
    <t>Elpida Rittenbach</t>
  </si>
  <si>
    <t>OFF-ST-10003442</t>
  </si>
  <si>
    <t>Eldon Portable Mobile Manager</t>
  </si>
  <si>
    <t>CA-2017-127775</t>
  </si>
  <si>
    <t>ES-14020</t>
  </si>
  <si>
    <t>Erica Smith</t>
  </si>
  <si>
    <t>TEC-AC-10002402</t>
  </si>
  <si>
    <t>Razer Kraken PRO Over Ear PC and Music Headset</t>
  </si>
  <si>
    <t>CA-2017-113243</t>
  </si>
  <si>
    <t>OT-18730</t>
  </si>
  <si>
    <t>Olvera Toch</t>
  </si>
  <si>
    <t>OFF-LA-10001297</t>
  </si>
  <si>
    <t>Avery 473</t>
  </si>
  <si>
    <t>CA-2017-127208</t>
  </si>
  <si>
    <t>SC-20770</t>
  </si>
  <si>
    <t>Stewart Carmichael</t>
  </si>
  <si>
    <t>OFF-AP-10002118</t>
  </si>
  <si>
    <t>1.7 Cubic Foot Compact "Cube" Office Refrigerators</t>
  </si>
  <si>
    <t>CA-2017-138688</t>
  </si>
  <si>
    <t>DV-13045</t>
  </si>
  <si>
    <t>Darrin Van Huff</t>
  </si>
  <si>
    <t>CA-2017-164035</t>
  </si>
  <si>
    <t>CR-12730</t>
  </si>
  <si>
    <t>Craig Reiter</t>
  </si>
  <si>
    <t>OFF-PA-10002160</t>
  </si>
  <si>
    <t>Xerox 1978</t>
  </si>
  <si>
    <t>CA-2017-152765</t>
  </si>
  <si>
    <t>LS-17245</t>
  </si>
  <si>
    <t>Lynn Smith</t>
  </si>
  <si>
    <t>OFF-PA-10000483</t>
  </si>
  <si>
    <t>Xerox 19</t>
  </si>
  <si>
    <t>CA-2017-155747</t>
  </si>
  <si>
    <t>JS-15685</t>
  </si>
  <si>
    <t>Jim Sink</t>
  </si>
  <si>
    <t>CA-2017-152331</t>
  </si>
  <si>
    <t>LD-16855</t>
  </si>
  <si>
    <t>Lela Donovan</t>
  </si>
  <si>
    <t>OFF-AR-10001547</t>
  </si>
  <si>
    <t>Newell 311</t>
  </si>
  <si>
    <t>CA-2017-160304</t>
  </si>
  <si>
    <t>BM-11575</t>
  </si>
  <si>
    <t>Brendan Murry</t>
  </si>
  <si>
    <t>Gaithersburg</t>
  </si>
  <si>
    <t>FUR-BO-10004709</t>
  </si>
  <si>
    <t>Bush Westfield Collection Bookcases, Medium Cherry Finish</t>
  </si>
  <si>
    <t>CA-2017-134474</t>
  </si>
  <si>
    <t>AJ-10795</t>
  </si>
  <si>
    <t>Anthony Johnson</t>
  </si>
  <si>
    <t>TEC-AC-10001714</t>
  </si>
  <si>
    <t>LogitechÂ MX Performance Wireless Mouse</t>
  </si>
  <si>
    <t>CA-2017-106894</t>
  </si>
  <si>
    <t>CA-12265</t>
  </si>
  <si>
    <t>Christina Anderson</t>
  </si>
  <si>
    <t>TEC-AC-10003063</t>
  </si>
  <si>
    <t>Micro Innovations USB RF Wireless Keyboard with Mouse</t>
  </si>
  <si>
    <t>US-2017-160206</t>
  </si>
  <si>
    <t>MY-18295</t>
  </si>
  <si>
    <t>Muhammed Yedwab</t>
  </si>
  <si>
    <t>TEC-PH-10000148</t>
  </si>
  <si>
    <t>Cyber Acoustics AC-202b Speech Recognition Stereo Headset</t>
  </si>
  <si>
    <t>CA-2017-148698</t>
  </si>
  <si>
    <t>BD-11770</t>
  </si>
  <si>
    <t>Bryan Davis</t>
  </si>
  <si>
    <t>OFF-AR-10004022</t>
  </si>
  <si>
    <t>Panasonic KP-380BK Classic Electric Pencil Sharpener</t>
  </si>
  <si>
    <t>CA-2017-112739</t>
  </si>
  <si>
    <t>RD-19810</t>
  </si>
  <si>
    <t>Ross DeVincentis</t>
  </si>
  <si>
    <t>OFF-BI-10001132</t>
  </si>
  <si>
    <t>Acco PRESSTEX Data Binder with Storage Hooks, Dark Blue, 9 1/2" X 11"</t>
  </si>
  <si>
    <t>US-2017-104815</t>
  </si>
  <si>
    <t>RB-19570</t>
  </si>
  <si>
    <t>Rob Beeghly</t>
  </si>
  <si>
    <t>FUR-BO-10003894</t>
  </si>
  <si>
    <t>Safco Value Mate Steel Bookcase, Baked Enamel Finish on Steel, Black</t>
  </si>
  <si>
    <t>CA-2017-139409</t>
  </si>
  <si>
    <t>FW-14395</t>
  </si>
  <si>
    <t>Fred Wasserman</t>
  </si>
  <si>
    <t>TEC-PH-10003988</t>
  </si>
  <si>
    <t>LF Elite 3D Dazzle Designer Hard Case Cover, Lf Stylus Pen and Wiper For Apple Iphone 5c Mini Lite</t>
  </si>
  <si>
    <t>US-2017-155103</t>
  </si>
  <si>
    <t>JF-15190</t>
  </si>
  <si>
    <t>Jamie Frazer</t>
  </si>
  <si>
    <t>OFF-BI-10004318</t>
  </si>
  <si>
    <t>Ibico EB-19 Dual Function Manual Binding System</t>
  </si>
  <si>
    <t>CA-2017-143749</t>
  </si>
  <si>
    <t>AG-10300</t>
  </si>
  <si>
    <t>Aleksandra Gannaway</t>
  </si>
  <si>
    <t>FUR-BO-10002853</t>
  </si>
  <si>
    <t>O'Sullivan 5-Shelf Heavy-Duty Bookcases</t>
  </si>
  <si>
    <t>CA-2017-109722</t>
  </si>
  <si>
    <t>TP-21130</t>
  </si>
  <si>
    <t>Theone Pippenger</t>
  </si>
  <si>
    <t>Georgetown</t>
  </si>
  <si>
    <t>TEC-PH-10000560</t>
  </si>
  <si>
    <t>Samsung Galaxy S III - 16GB - pebble blue (T-Mobile)</t>
  </si>
  <si>
    <t>CA-2017-129308</t>
  </si>
  <si>
    <t>CC-12100</t>
  </si>
  <si>
    <t>Chad Cunningham</t>
  </si>
  <si>
    <t>OFF-LA-10002945</t>
  </si>
  <si>
    <t>Permanent Self-Adhesive File Folder Labels for Typewriters, 1 1/8 x 3 1/2, White</t>
  </si>
  <si>
    <t>CA-2017-117282</t>
  </si>
  <si>
    <t>DR-12880</t>
  </si>
  <si>
    <t>Dan Reichenbach</t>
  </si>
  <si>
    <t>OFF-BI-10004094</t>
  </si>
  <si>
    <t>GBC Standard Plastic Binding Systems Combs</t>
  </si>
  <si>
    <t>CA-2017-157588</t>
  </si>
  <si>
    <t>AR-10570</t>
  </si>
  <si>
    <t>Anemone Ratner</t>
  </si>
  <si>
    <t>OFF-BI-10003963</t>
  </si>
  <si>
    <t>Cardinal Holdit Data Disk Pockets</t>
  </si>
  <si>
    <t>US-2017-168095</t>
  </si>
  <si>
    <t>MC-17425</t>
  </si>
  <si>
    <t>Mark Cousins</t>
  </si>
  <si>
    <t>FUR-CH-10004886</t>
  </si>
  <si>
    <t>Bevis Steel Folding Chairs</t>
  </si>
  <si>
    <t>US-2017-116365</t>
  </si>
  <si>
    <t>CA-12310</t>
  </si>
  <si>
    <t>Christine Abelman</t>
  </si>
  <si>
    <t>TEC-AC-10002217</t>
  </si>
  <si>
    <t>ImationÂ Clip USBÂ flash driveÂ - 8 GB</t>
  </si>
  <si>
    <t>CA-2017-105207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</si>
  <si>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</si>
  <si>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</si>
  <si>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</si>
  <si>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</si>
  <si>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</si>
  <si>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CA-2017-158211</t>
  </si>
  <si>
    <t>BP-11185</t>
  </si>
  <si>
    <t>Ben Peterman</t>
  </si>
  <si>
    <t>CA-2017-117912</t>
  </si>
  <si>
    <t>TB-21520</t>
  </si>
  <si>
    <t>Tracy Blumstein</t>
  </si>
  <si>
    <t>Sierra Vista</t>
  </si>
  <si>
    <t>FUR-FU-10002088</t>
  </si>
  <si>
    <t>Nu-Dell Float Frame 11 x 14 1/2</t>
  </si>
  <si>
    <t>CA-2017-122518</t>
  </si>
  <si>
    <t>RF-19345</t>
  </si>
  <si>
    <t>Randy Ferguson</t>
  </si>
  <si>
    <t>CA-2017-154060</t>
  </si>
  <si>
    <t>DL-12865</t>
  </si>
  <si>
    <t>Dan Lawera</t>
  </si>
  <si>
    <t>Greensboro</t>
  </si>
  <si>
    <t>FUR-CH-10002304</t>
  </si>
  <si>
    <t>Global Stack Chair without Arms, Black</t>
  </si>
  <si>
    <t>CA-2017-101469</t>
  </si>
  <si>
    <t>KH-16360</t>
  </si>
  <si>
    <t>Katherine Hughes</t>
  </si>
  <si>
    <t>OFF-AR-10003986</t>
  </si>
  <si>
    <t>Avery Hi-Liter Pen Style Six-Color Fluorescent Set</t>
  </si>
  <si>
    <t>CA-2017-110254</t>
  </si>
  <si>
    <t>ML-17755</t>
  </si>
  <si>
    <t>Max Ludwig</t>
  </si>
  <si>
    <t>OFF-SU-10002573</t>
  </si>
  <si>
    <t>Acme 10" Easy Grip Assistive Scissors</t>
  </si>
  <si>
    <t>CA-2017-145240</t>
  </si>
  <si>
    <t>BG-11740</t>
  </si>
  <si>
    <t>Bruce Geld</t>
  </si>
  <si>
    <t>CA-2017-163755</t>
  </si>
  <si>
    <t>AS-10285</t>
  </si>
  <si>
    <t>Alejandro Savely</t>
  </si>
  <si>
    <t>FUR-FU-10003394</t>
  </si>
  <si>
    <t>Tenex "The Solids" Textured Chair Mats</t>
  </si>
  <si>
    <t>US-2017-108455</t>
  </si>
  <si>
    <t>MK-18160</t>
  </si>
  <si>
    <t>Mike Kennedy</t>
  </si>
  <si>
    <t>OFF-PA-10002262</t>
  </si>
  <si>
    <t>Xerox 192</t>
  </si>
  <si>
    <t>US-2017-161683</t>
  </si>
  <si>
    <t>CJ-12010</t>
  </si>
  <si>
    <t>Caroline Jumper</t>
  </si>
  <si>
    <t>CA-2017-139885</t>
  </si>
  <si>
    <t>EB-13840</t>
  </si>
  <si>
    <t>Ellis Ballard</t>
  </si>
  <si>
    <t>OFF-ST-10003324</t>
  </si>
  <si>
    <t>Belkin OmniView SE Rackmount Kit</t>
  </si>
  <si>
    <t>CA-2017-105277</t>
  </si>
  <si>
    <t>LM-17065</t>
  </si>
  <si>
    <t>Liz MacKendrick</t>
  </si>
  <si>
    <t>OFF-BI-10000301</t>
  </si>
  <si>
    <t>GBC Instant Report Kit</t>
  </si>
  <si>
    <t>CA-2017-128671</t>
  </si>
  <si>
    <t>MT-18070</t>
  </si>
  <si>
    <t>Michelle Tran</t>
  </si>
  <si>
    <t>CA-2017-148096</t>
  </si>
  <si>
    <t>AO-10810</t>
  </si>
  <si>
    <t>Anthony O'Donnell</t>
  </si>
  <si>
    <t>FUR-TA-10004152</t>
  </si>
  <si>
    <t>Barricks 18" x 48" Non-Folding Utility Table with Bottom Storage Shelf</t>
  </si>
  <si>
    <t>US-2017-164630</t>
  </si>
  <si>
    <t>EB-13975</t>
  </si>
  <si>
    <t>Erica Bern</t>
  </si>
  <si>
    <t>TEC-CO-10000971</t>
  </si>
  <si>
    <t>Hewlett Packard 310 Color Digital Copier</t>
  </si>
  <si>
    <t>CA-2017-161662</t>
  </si>
  <si>
    <t>BE-11410</t>
  </si>
  <si>
    <t>Bobby Elias</t>
  </si>
  <si>
    <t>OFF-PA-10003465</t>
  </si>
  <si>
    <t>Xerox 1912</t>
  </si>
  <si>
    <t>CA-2017-167682</t>
  </si>
  <si>
    <t>ZD-21925</t>
  </si>
  <si>
    <t>Zuschuss Donatelli</t>
  </si>
  <si>
    <t>FUR-FU-10003799</t>
  </si>
  <si>
    <t>Seth Thomas 13 1/2" Wall Clock</t>
  </si>
  <si>
    <t>CA-2017-167115</t>
  </si>
  <si>
    <t>EH-14185</t>
  </si>
  <si>
    <t>Evan Henry</t>
  </si>
  <si>
    <t>CA-2017-137729</t>
  </si>
  <si>
    <t>BF-11005</t>
  </si>
  <si>
    <t>Barry Franz</t>
  </si>
  <si>
    <t>CA-2017-108350</t>
  </si>
  <si>
    <t>SC-20230</t>
  </si>
  <si>
    <t>Scot Coram</t>
  </si>
  <si>
    <t>OFF-PA-10003656</t>
  </si>
  <si>
    <t>Xerox 1935</t>
  </si>
  <si>
    <t>CA-2017-135265</t>
  </si>
  <si>
    <t>CC-12370</t>
  </si>
  <si>
    <t>Christopher Conant</t>
  </si>
  <si>
    <t>FUR-CH-10003061</t>
  </si>
  <si>
    <t>Global Leather Task Chair, Black</t>
  </si>
  <si>
    <t>CA-2017-168774</t>
  </si>
  <si>
    <t>RP-19855</t>
  </si>
  <si>
    <t>Roy Phan</t>
  </si>
  <si>
    <t>Woodbury</t>
  </si>
  <si>
    <t>OFF-ST-10001490</t>
  </si>
  <si>
    <t>Hot File 7-Pocket, Floor Stand</t>
  </si>
  <si>
    <t>CA-2017-154536</t>
  </si>
  <si>
    <t>JC-15340</t>
  </si>
  <si>
    <t>Jasper Cacioppo</t>
  </si>
  <si>
    <t>OFF-BI-10004410</t>
  </si>
  <si>
    <t>C-Line Peel &amp; Stick Add-On Filing Pockets, 8-3/4 x 5-1/8, 10/Pack</t>
  </si>
  <si>
    <t>CA-2017-158778</t>
  </si>
  <si>
    <t>DB-13210</t>
  </si>
  <si>
    <t>Dean Braden</t>
  </si>
  <si>
    <t>FUR-FU-10000260</t>
  </si>
  <si>
    <t>6" Cubicle Wall Clock, Black</t>
  </si>
  <si>
    <t>CA-2017-127649</t>
  </si>
  <si>
    <t>DL-13495</t>
  </si>
  <si>
    <t>Dionis Lloyd</t>
  </si>
  <si>
    <t>TEC-MA-10001972</t>
  </si>
  <si>
    <t>Okidata C331dn Printer</t>
  </si>
  <si>
    <t>CA-2017-160136</t>
  </si>
  <si>
    <t>PJ-18835</t>
  </si>
  <si>
    <t>Patrick Jones</t>
  </si>
  <si>
    <t>CA-2017-165827</t>
  </si>
  <si>
    <t>MF-17665</t>
  </si>
  <si>
    <t>Maureen Fritzler</t>
  </si>
  <si>
    <t>FUR-FU-10001889</t>
  </si>
  <si>
    <t>Ultra Door Pull Handle</t>
  </si>
  <si>
    <t>US-2017-153815</t>
  </si>
  <si>
    <t>KL-16555</t>
  </si>
  <si>
    <t>Kelly Lampkin</t>
  </si>
  <si>
    <t>CA-2017-161025</t>
  </si>
  <si>
    <t>GM-14440</t>
  </si>
  <si>
    <t>Gary McGarr</t>
  </si>
  <si>
    <t>OFF-ST-10001932</t>
  </si>
  <si>
    <t>Fellowes Staxonsteel Drawer Files</t>
  </si>
  <si>
    <t>CA-2017-114489</t>
  </si>
  <si>
    <t>JE-16165</t>
  </si>
  <si>
    <t>Justin Ellison</t>
  </si>
  <si>
    <t>TEC-PH-10000215</t>
  </si>
  <si>
    <t>Plantronics CordlessÂ Phone HeadsetÂ with In-line Volume - M214C</t>
  </si>
  <si>
    <t>CA-2017-113082</t>
  </si>
  <si>
    <t>MC-17590</t>
  </si>
  <si>
    <t>Matt Collister</t>
  </si>
  <si>
    <t>Utica</t>
  </si>
  <si>
    <t>FUR-FU-10002813</t>
  </si>
  <si>
    <t>DAX Contemporary Wood Frame with Silver Metal Mat, Desktop, 11 x 14 Size</t>
  </si>
  <si>
    <t>CA-2017-116911</t>
  </si>
  <si>
    <t>JD-16150</t>
  </si>
  <si>
    <t>Justin Deggeller</t>
  </si>
  <si>
    <t>Twin Falls</t>
  </si>
  <si>
    <t>OFF-BI-10001249</t>
  </si>
  <si>
    <t>Avery Heavy-Duty EZD View Binder with Locking Rings</t>
  </si>
  <si>
    <t>CA-2017-154053</t>
  </si>
  <si>
    <t>MG-17890</t>
  </si>
  <si>
    <t>Michael Granlund</t>
  </si>
  <si>
    <t>OFF-AR-10003727</t>
  </si>
  <si>
    <t>Berol Giant Pencil Sharpener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</si>
  <si>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</si>
  <si>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</si>
  <si>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</si>
  <si>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</si>
  <si>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</si>
  <si>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CA-2017-163216</t>
  </si>
  <si>
    <t>AW-10930</t>
  </si>
  <si>
    <t>Arthur Wiediger</t>
  </si>
  <si>
    <t>OFF-LA-10000134</t>
  </si>
  <si>
    <t>Avery 511</t>
  </si>
  <si>
    <t>US-2017-165078</t>
  </si>
  <si>
    <t>MA-17995</t>
  </si>
  <si>
    <t>Michelle Arnett</t>
  </si>
  <si>
    <t>OFF-BI-10001989</t>
  </si>
  <si>
    <t>Premium Transparent Presentation Covers by GBC</t>
  </si>
  <si>
    <t>US-2017-125969</t>
  </si>
  <si>
    <t>LS-16975</t>
  </si>
  <si>
    <t>Lindsay Shagiari</t>
  </si>
  <si>
    <t>Global Task Chair, Black</t>
  </si>
  <si>
    <t>CA-2017-140564</t>
  </si>
  <si>
    <t>TC-21475</t>
  </si>
  <si>
    <t>Tony Chapman</t>
  </si>
  <si>
    <t>District of Columbia</t>
  </si>
  <si>
    <t>US-2017-126844</t>
  </si>
  <si>
    <t>BW-11110</t>
  </si>
  <si>
    <t>Bart Watters</t>
  </si>
  <si>
    <t>FUR-FU-10004909</t>
  </si>
  <si>
    <t>Contemporary Wood/Metal Frame</t>
  </si>
  <si>
    <t>CA-2017-149685</t>
  </si>
  <si>
    <t>PM-19135</t>
  </si>
  <si>
    <t>Peter McVee</t>
  </si>
  <si>
    <t>OFF-LA-10004545</t>
  </si>
  <si>
    <t>Avery 50</t>
  </si>
  <si>
    <t>CA-2017-109344</t>
  </si>
  <si>
    <t>CH-12070</t>
  </si>
  <si>
    <t>Cathy Hwang</t>
  </si>
  <si>
    <t>TEC-PH-10002624</t>
  </si>
  <si>
    <t>Samsung Galaxy S4 Mini</t>
  </si>
  <si>
    <t>CA-2017-165218</t>
  </si>
  <si>
    <t>RW-19630</t>
  </si>
  <si>
    <t>Rob Williams</t>
  </si>
  <si>
    <t>CA-2017-159016</t>
  </si>
  <si>
    <t>KF-16285</t>
  </si>
  <si>
    <t>Karen Ferguson</t>
  </si>
  <si>
    <t>OFF-PA-10004405</t>
  </si>
  <si>
    <t>Rediform Voice Mail Log Books</t>
  </si>
  <si>
    <t>CA-2017-122511</t>
  </si>
  <si>
    <t>BT-11485</t>
  </si>
  <si>
    <t>Brad Thomas</t>
  </si>
  <si>
    <t>FUR-FU-10001037</t>
  </si>
  <si>
    <t>DAX Charcoal/Nickel-Tone Document Frame, 5 x 7</t>
  </si>
  <si>
    <t>CA-2017-165169</t>
  </si>
  <si>
    <t>JL-15235</t>
  </si>
  <si>
    <t>Janet Lee</t>
  </si>
  <si>
    <t>CA-2017-107475</t>
  </si>
  <si>
    <t>RS-19870</t>
  </si>
  <si>
    <t>Roy Skaria</t>
  </si>
  <si>
    <t>OFF-FA-10002988</t>
  </si>
  <si>
    <t>Ideal Clamps</t>
  </si>
  <si>
    <t>CA-2017-148516</t>
  </si>
  <si>
    <t>DW-13585</t>
  </si>
  <si>
    <t>Dorothy Wardle</t>
  </si>
  <si>
    <t>Edmonds</t>
  </si>
  <si>
    <t>TEC-AC-10003610</t>
  </si>
  <si>
    <t>LogitechÂ Illuminated - Keyboard</t>
  </si>
  <si>
    <t>CA-2017-133319</t>
  </si>
  <si>
    <t>MV-17485</t>
  </si>
  <si>
    <t>Mark Van Huff</t>
  </si>
  <si>
    <t>OFF-PA-10001815</t>
  </si>
  <si>
    <t>Xerox 1885</t>
  </si>
  <si>
    <t>CA-2017-110023</t>
  </si>
  <si>
    <t>TS-21610</t>
  </si>
  <si>
    <t>Troy Staebel</t>
  </si>
  <si>
    <t>OFF-BI-10001036</t>
  </si>
  <si>
    <t>Cardinal EasyOpen D-Ring Binders</t>
  </si>
  <si>
    <t>US-2017-128909</t>
  </si>
  <si>
    <t>SP-20545</t>
  </si>
  <si>
    <t>Sibella Parks</t>
  </si>
  <si>
    <t>OFF-PA-10001593</t>
  </si>
  <si>
    <t>Xerox 1947</t>
  </si>
  <si>
    <t>CA-2017-152156</t>
  </si>
  <si>
    <t>CG-12520</t>
  </si>
  <si>
    <t>Claire Gute</t>
  </si>
  <si>
    <t>FUR-BO-10001798</t>
  </si>
  <si>
    <t>Bush Somerset Collection Bookcase</t>
  </si>
  <si>
    <t>CA-2017-138233</t>
  </si>
  <si>
    <t>PF-19165</t>
  </si>
  <si>
    <t>Philip Fox</t>
  </si>
  <si>
    <t>TEC-AC-10002001</t>
  </si>
  <si>
    <t>Logitech Wireless Gaming Headset G930</t>
  </si>
  <si>
    <t>CA-2017-137736</t>
  </si>
  <si>
    <t>DC-13285</t>
  </si>
  <si>
    <t>Debra Catini</t>
  </si>
  <si>
    <t>Warner Robins</t>
  </si>
  <si>
    <t>OFF-AR-10004999</t>
  </si>
  <si>
    <t>Newell 315</t>
  </si>
  <si>
    <t>CA-2017-103128</t>
  </si>
  <si>
    <t>SC-20845</t>
  </si>
  <si>
    <t>Sung Chung</t>
  </si>
  <si>
    <t>Arlington Heights</t>
  </si>
  <si>
    <t>OFF-AR-10003394</t>
  </si>
  <si>
    <t>Newell 332</t>
  </si>
  <si>
    <t>CA-2017-116722</t>
  </si>
  <si>
    <t>LP-17080</t>
  </si>
  <si>
    <t>Liz Pelletier</t>
  </si>
  <si>
    <t>FUR-FU-10001934</t>
  </si>
  <si>
    <t>Magnifier Swing Arm Lamp</t>
  </si>
  <si>
    <t>CA-2017-124590</t>
  </si>
  <si>
    <t>SP-20920</t>
  </si>
  <si>
    <t>Susan Pistek</t>
  </si>
  <si>
    <t>FUR-CH-10004495</t>
  </si>
  <si>
    <t>Global Leather and Oak Executive Chair, Black</t>
  </si>
  <si>
    <t>CA-2017-124527</t>
  </si>
  <si>
    <t>IM-15055</t>
  </si>
  <si>
    <t>Ionia McGrath</t>
  </si>
  <si>
    <t>OFF-BI-10004967</t>
  </si>
  <si>
    <t>Round Ring Binders</t>
  </si>
  <si>
    <t>CA-2017-149461</t>
  </si>
  <si>
    <t>AS-10135</t>
  </si>
  <si>
    <t>Adrian Shami</t>
  </si>
  <si>
    <t>CA-2017-130400</t>
  </si>
  <si>
    <t>SJ-20125</t>
  </si>
  <si>
    <t>Sanjit Jacobs</t>
  </si>
  <si>
    <t>CA-2017-153269</t>
  </si>
  <si>
    <t>PS-18760</t>
  </si>
  <si>
    <t>Pamela Stobb</t>
  </si>
  <si>
    <t>Andover</t>
  </si>
  <si>
    <t>OFF-ST-10004634</t>
  </si>
  <si>
    <t>Personal Folder Holder, Ebony</t>
  </si>
  <si>
    <t>CA-2017-159765</t>
  </si>
  <si>
    <t>TH-21100</t>
  </si>
  <si>
    <t>Thea Hendricks</t>
  </si>
  <si>
    <t>CA-2017-147368</t>
  </si>
  <si>
    <t>TC-21295</t>
  </si>
  <si>
    <t>Toby Carlisle</t>
  </si>
  <si>
    <t>TEC-MA-10002178</t>
  </si>
  <si>
    <t>Cisco CP-7937G Unified IP Conference Station Phone</t>
  </si>
  <si>
    <t>CA-2017-152520</t>
  </si>
  <si>
    <t>TH-21115</t>
  </si>
  <si>
    <t>Thea Hudgings</t>
  </si>
  <si>
    <t>OFF-PA-10000289</t>
  </si>
  <si>
    <t>Xerox 213</t>
  </si>
  <si>
    <t>CA-2017-155138</t>
  </si>
  <si>
    <t>JM-15580</t>
  </si>
  <si>
    <t>Jill Matthias</t>
  </si>
  <si>
    <t>CA-2017-164896</t>
  </si>
  <si>
    <t>PS-19045</t>
  </si>
  <si>
    <t>Penelope Sewall</t>
  </si>
  <si>
    <t>OFF-PA-10002246</t>
  </si>
  <si>
    <t>Wirebound Four 2-3/4 x 5 Forms per Page, 400 Sets per Book</t>
  </si>
  <si>
    <t>CA-2017-116379</t>
  </si>
  <si>
    <t>LD-17005</t>
  </si>
  <si>
    <t>Lisa DeCherney</t>
  </si>
  <si>
    <t>OFF-BI-10001543</t>
  </si>
  <si>
    <t>GBC VeloBinder Manual Binding System</t>
  </si>
  <si>
    <t>CA-2017-105494</t>
  </si>
  <si>
    <t>PC-18745</t>
  </si>
  <si>
    <t>Pamela Coakley</t>
  </si>
  <si>
    <t>US-2017-169040</t>
  </si>
  <si>
    <t>GT-14710</t>
  </si>
  <si>
    <t>Greg Tran</t>
  </si>
  <si>
    <t>TEC-PH-10002310</t>
  </si>
  <si>
    <t>Plantronics Calisto P620-M USB Wireless Speakerphone System</t>
  </si>
  <si>
    <t>CA-2017-162390</t>
  </si>
  <si>
    <t>DP-13105</t>
  </si>
  <si>
    <t>Dave Poirier</t>
  </si>
  <si>
    <t>CA-2017-105816</t>
  </si>
  <si>
    <t>JM-15265</t>
  </si>
  <si>
    <t>Janet Molinari</t>
  </si>
  <si>
    <t>OFF-FA-10000304</t>
  </si>
  <si>
    <t>Advantus Push Pins</t>
  </si>
  <si>
    <t>US-2017-169369</t>
  </si>
  <si>
    <t>EC-14050</t>
  </si>
  <si>
    <t>Erin Creighton</t>
  </si>
  <si>
    <t>TEC-AC-10001314</t>
  </si>
  <si>
    <t>Case Logic 2.4GHz Wireless Keyboard</t>
  </si>
  <si>
    <t>US-2017-116442</t>
  </si>
  <si>
    <t>BP-11230</t>
  </si>
  <si>
    <t>Benjamin Patterson</t>
  </si>
  <si>
    <t>FUR-FU-10002364</t>
  </si>
  <si>
    <t>Eldon Expressions Wood Desk Accessories, Oak</t>
  </si>
  <si>
    <t>CA-2017-155383</t>
  </si>
  <si>
    <t>SC-20680</t>
  </si>
  <si>
    <t>Steve Carroll</t>
  </si>
  <si>
    <t>US-2018-168690</t>
  </si>
  <si>
    <t>TS-21085</t>
  </si>
  <si>
    <t>Thais Sissman</t>
  </si>
  <si>
    <t>Ormond Beach</t>
  </si>
  <si>
    <t>CA-2017-163951</t>
  </si>
  <si>
    <t>CJ-11875</t>
  </si>
  <si>
    <t>Carl Jackson</t>
  </si>
  <si>
    <t>OFF-AR-10004269</t>
  </si>
  <si>
    <t>Newell 31</t>
  </si>
  <si>
    <t>CA-2018-129378</t>
  </si>
  <si>
    <t>NS-18505</t>
  </si>
  <si>
    <t>Neola Schneider</t>
  </si>
  <si>
    <t>OFF-BI-10002012</t>
  </si>
  <si>
    <t>Wilson Jones Easy Flow II Sheet Lifters</t>
  </si>
  <si>
    <t>CA-2018-147767</t>
  </si>
  <si>
    <t>SV-20935</t>
  </si>
  <si>
    <t>Susan Vittorini</t>
  </si>
  <si>
    <t>CA-2018-118773</t>
  </si>
  <si>
    <t>TP-21415</t>
  </si>
  <si>
    <t>Tom Prescott</t>
  </si>
  <si>
    <t>OFF-BI-10004584</t>
  </si>
  <si>
    <t>GBC ProClick 150 Presentation Binding System</t>
  </si>
  <si>
    <t>CA-2018-138156</t>
  </si>
  <si>
    <t>MM-17260</t>
  </si>
  <si>
    <t>Magdelene Morse</t>
  </si>
  <si>
    <t>FUR-FU-10003601</t>
  </si>
  <si>
    <t>Deflect-o RollaMat Studded, Beveled Mat for Medium Pile Carpeting</t>
  </si>
  <si>
    <t>CA-2018-149881</t>
  </si>
  <si>
    <t>NC-18535</t>
  </si>
  <si>
    <t>Nick Crebassa</t>
  </si>
  <si>
    <t>CA-2018-106831</t>
  </si>
  <si>
    <t>FH-14350</t>
  </si>
  <si>
    <t>Fred Harton</t>
  </si>
  <si>
    <t>Dublin</t>
  </si>
  <si>
    <t>OFF-BI-10003429</t>
  </si>
  <si>
    <t>Cardinal HOLDit! Binder Insert Strips,Extra Strips</t>
  </si>
  <si>
    <t>CA-2018-144638</t>
  </si>
  <si>
    <t>MH-18115</t>
  </si>
  <si>
    <t>Mick Hernandez</t>
  </si>
  <si>
    <t>Chester</t>
  </si>
  <si>
    <t>OFF-AR-10003958</t>
  </si>
  <si>
    <t>Newell 337</t>
  </si>
  <si>
    <t>CA-2018-155824</t>
  </si>
  <si>
    <t>KS-16300</t>
  </si>
  <si>
    <t>Karen Seio</t>
  </si>
  <si>
    <t>OFF-AP-10000390</t>
  </si>
  <si>
    <t>Euro Pro Shark Stick Mini Vacuum</t>
  </si>
  <si>
    <t>CA-2018-140494</t>
  </si>
  <si>
    <t>CM-11815</t>
  </si>
  <si>
    <t>Candace McMahon</t>
  </si>
  <si>
    <t>TEC-AC-10004568</t>
  </si>
  <si>
    <t>MaxellÂ LTO Ultrium - 800 GB</t>
  </si>
  <si>
    <t>US-2018-141558</t>
  </si>
  <si>
    <t>MH-17290</t>
  </si>
  <si>
    <t>Marc Harrigan</t>
  </si>
  <si>
    <t>CA-2018-122007</t>
  </si>
  <si>
    <t>JK-15325</t>
  </si>
  <si>
    <t>Jason Klamczynski</t>
  </si>
  <si>
    <t>OFF-AP-10000358</t>
  </si>
  <si>
    <t>Fellowes Basic Home/Office Series Surge Protectors</t>
  </si>
  <si>
    <t>CA-2018-124716</t>
  </si>
  <si>
    <t>BD-11560</t>
  </si>
  <si>
    <t>Brendan Dodson</t>
  </si>
  <si>
    <t>OFF-PA-10000740</t>
  </si>
  <si>
    <t>Xerox 1982</t>
  </si>
  <si>
    <t>CA-2018-106747</t>
  </si>
  <si>
    <t>TS-21505</t>
  </si>
  <si>
    <t>Tony Sayre</t>
  </si>
  <si>
    <t>Concord</t>
  </si>
  <si>
    <t>New Hampshire</t>
  </si>
  <si>
    <t>FUR-FU-10004188</t>
  </si>
  <si>
    <t>Luxo Professional Combination Clamp-On Lamps</t>
  </si>
  <si>
    <t>CA-2018-133235</t>
  </si>
  <si>
    <t>LH-16750</t>
  </si>
  <si>
    <t>Larry Hughes</t>
  </si>
  <si>
    <t>TEC-PH-10002660</t>
  </si>
  <si>
    <t>Nortel Networks T7316 E Nt8 B27</t>
  </si>
  <si>
    <t>US-2018-163790</t>
  </si>
  <si>
    <t>NL-18310</t>
  </si>
  <si>
    <t>Nancy Lomonaco</t>
  </si>
  <si>
    <t>Danville</t>
  </si>
  <si>
    <t>US-2018-147221</t>
  </si>
  <si>
    <t>JS-16030</t>
  </si>
  <si>
    <t>Joy Smith</t>
  </si>
  <si>
    <t>OFF-AP-10002534</t>
  </si>
  <si>
    <t>3.6 Cubic Foot Counter Height Office Refrigerator</t>
  </si>
  <si>
    <t>CA-2018-115070</t>
  </si>
  <si>
    <t>MG-18205</t>
  </si>
  <si>
    <t>Mitch Gastineau</t>
  </si>
  <si>
    <t>FUR-FU-10003829</t>
  </si>
  <si>
    <t>Stackable Trays</t>
  </si>
  <si>
    <t>CA-2018-150623</t>
  </si>
  <si>
    <t>DB-13360</t>
  </si>
  <si>
    <t>Dennis Bolton</t>
  </si>
  <si>
    <t>Waterbury</t>
  </si>
  <si>
    <t>CA-2018-159604</t>
  </si>
  <si>
    <t>CL-12700</t>
  </si>
  <si>
    <t>Craig Leslie</t>
  </si>
  <si>
    <t>OFF-BI-10003460</t>
  </si>
  <si>
    <t>Acco 3-Hole Punch</t>
  </si>
  <si>
    <t>CA-2018-118857</t>
  </si>
  <si>
    <t>AH-10075</t>
  </si>
  <si>
    <t>Adam Hart</t>
  </si>
  <si>
    <t>FUR-FU-10004460</t>
  </si>
  <si>
    <t>Howard Miller 12" Round Wall Clock</t>
  </si>
  <si>
    <t>CA-2018-151750</t>
  </si>
  <si>
    <t>JM-15250</t>
  </si>
  <si>
    <t>Janet Martin</t>
  </si>
  <si>
    <t>CA-2018-168123</t>
  </si>
  <si>
    <t>JD-16060</t>
  </si>
  <si>
    <t>Julia Dunbar</t>
  </si>
  <si>
    <t>OFF-FA-10002763</t>
  </si>
  <si>
    <t>Advantus Map Pennant Flags and Round Head Tacks</t>
  </si>
  <si>
    <t>CA-2018-127264</t>
  </si>
  <si>
    <t>SA-20830</t>
  </si>
  <si>
    <t>Sue Ann Reed</t>
  </si>
  <si>
    <t>CA-2018-107958</t>
  </si>
  <si>
    <t>AH-10120</t>
  </si>
  <si>
    <t>Adrian Hane</t>
  </si>
  <si>
    <t>OFF-PA-10000357</t>
  </si>
  <si>
    <t>White Dual Perf Computer Printout Paper, 2700 Sheets, 1 Part, Heavyweight, 20 lbs., 14 7/8 x 11</t>
  </si>
  <si>
    <t>CA-2018-131625</t>
  </si>
  <si>
    <t>BN-11515</t>
  </si>
  <si>
    <t>Bradley Nguyen</t>
  </si>
  <si>
    <t>FUR-FU-10004960</t>
  </si>
  <si>
    <t>Seth Thomas 12" Clock w/ Goldtone Case</t>
  </si>
  <si>
    <t>CA-2018-167227</t>
  </si>
  <si>
    <t>NP-18670</t>
  </si>
  <si>
    <t>Nora Paige</t>
  </si>
  <si>
    <t>CA-2018-153339</t>
  </si>
  <si>
    <t>DJ-13510</t>
  </si>
  <si>
    <t>Don Jones</t>
  </si>
  <si>
    <t>Murfreesboro</t>
  </si>
  <si>
    <t>US-2018-105998</t>
  </si>
  <si>
    <t>CR-12580</t>
  </si>
  <si>
    <t>Clay Rozendal</t>
  </si>
  <si>
    <t>CA-2018-118542</t>
  </si>
  <si>
    <t>CC-12550</t>
  </si>
  <si>
    <t>Clay Cheatham</t>
  </si>
  <si>
    <t>OFF-PA-10004735</t>
  </si>
  <si>
    <t>Xerox 1905</t>
  </si>
  <si>
    <t>CA-2018-122539</t>
  </si>
  <si>
    <t>SC-20305</t>
  </si>
  <si>
    <t>Sean Christensen</t>
  </si>
  <si>
    <t>OFF-LA-10004853</t>
  </si>
  <si>
    <t>Avery 483</t>
  </si>
  <si>
    <t>CA-2018-147844</t>
  </si>
  <si>
    <t>DD-13570</t>
  </si>
  <si>
    <t>Dorothy Dickinson</t>
  </si>
  <si>
    <t>US-2018-152492</t>
  </si>
  <si>
    <t>AH-10585</t>
  </si>
  <si>
    <t>Angele Hood</t>
  </si>
  <si>
    <t>US-2018-143175</t>
  </si>
  <si>
    <t>GA-14515</t>
  </si>
  <si>
    <t>George Ashbrook</t>
  </si>
  <si>
    <t>OFF-ST-10003123</t>
  </si>
  <si>
    <t>Fellowes Bases and Tops For Staxonsteel/High-Stak Systems</t>
  </si>
  <si>
    <t>CA-2018-107909</t>
  </si>
  <si>
    <t>SS-20875</t>
  </si>
  <si>
    <t>Sung Shariari</t>
  </si>
  <si>
    <t>Redmond</t>
  </si>
  <si>
    <t>TEC-AC-10001998</t>
  </si>
  <si>
    <t>LogitechÂ LS21 Speaker System - PC Multimedia - 2.1-CH - Wired</t>
  </si>
  <si>
    <t>CA-2018-157987</t>
  </si>
  <si>
    <t>AC-10615</t>
  </si>
  <si>
    <t>Ann Chong</t>
  </si>
  <si>
    <t>CA-2018-161067</t>
  </si>
  <si>
    <t>KB-16405</t>
  </si>
  <si>
    <t>Katrina Bavinger</t>
  </si>
  <si>
    <t>OFF-PA-10000418</t>
  </si>
  <si>
    <t>Xerox 189</t>
  </si>
  <si>
    <t>CA-2018-140326</t>
  </si>
  <si>
    <t>HW-14935</t>
  </si>
  <si>
    <t>Helen Wasserman</t>
  </si>
  <si>
    <t>FUR-BO-10000112</t>
  </si>
  <si>
    <t>Bush Birmingham Collection Bookcase, Dark Cherry</t>
  </si>
  <si>
    <t>CA-2018-116113</t>
  </si>
  <si>
    <t>JW-15220</t>
  </si>
  <si>
    <t>Jane Waco</t>
  </si>
  <si>
    <t>Montgomery</t>
  </si>
  <si>
    <t>FUR-FU-10002963</t>
  </si>
  <si>
    <t>Master Caster Door Stop, Gray</t>
  </si>
  <si>
    <t>CA-2018-137414</t>
  </si>
  <si>
    <t>CM-12115</t>
  </si>
  <si>
    <t>Chad McGuire</t>
  </si>
  <si>
    <t>FUR-FU-10001424</t>
  </si>
  <si>
    <t>Dax Clear Box Frame</t>
  </si>
  <si>
    <t>CA-2018-156958</t>
  </si>
  <si>
    <t>PB-18805</t>
  </si>
  <si>
    <t>Patrick Bzostek</t>
  </si>
  <si>
    <t>CA-2018-137001</t>
  </si>
  <si>
    <t>GZ-14545</t>
  </si>
  <si>
    <t>George Zrebassa</t>
  </si>
  <si>
    <t>OFF-AR-10001231</t>
  </si>
  <si>
    <t>Sanford EarthWrite Recycled Pencils, Medium Soft, #2</t>
  </si>
  <si>
    <t>CA-2018-119424</t>
  </si>
  <si>
    <t>SB-20185</t>
  </si>
  <si>
    <t>Sarah Brown</t>
  </si>
  <si>
    <t>TEC-PH-10002564</t>
  </si>
  <si>
    <t>OtterBox Defender Series Case - Samsung Galaxy S4</t>
  </si>
  <si>
    <t>CA-2018-131618</t>
  </si>
  <si>
    <t>LS-17200</t>
  </si>
  <si>
    <t>Luke Schmidt</t>
  </si>
  <si>
    <t>Skokie</t>
  </si>
  <si>
    <t>CA-2018-111738</t>
  </si>
  <si>
    <t>CM-12385</t>
  </si>
  <si>
    <t>Christopher Martinez</t>
  </si>
  <si>
    <t>CA-2018-127621</t>
  </si>
  <si>
    <t>RE-19450</t>
  </si>
  <si>
    <t>Richard Eichhorn</t>
  </si>
  <si>
    <t>OFF-PA-10001307</t>
  </si>
  <si>
    <t>Important Message Pads, 50 4-1/4 x 5-1/2 Forms per Pad</t>
  </si>
  <si>
    <t>CA-2018-118360</t>
  </si>
  <si>
    <t>JC-15775</t>
  </si>
  <si>
    <t>John Castell</t>
  </si>
  <si>
    <t>OFF-PA-10000791</t>
  </si>
  <si>
    <t>Wirebound Message Books, Four 2 3/4 x 5 Forms per Page, 200 Sets per Book</t>
  </si>
  <si>
    <t>CA-2018-145772</t>
  </si>
  <si>
    <t>SS-20140</t>
  </si>
  <si>
    <t>Saphhira Shifley</t>
  </si>
  <si>
    <t>CA-2018-145506</t>
  </si>
  <si>
    <t>MO-17800</t>
  </si>
  <si>
    <t>Meg O'Connel</t>
  </si>
  <si>
    <t>CA-2018-149720</t>
  </si>
  <si>
    <t>EM-14065</t>
  </si>
  <si>
    <t>Erin Mull</t>
  </si>
  <si>
    <t>Frisco</t>
  </si>
  <si>
    <t>US-2018-126179</t>
  </si>
  <si>
    <t>CS-12460</t>
  </si>
  <si>
    <t>Chuck Sachs</t>
  </si>
  <si>
    <t>FUR-FU-10002554</t>
  </si>
  <si>
    <t>Westinghouse Floor Lamp with Metal Mesh Shade, Black</t>
  </si>
  <si>
    <t>CA-2018-162691</t>
  </si>
  <si>
    <t>AS-10045</t>
  </si>
  <si>
    <t>Aaron Smayling</t>
  </si>
  <si>
    <t>TEC-MA-10000488</t>
  </si>
  <si>
    <t>Bady BDG101FRU Card Printer</t>
  </si>
  <si>
    <t>CA-2018-137596</t>
  </si>
  <si>
    <t>BE-11335</t>
  </si>
  <si>
    <t>Bill Eplett</t>
  </si>
  <si>
    <t>TEC-PH-10001494</t>
  </si>
  <si>
    <t>Polycom CX600 IP Phone VoIP phone</t>
  </si>
  <si>
    <t>CA-2018-145037</t>
  </si>
  <si>
    <t>TB-21055</t>
  </si>
  <si>
    <t>Ted Butterfield</t>
  </si>
  <si>
    <t>OFF-ST-10000918</t>
  </si>
  <si>
    <t>Crate-A-Files</t>
  </si>
  <si>
    <t>CA-2018-101308</t>
  </si>
  <si>
    <t>FG-14260</t>
  </si>
  <si>
    <t>Frank Gastineau</t>
  </si>
  <si>
    <t>OFF-FA-10002780</t>
  </si>
  <si>
    <t>CA-2018-120061</t>
  </si>
  <si>
    <t>SR-20425</t>
  </si>
  <si>
    <t>Sharelle Roach</t>
  </si>
  <si>
    <t>FUR-CH-10001973</t>
  </si>
  <si>
    <t>Office Star Flex Back Scooter Chair with White Frame</t>
  </si>
  <si>
    <t>CA-2018-142636</t>
  </si>
  <si>
    <t>KC-16675</t>
  </si>
  <si>
    <t>Kimberly Carter</t>
  </si>
  <si>
    <t>OFF-PA-10000157</t>
  </si>
  <si>
    <t>Xerox 191</t>
  </si>
  <si>
    <t>CA-2018-164917</t>
  </si>
  <si>
    <t>MK-17905</t>
  </si>
  <si>
    <t>Michael Kennedy</t>
  </si>
  <si>
    <t>OFF-AR-10004344</t>
  </si>
  <si>
    <t>Bulldog Vacuum Base Pencil Sharpener</t>
  </si>
  <si>
    <t>CA-2018-145128</t>
  </si>
  <si>
    <t>SM-20320</t>
  </si>
  <si>
    <t>Sean Miller</t>
  </si>
  <si>
    <t>FUR-FU-10000293</t>
  </si>
  <si>
    <t>Eldon Antistatic Chair Mats for Low to Medium Pile Carpets</t>
  </si>
  <si>
    <t>CA-2018-108560</t>
  </si>
  <si>
    <t>JC-15385</t>
  </si>
  <si>
    <t>Jenna Caffey</t>
  </si>
  <si>
    <t>FUR-FU-10002937</t>
  </si>
  <si>
    <t>GE 48" Fluorescent Tube, Cool White Energy Saver, 34 Watts, 30/Box</t>
  </si>
  <si>
    <t>CA-2018-131282</t>
  </si>
  <si>
    <t>CB-12025</t>
  </si>
  <si>
    <t>Cassandra Brandow</t>
  </si>
  <si>
    <t>Waco</t>
  </si>
  <si>
    <t>Ibico Hi-Tech Manual Binding System</t>
  </si>
  <si>
    <t>CA-2018-155712</t>
  </si>
  <si>
    <t>KD-16615</t>
  </si>
  <si>
    <t>Ken Dana</t>
  </si>
  <si>
    <t>CA-2018-123085</t>
  </si>
  <si>
    <t>EJ-13720</t>
  </si>
  <si>
    <t>Ed Jacobs</t>
  </si>
  <si>
    <t>TEC-AC-10000990</t>
  </si>
  <si>
    <t>Imation Bio 2GB USBÂ Flash Drive ImationÂ Corp</t>
  </si>
  <si>
    <t>CA-2018-117513</t>
  </si>
  <si>
    <t>BT-11395</t>
  </si>
  <si>
    <t>Bill Tyler</t>
  </si>
  <si>
    <t>CA-2018-157903</t>
  </si>
  <si>
    <t>AM-10705</t>
  </si>
  <si>
    <t>Anne McFarland</t>
  </si>
  <si>
    <t>Des Plaines</t>
  </si>
  <si>
    <t>TEC-PH-10004345</t>
  </si>
  <si>
    <t>Cisco SPA 502G IP Phone</t>
  </si>
  <si>
    <t>CA-2018-158953</t>
  </si>
  <si>
    <t>ML-18040</t>
  </si>
  <si>
    <t>Michelle Lonsdale</t>
  </si>
  <si>
    <t>Missouri City</t>
  </si>
  <si>
    <t>OFF-BI-10002557</t>
  </si>
  <si>
    <t>Presstex Flexible Ring Binders</t>
  </si>
  <si>
    <t>CA-2018-123001</t>
  </si>
  <si>
    <t>AW-10840</t>
  </si>
  <si>
    <t>Anthony Witt</t>
  </si>
  <si>
    <t>OFF-AR-10001919</t>
  </si>
  <si>
    <t>OIC #2 Pencils, Medium Soft</t>
  </si>
  <si>
    <t>CA-2018-123022</t>
  </si>
  <si>
    <t>SC-20050</t>
  </si>
  <si>
    <t>Sample Company A</t>
  </si>
  <si>
    <t>La Mesa</t>
  </si>
  <si>
    <t>OFF-BI-10002225</t>
  </si>
  <si>
    <t>Square Ring Data Binders, Rigid 75 Pt. Covers, 11" x 14-7/8"</t>
  </si>
  <si>
    <t>CA-2018-141117</t>
  </si>
  <si>
    <t>JK-16090</t>
  </si>
  <si>
    <t>Juliana Krohn</t>
  </si>
  <si>
    <t>FUR-BO-10001972</t>
  </si>
  <si>
    <t>O'Sullivan 4-Shelf Bookcase in Odessa Pine</t>
  </si>
  <si>
    <t>CA-2018-143329</t>
  </si>
  <si>
    <t>DL-13330</t>
  </si>
  <si>
    <t>Denise Leinenbach</t>
  </si>
  <si>
    <t>Las Cruces</t>
  </si>
  <si>
    <t>FUR-FU-10000629</t>
  </si>
  <si>
    <t>9-3/4 Diameter Round Wall Clock</t>
  </si>
  <si>
    <t>CA-2018-161130</t>
  </si>
  <si>
    <t>BF-11275</t>
  </si>
  <si>
    <t>Beth Fritzler</t>
  </si>
  <si>
    <t>TEC-PH-10002549</t>
  </si>
  <si>
    <t>Polycom SoundPoint IP 450 VoIP phone</t>
  </si>
  <si>
    <t>US-2018-101518</t>
  </si>
  <si>
    <t>PB-19105</t>
  </si>
  <si>
    <t>Peter BÃ¼hler</t>
  </si>
  <si>
    <t>TEC-AC-10001553</t>
  </si>
  <si>
    <t>Memorex 25GB 6X Branded Blu-Ray Recordable Disc, 15/Pack</t>
  </si>
  <si>
    <t>CA-2018-138618</t>
  </si>
  <si>
    <t>MY-17380</t>
  </si>
  <si>
    <t>Maribeth Yedwab</t>
  </si>
  <si>
    <t>OFF-PA-10000520</t>
  </si>
  <si>
    <t>Xerox 201</t>
  </si>
  <si>
    <t>CA-2018-156412</t>
  </si>
  <si>
    <t>CM-12160</t>
  </si>
  <si>
    <t>Charles McCrossin</t>
  </si>
  <si>
    <t>CA-2018-117128</t>
  </si>
  <si>
    <t>BF-11080</t>
  </si>
  <si>
    <t>Bart Folk</t>
  </si>
  <si>
    <t>OFF-PA-10000007</t>
  </si>
  <si>
    <t>Telephone Message Books with Fax/Mobile Section, 4 1/4" x 6"</t>
  </si>
  <si>
    <t>CA-2018-106537</t>
  </si>
  <si>
    <t>RH-19495</t>
  </si>
  <si>
    <t>Rick Hansen</t>
  </si>
  <si>
    <t>Orlando</t>
  </si>
  <si>
    <t>OFF-PA-10000223</t>
  </si>
  <si>
    <t>Xerox 2000</t>
  </si>
  <si>
    <t>CA-2018-131037</t>
  </si>
  <si>
    <t>TM-21490</t>
  </si>
  <si>
    <t>Tony Molinari</t>
  </si>
  <si>
    <t>CA-2018-128328</t>
  </si>
  <si>
    <t>PO-18865</t>
  </si>
  <si>
    <t>Patrick O'Donnell</t>
  </si>
  <si>
    <t>CA-2018-103877</t>
  </si>
  <si>
    <t>RD-19660</t>
  </si>
  <si>
    <t>Robert Dilbeck</t>
  </si>
  <si>
    <t>Independence</t>
  </si>
  <si>
    <t>CA-2018-139444</t>
  </si>
  <si>
    <t>GK-14620</t>
  </si>
  <si>
    <t>Grace Kelly</t>
  </si>
  <si>
    <t>Plano</t>
  </si>
  <si>
    <t>CA-2018-110905</t>
  </si>
  <si>
    <t>RW-19690</t>
  </si>
  <si>
    <t>Robert Waldorf</t>
  </si>
  <si>
    <t>OFF-BI-10003669</t>
  </si>
  <si>
    <t>3M Organizer Strips</t>
  </si>
  <si>
    <t>CA-2018-103611</t>
  </si>
  <si>
    <t>JM-15535</t>
  </si>
  <si>
    <t>Jessica Myrick</t>
  </si>
  <si>
    <t>CA-2018-124205</t>
  </si>
  <si>
    <t>TC-21145</t>
  </si>
  <si>
    <t>Theresa Coyne</t>
  </si>
  <si>
    <t>CA-2018-132262</t>
  </si>
  <si>
    <t>ML-18265</t>
  </si>
  <si>
    <t>Muhammed Lee</t>
  </si>
  <si>
    <t>TEC-AC-10000158</t>
  </si>
  <si>
    <t>Sony 64GB Class 10 Micro SDHC R40 Memory Card</t>
  </si>
  <si>
    <t>US-2018-109316</t>
  </si>
  <si>
    <t>MG-17680</t>
  </si>
  <si>
    <t>Maureen Gastineau</t>
  </si>
  <si>
    <t>FUR-BO-10004834</t>
  </si>
  <si>
    <t>Riverside Palais Royal Lawyers Bookcase, Royale Cherry Finish</t>
  </si>
  <si>
    <t>CA-2018-100223</t>
  </si>
  <si>
    <t>LS-16945</t>
  </si>
  <si>
    <t>Linda Southworth</t>
  </si>
  <si>
    <t>CA-2018-102925</t>
  </si>
  <si>
    <t>CD-12280</t>
  </si>
  <si>
    <t>Christina DeMoss</t>
  </si>
  <si>
    <t>OFF-BI-10002735</t>
  </si>
  <si>
    <t>GBC Prestige Therm-A-Bind Covers</t>
  </si>
  <si>
    <t>CA-2018-154816</t>
  </si>
  <si>
    <t>VB-21745</t>
  </si>
  <si>
    <t>Victoria Brennan</t>
  </si>
  <si>
    <t>OFF-PA-10003845</t>
  </si>
  <si>
    <t>Xerox 1987</t>
  </si>
  <si>
    <t>CA-2018-144596</t>
  </si>
  <si>
    <t>CD-11980</t>
  </si>
  <si>
    <t>Carol Darley</t>
  </si>
  <si>
    <t>OFF-PA-10003302</t>
  </si>
  <si>
    <t>Xerox 1906</t>
  </si>
  <si>
    <t>CA-2018-162096</t>
  </si>
  <si>
    <t>TB-21190</t>
  </si>
  <si>
    <t>Thomas Brumley</t>
  </si>
  <si>
    <t>OFF-AR-10002221</t>
  </si>
  <si>
    <t>12 Colored Short Pencils</t>
  </si>
  <si>
    <t>CA-2018-126536</t>
  </si>
  <si>
    <t>NK-18490</t>
  </si>
  <si>
    <t>Neil Knudson</t>
  </si>
  <si>
    <t>TEC-AC-10003709</t>
  </si>
  <si>
    <t>Maxell 4.7GB DVD-R 5/Pack</t>
  </si>
  <si>
    <t>CA-2018-150707</t>
  </si>
  <si>
    <t>EL-13735</t>
  </si>
  <si>
    <t>Ed Ludwig</t>
  </si>
  <si>
    <t>CA-2018-131492</t>
  </si>
  <si>
    <t>HH-15010</t>
  </si>
  <si>
    <t>Hilary Holden</t>
  </si>
  <si>
    <t>OFF-EN-10002973</t>
  </si>
  <si>
    <t>Ampad #10 Peel &amp; Seel Holiday Envelopes</t>
  </si>
  <si>
    <t>CA-2018-113558</t>
  </si>
  <si>
    <t>PH-18790</t>
  </si>
  <si>
    <t>Patricia Hirasaki</t>
  </si>
  <si>
    <t>FUR-CH-10003379</t>
  </si>
  <si>
    <t>Global Commerce Series High-Back Swivel/Tilt Chairs</t>
  </si>
  <si>
    <t>CA-2018-117079</t>
  </si>
  <si>
    <t>JR-15700</t>
  </si>
  <si>
    <t>Jocasta Rupert</t>
  </si>
  <si>
    <t>CA-2018-168193</t>
  </si>
  <si>
    <t>RM-19750</t>
  </si>
  <si>
    <t>Roland Murray</t>
  </si>
  <si>
    <t>OFF-PA-10002254</t>
  </si>
  <si>
    <t>Xerox 1883</t>
  </si>
  <si>
    <t>CA-2018-135279</t>
  </si>
  <si>
    <t>BS-11800</t>
  </si>
  <si>
    <t>Bryan Spruell</t>
  </si>
  <si>
    <t>OFF-LA-10004055</t>
  </si>
  <si>
    <t>Color-Coded Legal Exhibit Labels</t>
  </si>
  <si>
    <t>CA-2018-136609</t>
  </si>
  <si>
    <t>TB-21355</t>
  </si>
  <si>
    <t>Todd Boyes</t>
  </si>
  <si>
    <t>Cedar Hill</t>
  </si>
  <si>
    <t>OFF-PA-10004381</t>
  </si>
  <si>
    <t>14-7/8 x 11 Blue Bar Computer Printout Paper</t>
  </si>
  <si>
    <t>CA-2018-109099</t>
  </si>
  <si>
    <t>MM-18280</t>
  </si>
  <si>
    <t>Muhammed MacIntyre</t>
  </si>
  <si>
    <t>CA-2018-154109</t>
  </si>
  <si>
    <t>ML-17410</t>
  </si>
  <si>
    <t>Maris LaWare</t>
  </si>
  <si>
    <t>FUR-CH-10003774</t>
  </si>
  <si>
    <t>Global Wood Trimmed Manager's Task Chair, Khaki</t>
  </si>
  <si>
    <t>US-2018-155425</t>
  </si>
  <si>
    <t>AB-10600</t>
  </si>
  <si>
    <t>Ann Blume</t>
  </si>
  <si>
    <t>CA-2018-162565</t>
  </si>
  <si>
    <t>RR-19315</t>
  </si>
  <si>
    <t>Ralph Ritter</t>
  </si>
  <si>
    <t>CA-2018-136308</t>
  </si>
  <si>
    <t>MW-18235</t>
  </si>
  <si>
    <t>Mitch Willingham</t>
  </si>
  <si>
    <t>CA-2018-154088</t>
  </si>
  <si>
    <t>LB-16735</t>
  </si>
  <si>
    <t>Larry Blacks</t>
  </si>
  <si>
    <t>OFF-PA-10003651</t>
  </si>
  <si>
    <t>Xerox 1968</t>
  </si>
  <si>
    <t>CA-2018-108091</t>
  </si>
  <si>
    <t>EK-13795</t>
  </si>
  <si>
    <t>Eileen Kiefer</t>
  </si>
  <si>
    <t>OFF-AR-10000255</t>
  </si>
  <si>
    <t>Newell 328</t>
  </si>
  <si>
    <t>CA-2018-111556</t>
  </si>
  <si>
    <t>CD-11920</t>
  </si>
  <si>
    <t>Carlos Daly</t>
  </si>
  <si>
    <t>US-2018-108014</t>
  </si>
  <si>
    <t>JH-15430</t>
  </si>
  <si>
    <t>Jennifer Halladay</t>
  </si>
  <si>
    <t>OFF-BI-10003984</t>
  </si>
  <si>
    <t>Lock-Up Easel 'Spel-Binder'</t>
  </si>
  <si>
    <t>US-2018-136721</t>
  </si>
  <si>
    <t>NH-18610</t>
  </si>
  <si>
    <t>Nicole Hansen</t>
  </si>
  <si>
    <t>Oak Park</t>
  </si>
  <si>
    <t>FUR-FU-10004665</t>
  </si>
  <si>
    <t>3M Polarizing Task Lamp with Clamp Arm, Light Gray</t>
  </si>
  <si>
    <t>CA-2018-134306</t>
  </si>
  <si>
    <t>TD-20995</t>
  </si>
  <si>
    <t>Tamara Dahlen</t>
  </si>
  <si>
    <t>OFF-AR-10004027</t>
  </si>
  <si>
    <t>Binney &amp; Smith inkTank Erasable Desk Highlighter, Chisel Tip, Yellow, 12/Box</t>
  </si>
  <si>
    <t>CA-2018-140480</t>
  </si>
  <si>
    <t>HE-14800</t>
  </si>
  <si>
    <t>Harold Engle</t>
  </si>
  <si>
    <t>FUR-FU-10003247</t>
  </si>
  <si>
    <t>36X48 HARDFLOOR CHAIRMAT</t>
  </si>
  <si>
    <t>CA-2018-117023</t>
  </si>
  <si>
    <t>JW-15955</t>
  </si>
  <si>
    <t>Joni Wasserman</t>
  </si>
  <si>
    <t>OFF-AR-10003602</t>
  </si>
  <si>
    <t>Quartet Omega Colored Chalk, 12/Pack</t>
  </si>
  <si>
    <t>US-2018-136868</t>
  </si>
  <si>
    <t>CR-12820</t>
  </si>
  <si>
    <t>Cyra Reiten</t>
  </si>
  <si>
    <t>TEC-AC-10001539</t>
  </si>
  <si>
    <t>Logitech G430 Surround Sound Gaming Headset with Dolby 7.1 Technology</t>
  </si>
  <si>
    <t>US-2018-109484</t>
  </si>
  <si>
    <t>RB-19705</t>
  </si>
  <si>
    <t>Roger Barcio</t>
  </si>
  <si>
    <t>OFF-BI-10004738</t>
  </si>
  <si>
    <t>Flexible Leather- Look Classic Collection Ring Binder</t>
  </si>
  <si>
    <t>CA-2018-150504</t>
  </si>
  <si>
    <t>HG-14845</t>
  </si>
  <si>
    <t>Harry Greene</t>
  </si>
  <si>
    <t>OFF-ST-10000615</t>
  </si>
  <si>
    <t>SimpliFile Personal File, Black Granite, 15w x 6-15/16d x 11-1/4h</t>
  </si>
  <si>
    <t>US-2018-116659</t>
  </si>
  <si>
    <t>NG-18355</t>
  </si>
  <si>
    <t>Nat Gilpin</t>
  </si>
  <si>
    <t>TEC-PH-10002824</t>
  </si>
  <si>
    <t>Jabra SPEAK 410 Multidevice Speakerphone</t>
  </si>
  <si>
    <t>CA-2018-119193</t>
  </si>
  <si>
    <t>SK-19990</t>
  </si>
  <si>
    <t>Sally Knutson</t>
  </si>
  <si>
    <t>OFF-BI-10000848</t>
  </si>
  <si>
    <t>Angle-D Ring 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</si>
</sst>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C9F7-239C-46C4-B8D0-C5EDCFB5D4C7}">
  <dimension ref="A1:W794"/>
  <sheetViews>
    <sheetView tabSelected="1" workbookViewId="0">
      <selection activeCell="K16" sqref="K16"/>
    </sheetView>
  </sheetViews>
  <sheetFormatPr defaultRowHeight="15" x14ac:dyDescent="0.25"/>
  <cols>
    <col min="3" max="3" width="10.42578125" customWidth="1"/>
    <col min="4" max="4" width="11.5703125" customWidth="1"/>
    <col min="11" max="11" width="15.28515625" customWidth="1"/>
    <col min="22" max="22" width="12.28515625" customWidth="1"/>
    <col min="23" max="23" width="13.8554687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t="s">
        <v>22</v>
      </c>
    </row>
    <row r="2" spans="1:23" x14ac:dyDescent="0.25">
      <c r="A2" s="1">
        <v>593</v>
      </c>
      <c r="B2" s="2" t="s">
        <v>23</v>
      </c>
      <c r="C2" s="2">
        <v>42013</v>
      </c>
      <c r="D2" s="2">
        <v>42017</v>
      </c>
      <c r="E2" s="1">
        <f>YEAR(C2)</f>
        <v>2015</v>
      </c>
      <c r="F2" s="2" t="str">
        <f>TEXT(C2,"mmm")</f>
        <v>Jan</v>
      </c>
      <c r="G2" s="1" t="s">
        <v>24</v>
      </c>
      <c r="H2" s="1">
        <f t="shared" ref="H2:H65" si="0">D2-C2</f>
        <v>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78041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3">
        <v>9.3439999999999994</v>
      </c>
      <c r="W2" s="1" t="str">
        <f>IF(H2&lt;=3,"Fast Delivery","Slow Delivery")</f>
        <v>Slow Delivery</v>
      </c>
    </row>
    <row r="3" spans="1:23" x14ac:dyDescent="0.25">
      <c r="A3" s="1">
        <v>717</v>
      </c>
      <c r="B3" s="2" t="s">
        <v>37</v>
      </c>
      <c r="C3" s="2">
        <v>42015</v>
      </c>
      <c r="D3" s="2">
        <v>42018</v>
      </c>
      <c r="E3" s="1">
        <f t="shared" ref="E3:E66" si="1">YEAR(C3)</f>
        <v>2015</v>
      </c>
      <c r="F3" s="2" t="str">
        <f t="shared" ref="F3:F66" si="2">TEXT(C3,"mmm")</f>
        <v>Jan</v>
      </c>
      <c r="G3" s="1">
        <f t="shared" ref="G3:G66" si="3">MONTH(C3)</f>
        <v>1</v>
      </c>
      <c r="H3" s="1">
        <f t="shared" si="0"/>
        <v>3</v>
      </c>
      <c r="I3" s="1" t="s">
        <v>38</v>
      </c>
      <c r="J3" s="1" t="s">
        <v>39</v>
      </c>
      <c r="K3" s="1" t="s">
        <v>40</v>
      </c>
      <c r="L3" s="1" t="s">
        <v>28</v>
      </c>
      <c r="M3" s="1" t="s">
        <v>29</v>
      </c>
      <c r="N3" s="1" t="s">
        <v>41</v>
      </c>
      <c r="O3" s="1" t="s">
        <v>42</v>
      </c>
      <c r="P3" s="1">
        <v>19901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3">
        <v>9.94</v>
      </c>
      <c r="W3" s="1" t="str">
        <f t="shared" ref="W3:W66" si="4">IF(H3&lt;=3,"Fast Delivery","Slow Delivery")</f>
        <v>Fast Delivery</v>
      </c>
    </row>
    <row r="4" spans="1:23" x14ac:dyDescent="0.25">
      <c r="A4" s="1">
        <v>866</v>
      </c>
      <c r="B4" s="2" t="s">
        <v>48</v>
      </c>
      <c r="C4" s="2">
        <v>42014</v>
      </c>
      <c r="D4" s="2">
        <v>42019</v>
      </c>
      <c r="E4" s="1">
        <f t="shared" si="1"/>
        <v>2015</v>
      </c>
      <c r="F4" s="2" t="str">
        <f t="shared" si="2"/>
        <v>Jan</v>
      </c>
      <c r="G4" s="1">
        <f t="shared" si="3"/>
        <v>1</v>
      </c>
      <c r="H4" s="1">
        <f t="shared" si="0"/>
        <v>5</v>
      </c>
      <c r="I4" s="1" t="s">
        <v>25</v>
      </c>
      <c r="J4" s="1" t="s">
        <v>49</v>
      </c>
      <c r="K4" s="1" t="s">
        <v>50</v>
      </c>
      <c r="L4" s="1" t="s">
        <v>51</v>
      </c>
      <c r="M4" s="1" t="s">
        <v>29</v>
      </c>
      <c r="N4" s="1" t="s">
        <v>52</v>
      </c>
      <c r="O4" s="1" t="s">
        <v>53</v>
      </c>
      <c r="P4" s="1">
        <v>22153</v>
      </c>
      <c r="Q4" s="1" t="s">
        <v>54</v>
      </c>
      <c r="R4" s="1" t="s">
        <v>55</v>
      </c>
      <c r="S4" s="1" t="s">
        <v>34</v>
      </c>
      <c r="T4" s="1" t="s">
        <v>56</v>
      </c>
      <c r="U4" s="1" t="s">
        <v>57</v>
      </c>
      <c r="V4" s="3">
        <v>2.89</v>
      </c>
      <c r="W4" s="1" t="str">
        <f t="shared" si="4"/>
        <v>Slow Delivery</v>
      </c>
    </row>
    <row r="5" spans="1:23" x14ac:dyDescent="0.25">
      <c r="A5" s="1">
        <v>1914</v>
      </c>
      <c r="B5" s="2" t="s">
        <v>58</v>
      </c>
      <c r="C5" s="2">
        <v>42019</v>
      </c>
      <c r="D5" s="2">
        <v>42021</v>
      </c>
      <c r="E5" s="1">
        <f t="shared" si="1"/>
        <v>2015</v>
      </c>
      <c r="F5" s="2" t="str">
        <f t="shared" si="2"/>
        <v>Jan</v>
      </c>
      <c r="G5" s="1">
        <f t="shared" si="3"/>
        <v>1</v>
      </c>
      <c r="H5" s="1">
        <f t="shared" si="0"/>
        <v>2</v>
      </c>
      <c r="I5" s="1" t="s">
        <v>38</v>
      </c>
      <c r="J5" s="1" t="s">
        <v>59</v>
      </c>
      <c r="K5" s="1" t="s">
        <v>60</v>
      </c>
      <c r="L5" s="1" t="s">
        <v>28</v>
      </c>
      <c r="M5" s="1" t="s">
        <v>29</v>
      </c>
      <c r="N5" s="1" t="s">
        <v>61</v>
      </c>
      <c r="O5" s="1" t="s">
        <v>62</v>
      </c>
      <c r="P5" s="1">
        <v>30076</v>
      </c>
      <c r="Q5" s="1" t="s">
        <v>54</v>
      </c>
      <c r="R5" s="1" t="s">
        <v>63</v>
      </c>
      <c r="S5" s="1" t="s">
        <v>64</v>
      </c>
      <c r="T5" s="1" t="s">
        <v>65</v>
      </c>
      <c r="U5" s="1" t="s">
        <v>66</v>
      </c>
      <c r="V5" s="3">
        <v>149.94999999999999</v>
      </c>
      <c r="W5" s="1" t="str">
        <f t="shared" si="4"/>
        <v>Fast Delivery</v>
      </c>
    </row>
    <row r="6" spans="1:23" x14ac:dyDescent="0.25">
      <c r="A6" s="1">
        <v>5825</v>
      </c>
      <c r="B6" s="2" t="s">
        <v>67</v>
      </c>
      <c r="C6" s="2">
        <v>42126</v>
      </c>
      <c r="D6" s="2">
        <v>42126</v>
      </c>
      <c r="E6" s="1">
        <f t="shared" si="1"/>
        <v>2015</v>
      </c>
      <c r="F6" s="2" t="str">
        <f t="shared" si="2"/>
        <v>May</v>
      </c>
      <c r="G6" s="1">
        <f t="shared" si="3"/>
        <v>5</v>
      </c>
      <c r="H6" s="1">
        <f t="shared" si="0"/>
        <v>0</v>
      </c>
      <c r="I6" s="1" t="s">
        <v>68</v>
      </c>
      <c r="J6" s="1" t="s">
        <v>69</v>
      </c>
      <c r="K6" s="1" t="s">
        <v>70</v>
      </c>
      <c r="L6" s="1" t="s">
        <v>28</v>
      </c>
      <c r="M6" s="1" t="s">
        <v>29</v>
      </c>
      <c r="N6" s="1" t="s">
        <v>71</v>
      </c>
      <c r="O6" s="1" t="s">
        <v>72</v>
      </c>
      <c r="P6" s="1">
        <v>43229</v>
      </c>
      <c r="Q6" s="1" t="s">
        <v>43</v>
      </c>
      <c r="R6" s="1" t="s">
        <v>73</v>
      </c>
      <c r="S6" s="1" t="s">
        <v>34</v>
      </c>
      <c r="T6" s="1" t="s">
        <v>74</v>
      </c>
      <c r="U6" s="1" t="s">
        <v>75</v>
      </c>
      <c r="V6" s="3">
        <v>26.135999999999999</v>
      </c>
      <c r="W6" s="1" t="str">
        <f t="shared" si="4"/>
        <v>Fast Delivery</v>
      </c>
    </row>
    <row r="7" spans="1:23" x14ac:dyDescent="0.25">
      <c r="A7" s="1">
        <v>5631</v>
      </c>
      <c r="B7" s="2" t="s">
        <v>76</v>
      </c>
      <c r="C7" s="2">
        <v>42046</v>
      </c>
      <c r="D7" s="2">
        <v>42050</v>
      </c>
      <c r="E7" s="1">
        <f t="shared" si="1"/>
        <v>2015</v>
      </c>
      <c r="F7" s="2" t="str">
        <f t="shared" si="2"/>
        <v>Feb</v>
      </c>
      <c r="G7" s="1">
        <f t="shared" si="3"/>
        <v>2</v>
      </c>
      <c r="H7" s="1">
        <f t="shared" si="0"/>
        <v>4</v>
      </c>
      <c r="I7" s="1" t="s">
        <v>25</v>
      </c>
      <c r="J7" s="1" t="s">
        <v>77</v>
      </c>
      <c r="K7" s="1" t="s">
        <v>78</v>
      </c>
      <c r="L7" s="1" t="s">
        <v>28</v>
      </c>
      <c r="M7" s="1" t="s">
        <v>29</v>
      </c>
      <c r="N7" s="1" t="s">
        <v>79</v>
      </c>
      <c r="O7" s="1" t="s">
        <v>53</v>
      </c>
      <c r="P7" s="1">
        <v>23320</v>
      </c>
      <c r="Q7" s="1" t="s">
        <v>54</v>
      </c>
      <c r="R7" s="1" t="s">
        <v>80</v>
      </c>
      <c r="S7" s="1" t="s">
        <v>64</v>
      </c>
      <c r="T7" s="1" t="s">
        <v>65</v>
      </c>
      <c r="U7" s="1" t="s">
        <v>81</v>
      </c>
      <c r="V7" s="3">
        <v>234.45</v>
      </c>
      <c r="W7" s="1" t="str">
        <f t="shared" si="4"/>
        <v>Slow Delivery</v>
      </c>
    </row>
    <row r="8" spans="1:23" x14ac:dyDescent="0.25">
      <c r="A8" s="1">
        <v>9255</v>
      </c>
      <c r="B8" s="2" t="s">
        <v>82</v>
      </c>
      <c r="C8" s="2">
        <v>42046</v>
      </c>
      <c r="D8" s="2">
        <v>42050</v>
      </c>
      <c r="E8" s="1">
        <f t="shared" si="1"/>
        <v>2015</v>
      </c>
      <c r="F8" s="2" t="str">
        <f t="shared" si="2"/>
        <v>Feb</v>
      </c>
      <c r="G8" s="1">
        <f t="shared" si="3"/>
        <v>2</v>
      </c>
      <c r="H8" s="1">
        <f t="shared" si="0"/>
        <v>4</v>
      </c>
      <c r="I8" s="1" t="s">
        <v>83</v>
      </c>
      <c r="J8" s="1" t="s">
        <v>84</v>
      </c>
      <c r="K8" s="1" t="s">
        <v>85</v>
      </c>
      <c r="L8" s="1" t="s">
        <v>28</v>
      </c>
      <c r="M8" s="1" t="s">
        <v>29</v>
      </c>
      <c r="N8" s="1" t="s">
        <v>86</v>
      </c>
      <c r="O8" s="1" t="s">
        <v>87</v>
      </c>
      <c r="P8" s="1">
        <v>65203</v>
      </c>
      <c r="Q8" s="1" t="s">
        <v>32</v>
      </c>
      <c r="R8" s="1" t="s">
        <v>88</v>
      </c>
      <c r="S8" s="1" t="s">
        <v>45</v>
      </c>
      <c r="T8" s="1" t="s">
        <v>89</v>
      </c>
      <c r="U8" s="1" t="s">
        <v>90</v>
      </c>
      <c r="V8" s="3">
        <v>60.89</v>
      </c>
      <c r="W8" s="1" t="str">
        <f t="shared" si="4"/>
        <v>Slow Delivery</v>
      </c>
    </row>
    <row r="9" spans="1:23" x14ac:dyDescent="0.25">
      <c r="A9" s="1">
        <v>6082</v>
      </c>
      <c r="B9" s="2" t="s">
        <v>91</v>
      </c>
      <c r="C9" s="2">
        <v>42053</v>
      </c>
      <c r="D9" s="2">
        <v>42053</v>
      </c>
      <c r="E9" s="1">
        <f t="shared" si="1"/>
        <v>2015</v>
      </c>
      <c r="F9" s="2" t="str">
        <f t="shared" si="2"/>
        <v>Feb</v>
      </c>
      <c r="G9" s="1">
        <f t="shared" si="3"/>
        <v>2</v>
      </c>
      <c r="H9" s="1">
        <f t="shared" si="0"/>
        <v>0</v>
      </c>
      <c r="I9" s="1" t="s">
        <v>68</v>
      </c>
      <c r="J9" s="1" t="s">
        <v>92</v>
      </c>
      <c r="K9" s="1" t="s">
        <v>93</v>
      </c>
      <c r="L9" s="1" t="s">
        <v>28</v>
      </c>
      <c r="M9" s="1" t="s">
        <v>29</v>
      </c>
      <c r="N9" s="1" t="s">
        <v>94</v>
      </c>
      <c r="O9" s="1" t="s">
        <v>31</v>
      </c>
      <c r="P9" s="1">
        <v>79424</v>
      </c>
      <c r="Q9" s="1" t="s">
        <v>32</v>
      </c>
      <c r="R9" s="1" t="s">
        <v>95</v>
      </c>
      <c r="S9" s="1" t="s">
        <v>45</v>
      </c>
      <c r="T9" s="1" t="s">
        <v>46</v>
      </c>
      <c r="U9" s="1" t="s">
        <v>96</v>
      </c>
      <c r="V9" s="3">
        <v>25.16</v>
      </c>
      <c r="W9" s="1" t="str">
        <f t="shared" si="4"/>
        <v>Fast Delivery</v>
      </c>
    </row>
    <row r="10" spans="1:23" x14ac:dyDescent="0.25">
      <c r="A10" s="1">
        <v>541</v>
      </c>
      <c r="B10" s="2" t="s">
        <v>97</v>
      </c>
      <c r="C10" s="2">
        <v>42036</v>
      </c>
      <c r="D10" s="2">
        <v>42038</v>
      </c>
      <c r="E10" s="1">
        <f t="shared" si="1"/>
        <v>2015</v>
      </c>
      <c r="F10" s="2" t="str">
        <f t="shared" si="2"/>
        <v>Feb</v>
      </c>
      <c r="G10" s="1">
        <f t="shared" si="3"/>
        <v>2</v>
      </c>
      <c r="H10" s="1">
        <f t="shared" si="0"/>
        <v>2</v>
      </c>
      <c r="I10" s="1" t="s">
        <v>38</v>
      </c>
      <c r="J10" s="1" t="s">
        <v>98</v>
      </c>
      <c r="K10" s="1" t="s">
        <v>99</v>
      </c>
      <c r="L10" s="1" t="s">
        <v>28</v>
      </c>
      <c r="M10" s="1" t="s">
        <v>29</v>
      </c>
      <c r="N10" s="1" t="s">
        <v>100</v>
      </c>
      <c r="O10" s="1" t="s">
        <v>101</v>
      </c>
      <c r="P10" s="1">
        <v>54302</v>
      </c>
      <c r="Q10" s="1" t="s">
        <v>32</v>
      </c>
      <c r="R10" s="1" t="s">
        <v>80</v>
      </c>
      <c r="S10" s="1" t="s">
        <v>64</v>
      </c>
      <c r="T10" s="1" t="s">
        <v>65</v>
      </c>
      <c r="U10" s="1" t="s">
        <v>81</v>
      </c>
      <c r="V10" s="3">
        <v>468.9</v>
      </c>
      <c r="W10" s="1" t="str">
        <f t="shared" si="4"/>
        <v>Fast Delivery</v>
      </c>
    </row>
    <row r="11" spans="1:23" x14ac:dyDescent="0.25">
      <c r="A11" s="1">
        <v>2173</v>
      </c>
      <c r="B11" s="2" t="s">
        <v>102</v>
      </c>
      <c r="C11" s="2">
        <v>42217</v>
      </c>
      <c r="D11" s="2">
        <v>42219</v>
      </c>
      <c r="E11" s="1">
        <f t="shared" si="1"/>
        <v>2015</v>
      </c>
      <c r="F11" s="2" t="str">
        <f t="shared" si="2"/>
        <v>Aug</v>
      </c>
      <c r="G11" s="1">
        <f t="shared" si="3"/>
        <v>8</v>
      </c>
      <c r="H11" s="1">
        <f t="shared" si="0"/>
        <v>2</v>
      </c>
      <c r="I11" s="1" t="s">
        <v>38</v>
      </c>
      <c r="J11" s="1" t="s">
        <v>103</v>
      </c>
      <c r="K11" s="1" t="s">
        <v>104</v>
      </c>
      <c r="L11" s="1" t="s">
        <v>28</v>
      </c>
      <c r="M11" s="1" t="s">
        <v>29</v>
      </c>
      <c r="N11" s="1" t="s">
        <v>105</v>
      </c>
      <c r="O11" s="1" t="s">
        <v>106</v>
      </c>
      <c r="P11" s="1">
        <v>94122</v>
      </c>
      <c r="Q11" s="1" t="s">
        <v>107</v>
      </c>
      <c r="R11" s="1" t="s">
        <v>108</v>
      </c>
      <c r="S11" s="1" t="s">
        <v>34</v>
      </c>
      <c r="T11" s="1" t="s">
        <v>109</v>
      </c>
      <c r="U11" s="1" t="s">
        <v>110</v>
      </c>
      <c r="V11" s="3">
        <v>19.751999999999999</v>
      </c>
      <c r="W11" s="1" t="str">
        <f t="shared" si="4"/>
        <v>Fast Delivery</v>
      </c>
    </row>
    <row r="12" spans="1:23" x14ac:dyDescent="0.25">
      <c r="A12" s="1">
        <v>4930</v>
      </c>
      <c r="B12" s="2" t="s">
        <v>111</v>
      </c>
      <c r="C12" s="2">
        <v>42249</v>
      </c>
      <c r="D12" s="2">
        <v>42250</v>
      </c>
      <c r="E12" s="1">
        <f t="shared" si="1"/>
        <v>2015</v>
      </c>
      <c r="F12" s="2" t="str">
        <f t="shared" si="2"/>
        <v>Sep</v>
      </c>
      <c r="G12" s="1">
        <f t="shared" si="3"/>
        <v>9</v>
      </c>
      <c r="H12" s="1">
        <f t="shared" si="0"/>
        <v>1</v>
      </c>
      <c r="I12" s="1" t="s">
        <v>38</v>
      </c>
      <c r="J12" s="1" t="s">
        <v>112</v>
      </c>
      <c r="K12" s="1" t="s">
        <v>113</v>
      </c>
      <c r="L12" s="1" t="s">
        <v>28</v>
      </c>
      <c r="M12" s="1" t="s">
        <v>29</v>
      </c>
      <c r="N12" s="1" t="s">
        <v>114</v>
      </c>
      <c r="O12" s="1" t="s">
        <v>115</v>
      </c>
      <c r="P12" s="1">
        <v>10009</v>
      </c>
      <c r="Q12" s="1" t="s">
        <v>43</v>
      </c>
      <c r="R12" s="1" t="s">
        <v>116</v>
      </c>
      <c r="S12" s="1" t="s">
        <v>34</v>
      </c>
      <c r="T12" s="1" t="s">
        <v>35</v>
      </c>
      <c r="U12" s="1" t="s">
        <v>117</v>
      </c>
      <c r="V12" s="3">
        <v>57.75</v>
      </c>
      <c r="W12" s="1" t="str">
        <f t="shared" si="4"/>
        <v>Fast Delivery</v>
      </c>
    </row>
    <row r="13" spans="1:23" x14ac:dyDescent="0.25">
      <c r="A13" s="1">
        <v>4986</v>
      </c>
      <c r="B13" s="2" t="s">
        <v>118</v>
      </c>
      <c r="C13" s="2">
        <v>42250</v>
      </c>
      <c r="D13" s="2">
        <v>42250</v>
      </c>
      <c r="E13" s="1">
        <f t="shared" si="1"/>
        <v>2015</v>
      </c>
      <c r="F13" s="2" t="str">
        <f t="shared" si="2"/>
        <v>Sep</v>
      </c>
      <c r="G13" s="1">
        <f t="shared" si="3"/>
        <v>9</v>
      </c>
      <c r="H13" s="1">
        <f t="shared" si="0"/>
        <v>0</v>
      </c>
      <c r="I13" s="1" t="s">
        <v>68</v>
      </c>
      <c r="J13" s="1" t="s">
        <v>119</v>
      </c>
      <c r="K13" s="1" t="s">
        <v>120</v>
      </c>
      <c r="L13" s="1" t="s">
        <v>28</v>
      </c>
      <c r="M13" s="1" t="s">
        <v>29</v>
      </c>
      <c r="N13" s="1" t="s">
        <v>114</v>
      </c>
      <c r="O13" s="1" t="s">
        <v>115</v>
      </c>
      <c r="P13" s="1">
        <v>10009</v>
      </c>
      <c r="Q13" s="1" t="s">
        <v>43</v>
      </c>
      <c r="R13" s="1" t="s">
        <v>121</v>
      </c>
      <c r="S13" s="1" t="s">
        <v>34</v>
      </c>
      <c r="T13" s="1" t="s">
        <v>56</v>
      </c>
      <c r="U13" s="1" t="s">
        <v>122</v>
      </c>
      <c r="V13" s="3">
        <v>14.4</v>
      </c>
      <c r="W13" s="1" t="str">
        <f t="shared" si="4"/>
        <v>Fast Delivery</v>
      </c>
    </row>
    <row r="14" spans="1:23" x14ac:dyDescent="0.25">
      <c r="A14" s="1">
        <v>5600</v>
      </c>
      <c r="B14" s="2" t="s">
        <v>123</v>
      </c>
      <c r="C14" s="2">
        <v>42280</v>
      </c>
      <c r="D14" s="2">
        <v>42280</v>
      </c>
      <c r="E14" s="1">
        <f t="shared" si="1"/>
        <v>2015</v>
      </c>
      <c r="F14" s="2" t="str">
        <f t="shared" si="2"/>
        <v>Oct</v>
      </c>
      <c r="G14" s="1">
        <f t="shared" si="3"/>
        <v>10</v>
      </c>
      <c r="H14" s="1">
        <f t="shared" si="0"/>
        <v>0</v>
      </c>
      <c r="I14" s="1" t="s">
        <v>68</v>
      </c>
      <c r="J14" s="1" t="s">
        <v>124</v>
      </c>
      <c r="K14" s="1" t="s">
        <v>125</v>
      </c>
      <c r="L14" s="1" t="s">
        <v>28</v>
      </c>
      <c r="M14" s="1" t="s">
        <v>29</v>
      </c>
      <c r="N14" s="1" t="s">
        <v>71</v>
      </c>
      <c r="O14" s="1" t="s">
        <v>72</v>
      </c>
      <c r="P14" s="1">
        <v>43229</v>
      </c>
      <c r="Q14" s="1" t="s">
        <v>43</v>
      </c>
      <c r="R14" s="1" t="s">
        <v>126</v>
      </c>
      <c r="S14" s="1" t="s">
        <v>34</v>
      </c>
      <c r="T14" s="1" t="s">
        <v>35</v>
      </c>
      <c r="U14" s="1" t="s">
        <v>127</v>
      </c>
      <c r="V14" s="3">
        <v>55.984000000000002</v>
      </c>
      <c r="W14" s="1" t="str">
        <f t="shared" si="4"/>
        <v>Fast Delivery</v>
      </c>
    </row>
    <row r="15" spans="1:23" x14ac:dyDescent="0.25">
      <c r="A15" s="1">
        <v>9229</v>
      </c>
      <c r="B15" s="2" t="s">
        <v>128</v>
      </c>
      <c r="C15" s="2">
        <v>42311</v>
      </c>
      <c r="D15" s="2">
        <v>42311</v>
      </c>
      <c r="E15" s="1">
        <f t="shared" si="1"/>
        <v>2015</v>
      </c>
      <c r="F15" s="2" t="str">
        <f t="shared" si="2"/>
        <v>Nov</v>
      </c>
      <c r="G15" s="1">
        <f t="shared" si="3"/>
        <v>11</v>
      </c>
      <c r="H15" s="1">
        <f t="shared" si="0"/>
        <v>0</v>
      </c>
      <c r="I15" s="1" t="s">
        <v>68</v>
      </c>
      <c r="J15" s="1" t="s">
        <v>129</v>
      </c>
      <c r="K15" s="1" t="s">
        <v>130</v>
      </c>
      <c r="L15" s="1" t="s">
        <v>131</v>
      </c>
      <c r="M15" s="1" t="s">
        <v>29</v>
      </c>
      <c r="N15" s="1" t="s">
        <v>132</v>
      </c>
      <c r="O15" s="1" t="s">
        <v>106</v>
      </c>
      <c r="P15" s="1">
        <v>90049</v>
      </c>
      <c r="Q15" s="1" t="s">
        <v>107</v>
      </c>
      <c r="R15" s="1" t="s">
        <v>133</v>
      </c>
      <c r="S15" s="1" t="s">
        <v>34</v>
      </c>
      <c r="T15" s="1" t="s">
        <v>35</v>
      </c>
      <c r="U15" s="1" t="s">
        <v>134</v>
      </c>
      <c r="V15" s="3">
        <v>6.72</v>
      </c>
      <c r="W15" s="1" t="str">
        <f t="shared" si="4"/>
        <v>Fast Delivery</v>
      </c>
    </row>
    <row r="16" spans="1:23" x14ac:dyDescent="0.25">
      <c r="A16" s="1">
        <v>1792</v>
      </c>
      <c r="B16" s="2" t="s">
        <v>135</v>
      </c>
      <c r="C16" s="2">
        <v>42339</v>
      </c>
      <c r="D16" s="2">
        <v>42341</v>
      </c>
      <c r="E16" s="1">
        <f t="shared" si="1"/>
        <v>2015</v>
      </c>
      <c r="F16" s="2" t="str">
        <f t="shared" si="2"/>
        <v>Dec</v>
      </c>
      <c r="G16" s="1">
        <f t="shared" si="3"/>
        <v>12</v>
      </c>
      <c r="H16" s="1">
        <f t="shared" si="0"/>
        <v>2</v>
      </c>
      <c r="I16" s="1" t="s">
        <v>38</v>
      </c>
      <c r="J16" s="1" t="s">
        <v>136</v>
      </c>
      <c r="K16" s="1" t="s">
        <v>137</v>
      </c>
      <c r="L16" s="1" t="s">
        <v>28</v>
      </c>
      <c r="M16" s="1" t="s">
        <v>29</v>
      </c>
      <c r="N16" s="1" t="s">
        <v>138</v>
      </c>
      <c r="O16" s="1" t="s">
        <v>101</v>
      </c>
      <c r="P16" s="1">
        <v>53711</v>
      </c>
      <c r="Q16" s="1" t="s">
        <v>32</v>
      </c>
      <c r="R16" s="1" t="s">
        <v>139</v>
      </c>
      <c r="S16" s="1" t="s">
        <v>45</v>
      </c>
      <c r="T16" s="1" t="s">
        <v>89</v>
      </c>
      <c r="U16" s="1" t="s">
        <v>140</v>
      </c>
      <c r="V16" s="3">
        <v>2807.84</v>
      </c>
      <c r="W16" s="1" t="str">
        <f t="shared" si="4"/>
        <v>Fast Delivery</v>
      </c>
    </row>
    <row r="17" spans="1:23" x14ac:dyDescent="0.25">
      <c r="A17" s="1">
        <v>4492</v>
      </c>
      <c r="B17" s="2" t="s">
        <v>141</v>
      </c>
      <c r="C17" s="2">
        <v>42339</v>
      </c>
      <c r="D17" s="2">
        <v>42341</v>
      </c>
      <c r="E17" s="1">
        <f t="shared" si="1"/>
        <v>2015</v>
      </c>
      <c r="F17" s="2" t="str">
        <f t="shared" si="2"/>
        <v>Dec</v>
      </c>
      <c r="G17" s="1">
        <f t="shared" si="3"/>
        <v>12</v>
      </c>
      <c r="H17" s="1">
        <f t="shared" si="0"/>
        <v>2</v>
      </c>
      <c r="I17" s="1" t="s">
        <v>83</v>
      </c>
      <c r="J17" s="1" t="s">
        <v>142</v>
      </c>
      <c r="K17" s="1" t="s">
        <v>143</v>
      </c>
      <c r="L17" s="1" t="s">
        <v>28</v>
      </c>
      <c r="M17" s="1" t="s">
        <v>29</v>
      </c>
      <c r="N17" s="1" t="s">
        <v>71</v>
      </c>
      <c r="O17" s="1" t="s">
        <v>72</v>
      </c>
      <c r="P17" s="1">
        <v>43229</v>
      </c>
      <c r="Q17" s="1" t="s">
        <v>43</v>
      </c>
      <c r="R17" s="1" t="s">
        <v>144</v>
      </c>
      <c r="S17" s="1" t="s">
        <v>64</v>
      </c>
      <c r="T17" s="1" t="s">
        <v>145</v>
      </c>
      <c r="U17" s="1" t="s">
        <v>146</v>
      </c>
      <c r="V17" s="3">
        <v>659.98800000000006</v>
      </c>
      <c r="W17" s="1" t="str">
        <f t="shared" si="4"/>
        <v>Fast Delivery</v>
      </c>
    </row>
    <row r="18" spans="1:23" x14ac:dyDescent="0.25">
      <c r="A18" s="1">
        <v>4905</v>
      </c>
      <c r="B18" s="2" t="s">
        <v>147</v>
      </c>
      <c r="C18" s="2">
        <v>42339</v>
      </c>
      <c r="D18" s="2">
        <v>42341</v>
      </c>
      <c r="E18" s="1">
        <f t="shared" si="1"/>
        <v>2015</v>
      </c>
      <c r="F18" s="2" t="str">
        <f t="shared" si="2"/>
        <v>Dec</v>
      </c>
      <c r="G18" s="1">
        <f t="shared" si="3"/>
        <v>12</v>
      </c>
      <c r="H18" s="1">
        <f t="shared" si="0"/>
        <v>2</v>
      </c>
      <c r="I18" s="1" t="s">
        <v>83</v>
      </c>
      <c r="J18" s="1" t="s">
        <v>148</v>
      </c>
      <c r="K18" s="1" t="s">
        <v>149</v>
      </c>
      <c r="L18" s="1" t="s">
        <v>51</v>
      </c>
      <c r="M18" s="1" t="s">
        <v>29</v>
      </c>
      <c r="N18" s="1" t="s">
        <v>150</v>
      </c>
      <c r="O18" s="1" t="s">
        <v>31</v>
      </c>
      <c r="P18" s="1">
        <v>77070</v>
      </c>
      <c r="Q18" s="1" t="s">
        <v>32</v>
      </c>
      <c r="R18" s="1" t="s">
        <v>151</v>
      </c>
      <c r="S18" s="1" t="s">
        <v>45</v>
      </c>
      <c r="T18" s="1" t="s">
        <v>89</v>
      </c>
      <c r="U18" s="1" t="s">
        <v>152</v>
      </c>
      <c r="V18" s="3">
        <v>674.05799999999999</v>
      </c>
      <c r="W18" s="1" t="str">
        <f t="shared" si="4"/>
        <v>Fast Delivery</v>
      </c>
    </row>
    <row r="19" spans="1:23" x14ac:dyDescent="0.25">
      <c r="A19" s="1">
        <v>8004</v>
      </c>
      <c r="B19" s="2" t="s">
        <v>153</v>
      </c>
      <c r="C19" s="2">
        <v>42339</v>
      </c>
      <c r="D19" s="2">
        <v>42341</v>
      </c>
      <c r="E19" s="1">
        <f t="shared" si="1"/>
        <v>2015</v>
      </c>
      <c r="F19" s="2" t="str">
        <f t="shared" si="2"/>
        <v>Dec</v>
      </c>
      <c r="G19" s="1">
        <f t="shared" si="3"/>
        <v>12</v>
      </c>
      <c r="H19" s="1">
        <f t="shared" si="0"/>
        <v>2</v>
      </c>
      <c r="I19" s="1" t="s">
        <v>38</v>
      </c>
      <c r="J19" s="1" t="s">
        <v>154</v>
      </c>
      <c r="K19" s="1" t="s">
        <v>155</v>
      </c>
      <c r="L19" s="1" t="s">
        <v>28</v>
      </c>
      <c r="M19" s="1" t="s">
        <v>29</v>
      </c>
      <c r="N19" s="1" t="s">
        <v>156</v>
      </c>
      <c r="O19" s="1" t="s">
        <v>157</v>
      </c>
      <c r="P19" s="1">
        <v>1852</v>
      </c>
      <c r="Q19" s="1" t="s">
        <v>43</v>
      </c>
      <c r="R19" s="1" t="s">
        <v>158</v>
      </c>
      <c r="S19" s="1" t="s">
        <v>64</v>
      </c>
      <c r="T19" s="1" t="s">
        <v>159</v>
      </c>
      <c r="U19" s="1" t="s">
        <v>160</v>
      </c>
      <c r="V19" s="3">
        <v>271.89999999999998</v>
      </c>
      <c r="W19" s="1" t="str">
        <f t="shared" si="4"/>
        <v>Fast Delivery</v>
      </c>
    </row>
    <row r="20" spans="1:23" x14ac:dyDescent="0.25">
      <c r="A20" s="1">
        <v>7015</v>
      </c>
      <c r="B20" s="2" t="s">
        <v>161</v>
      </c>
      <c r="C20" s="2">
        <v>42074</v>
      </c>
      <c r="D20" s="2">
        <v>42076</v>
      </c>
      <c r="E20" s="1">
        <f t="shared" si="1"/>
        <v>2015</v>
      </c>
      <c r="F20" s="2" t="str">
        <f t="shared" si="2"/>
        <v>Mar</v>
      </c>
      <c r="G20" s="1">
        <f t="shared" si="3"/>
        <v>3</v>
      </c>
      <c r="H20" s="1">
        <f t="shared" si="0"/>
        <v>2</v>
      </c>
      <c r="I20" s="1" t="s">
        <v>83</v>
      </c>
      <c r="J20" s="1" t="s">
        <v>162</v>
      </c>
      <c r="K20" s="1" t="s">
        <v>163</v>
      </c>
      <c r="L20" s="1" t="s">
        <v>51</v>
      </c>
      <c r="M20" s="1" t="s">
        <v>29</v>
      </c>
      <c r="N20" s="1" t="s">
        <v>164</v>
      </c>
      <c r="O20" s="1" t="s">
        <v>165</v>
      </c>
      <c r="P20" s="1">
        <v>40475</v>
      </c>
      <c r="Q20" s="1" t="s">
        <v>54</v>
      </c>
      <c r="R20" s="1" t="s">
        <v>166</v>
      </c>
      <c r="S20" s="1" t="s">
        <v>34</v>
      </c>
      <c r="T20" s="1" t="s">
        <v>74</v>
      </c>
      <c r="U20" s="1" t="s">
        <v>167</v>
      </c>
      <c r="V20" s="3">
        <v>146.76</v>
      </c>
      <c r="W20" s="1" t="str">
        <f t="shared" si="4"/>
        <v>Fast Delivery</v>
      </c>
    </row>
    <row r="21" spans="1:23" x14ac:dyDescent="0.25">
      <c r="A21" s="1">
        <v>1172</v>
      </c>
      <c r="B21" s="2" t="s">
        <v>168</v>
      </c>
      <c r="C21" s="2">
        <v>42073</v>
      </c>
      <c r="D21" s="2">
        <v>42077</v>
      </c>
      <c r="E21" s="1">
        <f t="shared" si="1"/>
        <v>2015</v>
      </c>
      <c r="F21" s="2" t="str">
        <f t="shared" si="2"/>
        <v>Mar</v>
      </c>
      <c r="G21" s="1">
        <f t="shared" si="3"/>
        <v>3</v>
      </c>
      <c r="H21" s="1">
        <f t="shared" si="0"/>
        <v>4</v>
      </c>
      <c r="I21" s="1" t="s">
        <v>25</v>
      </c>
      <c r="J21" s="1" t="s">
        <v>169</v>
      </c>
      <c r="K21" s="1" t="s">
        <v>170</v>
      </c>
      <c r="L21" s="1" t="s">
        <v>28</v>
      </c>
      <c r="M21" s="1" t="s">
        <v>29</v>
      </c>
      <c r="N21" s="1" t="s">
        <v>171</v>
      </c>
      <c r="O21" s="1" t="s">
        <v>172</v>
      </c>
      <c r="P21" s="1">
        <v>48073</v>
      </c>
      <c r="Q21" s="1" t="s">
        <v>32</v>
      </c>
      <c r="R21" s="1" t="s">
        <v>173</v>
      </c>
      <c r="S21" s="1" t="s">
        <v>34</v>
      </c>
      <c r="T21" s="1" t="s">
        <v>174</v>
      </c>
      <c r="U21" s="1" t="s">
        <v>175</v>
      </c>
      <c r="V21" s="3">
        <v>22.38</v>
      </c>
      <c r="W21" s="1" t="str">
        <f t="shared" si="4"/>
        <v>Slow Delivery</v>
      </c>
    </row>
    <row r="22" spans="1:23" x14ac:dyDescent="0.25">
      <c r="A22" s="1">
        <v>3442</v>
      </c>
      <c r="B22" s="2" t="s">
        <v>176</v>
      </c>
      <c r="C22" s="2">
        <v>42074</v>
      </c>
      <c r="D22" s="2">
        <v>42077</v>
      </c>
      <c r="E22" s="1">
        <f t="shared" si="1"/>
        <v>2015</v>
      </c>
      <c r="F22" s="2" t="str">
        <f t="shared" si="2"/>
        <v>Mar</v>
      </c>
      <c r="G22" s="1">
        <f t="shared" si="3"/>
        <v>3</v>
      </c>
      <c r="H22" s="1">
        <f t="shared" si="0"/>
        <v>3</v>
      </c>
      <c r="I22" s="1" t="s">
        <v>83</v>
      </c>
      <c r="J22" s="1" t="s">
        <v>177</v>
      </c>
      <c r="K22" s="1" t="s">
        <v>178</v>
      </c>
      <c r="L22" s="1" t="s">
        <v>28</v>
      </c>
      <c r="M22" s="1" t="s">
        <v>29</v>
      </c>
      <c r="N22" s="1" t="s">
        <v>114</v>
      </c>
      <c r="O22" s="1" t="s">
        <v>115</v>
      </c>
      <c r="P22" s="1">
        <v>10024</v>
      </c>
      <c r="Q22" s="1" t="s">
        <v>43</v>
      </c>
      <c r="R22" s="1" t="s">
        <v>179</v>
      </c>
      <c r="S22" s="1" t="s">
        <v>34</v>
      </c>
      <c r="T22" s="1" t="s">
        <v>174</v>
      </c>
      <c r="U22" s="1" t="s">
        <v>180</v>
      </c>
      <c r="V22" s="3">
        <v>108.92</v>
      </c>
      <c r="W22" s="1" t="str">
        <f t="shared" si="4"/>
        <v>Fast Delivery</v>
      </c>
    </row>
    <row r="23" spans="1:23" x14ac:dyDescent="0.25">
      <c r="A23" s="1">
        <v>1542</v>
      </c>
      <c r="B23" s="2" t="s">
        <v>181</v>
      </c>
      <c r="C23" s="2">
        <v>42074</v>
      </c>
      <c r="D23" s="2">
        <v>42079</v>
      </c>
      <c r="E23" s="1">
        <f t="shared" si="1"/>
        <v>2015</v>
      </c>
      <c r="F23" s="2" t="str">
        <f t="shared" si="2"/>
        <v>Mar</v>
      </c>
      <c r="G23" s="1">
        <f t="shared" si="3"/>
        <v>3</v>
      </c>
      <c r="H23" s="1">
        <f t="shared" si="0"/>
        <v>5</v>
      </c>
      <c r="I23" s="1" t="s">
        <v>83</v>
      </c>
      <c r="J23" s="1" t="s">
        <v>182</v>
      </c>
      <c r="K23" s="1" t="s">
        <v>183</v>
      </c>
      <c r="L23" s="1" t="s">
        <v>28</v>
      </c>
      <c r="M23" s="1" t="s">
        <v>29</v>
      </c>
      <c r="N23" s="1" t="s">
        <v>71</v>
      </c>
      <c r="O23" s="1" t="s">
        <v>72</v>
      </c>
      <c r="P23" s="1">
        <v>43229</v>
      </c>
      <c r="Q23" s="1" t="s">
        <v>43</v>
      </c>
      <c r="R23" s="1" t="s">
        <v>184</v>
      </c>
      <c r="S23" s="1" t="s">
        <v>45</v>
      </c>
      <c r="T23" s="1" t="s">
        <v>46</v>
      </c>
      <c r="U23" s="1" t="s">
        <v>185</v>
      </c>
      <c r="V23" s="3">
        <v>8.32</v>
      </c>
      <c r="W23" s="1" t="str">
        <f t="shared" si="4"/>
        <v>Slow Delivery</v>
      </c>
    </row>
    <row r="24" spans="1:23" x14ac:dyDescent="0.25">
      <c r="A24" s="1">
        <v>7037</v>
      </c>
      <c r="B24" s="2" t="s">
        <v>186</v>
      </c>
      <c r="C24" s="2">
        <v>42126</v>
      </c>
      <c r="D24" s="2">
        <v>42128</v>
      </c>
      <c r="E24" s="1">
        <f t="shared" si="1"/>
        <v>2015</v>
      </c>
      <c r="F24" s="2" t="str">
        <f t="shared" si="2"/>
        <v>May</v>
      </c>
      <c r="G24" s="1">
        <f t="shared" si="3"/>
        <v>5</v>
      </c>
      <c r="H24" s="1">
        <f t="shared" si="0"/>
        <v>2</v>
      </c>
      <c r="I24" s="1" t="s">
        <v>83</v>
      </c>
      <c r="J24" s="1" t="s">
        <v>187</v>
      </c>
      <c r="K24" s="1" t="s">
        <v>188</v>
      </c>
      <c r="L24" s="1" t="s">
        <v>28</v>
      </c>
      <c r="M24" s="1" t="s">
        <v>29</v>
      </c>
      <c r="N24" s="1" t="s">
        <v>189</v>
      </c>
      <c r="O24" s="1" t="s">
        <v>190</v>
      </c>
      <c r="P24" s="1">
        <v>33801</v>
      </c>
      <c r="Q24" s="1" t="s">
        <v>54</v>
      </c>
      <c r="R24" s="1" t="s">
        <v>191</v>
      </c>
      <c r="S24" s="1" t="s">
        <v>64</v>
      </c>
      <c r="T24" s="1" t="s">
        <v>145</v>
      </c>
      <c r="U24" s="1" t="s">
        <v>192</v>
      </c>
      <c r="V24" s="3">
        <v>479.98399999999998</v>
      </c>
      <c r="W24" s="1" t="str">
        <f t="shared" si="4"/>
        <v>Fast Delivery</v>
      </c>
    </row>
    <row r="25" spans="1:23" x14ac:dyDescent="0.25">
      <c r="A25" s="1">
        <v>1460</v>
      </c>
      <c r="B25" s="2" t="s">
        <v>193</v>
      </c>
      <c r="C25" s="2">
        <v>42128</v>
      </c>
      <c r="D25" s="2">
        <v>42128</v>
      </c>
      <c r="E25" s="1">
        <f t="shared" si="1"/>
        <v>2015</v>
      </c>
      <c r="F25" s="2" t="str">
        <f t="shared" si="2"/>
        <v>May</v>
      </c>
      <c r="G25" s="1">
        <f t="shared" si="3"/>
        <v>5</v>
      </c>
      <c r="H25" s="1">
        <f t="shared" si="0"/>
        <v>0</v>
      </c>
      <c r="I25" s="1" t="s">
        <v>68</v>
      </c>
      <c r="J25" s="1" t="s">
        <v>194</v>
      </c>
      <c r="K25" s="1" t="s">
        <v>195</v>
      </c>
      <c r="L25" s="1" t="s">
        <v>28</v>
      </c>
      <c r="M25" s="1" t="s">
        <v>29</v>
      </c>
      <c r="N25" s="1" t="s">
        <v>196</v>
      </c>
      <c r="O25" s="1" t="s">
        <v>197</v>
      </c>
      <c r="P25" s="1">
        <v>6457</v>
      </c>
      <c r="Q25" s="1" t="s">
        <v>43</v>
      </c>
      <c r="R25" s="1" t="s">
        <v>198</v>
      </c>
      <c r="S25" s="1" t="s">
        <v>45</v>
      </c>
      <c r="T25" s="1" t="s">
        <v>46</v>
      </c>
      <c r="U25" s="1" t="s">
        <v>199</v>
      </c>
      <c r="V25" s="3">
        <v>27.46</v>
      </c>
      <c r="W25" s="1" t="str">
        <f t="shared" si="4"/>
        <v>Fast Delivery</v>
      </c>
    </row>
    <row r="26" spans="1:23" x14ac:dyDescent="0.25">
      <c r="A26" s="1">
        <v>3194</v>
      </c>
      <c r="B26" s="2" t="s">
        <v>200</v>
      </c>
      <c r="C26" s="2">
        <v>42248</v>
      </c>
      <c r="D26" s="2">
        <v>42251</v>
      </c>
      <c r="E26" s="1">
        <f t="shared" si="1"/>
        <v>2015</v>
      </c>
      <c r="F26" s="2" t="str">
        <f t="shared" si="2"/>
        <v>Sep</v>
      </c>
      <c r="G26" s="1">
        <f t="shared" si="3"/>
        <v>9</v>
      </c>
      <c r="H26" s="1">
        <f t="shared" si="0"/>
        <v>3</v>
      </c>
      <c r="I26" s="1" t="s">
        <v>38</v>
      </c>
      <c r="J26" s="1" t="s">
        <v>201</v>
      </c>
      <c r="K26" s="1" t="s">
        <v>202</v>
      </c>
      <c r="L26" s="1" t="s">
        <v>28</v>
      </c>
      <c r="M26" s="1" t="s">
        <v>29</v>
      </c>
      <c r="N26" s="1" t="s">
        <v>150</v>
      </c>
      <c r="O26" s="1" t="s">
        <v>31</v>
      </c>
      <c r="P26" s="1">
        <v>77036</v>
      </c>
      <c r="Q26" s="1" t="s">
        <v>32</v>
      </c>
      <c r="R26" s="1" t="s">
        <v>203</v>
      </c>
      <c r="S26" s="1" t="s">
        <v>34</v>
      </c>
      <c r="T26" s="1" t="s">
        <v>109</v>
      </c>
      <c r="U26" s="1" t="s">
        <v>204</v>
      </c>
      <c r="V26" s="3">
        <v>3.6480000000000001</v>
      </c>
      <c r="W26" s="1" t="str">
        <f t="shared" si="4"/>
        <v>Fast Delivery</v>
      </c>
    </row>
    <row r="27" spans="1:23" x14ac:dyDescent="0.25">
      <c r="A27" s="1">
        <v>4404</v>
      </c>
      <c r="B27" s="2" t="s">
        <v>205</v>
      </c>
      <c r="C27" s="2">
        <v>42249</v>
      </c>
      <c r="D27" s="2">
        <v>42251</v>
      </c>
      <c r="E27" s="1">
        <f t="shared" si="1"/>
        <v>2015</v>
      </c>
      <c r="F27" s="2" t="str">
        <f t="shared" si="2"/>
        <v>Sep</v>
      </c>
      <c r="G27" s="1">
        <f t="shared" si="3"/>
        <v>9</v>
      </c>
      <c r="H27" s="1">
        <f t="shared" si="0"/>
        <v>2</v>
      </c>
      <c r="I27" s="1" t="s">
        <v>38</v>
      </c>
      <c r="J27" s="1" t="s">
        <v>206</v>
      </c>
      <c r="K27" s="1" t="s">
        <v>207</v>
      </c>
      <c r="L27" s="1" t="s">
        <v>28</v>
      </c>
      <c r="M27" s="1" t="s">
        <v>29</v>
      </c>
      <c r="N27" s="1" t="s">
        <v>114</v>
      </c>
      <c r="O27" s="1" t="s">
        <v>115</v>
      </c>
      <c r="P27" s="1">
        <v>10009</v>
      </c>
      <c r="Q27" s="1" t="s">
        <v>43</v>
      </c>
      <c r="R27" s="1" t="s">
        <v>208</v>
      </c>
      <c r="S27" s="1" t="s">
        <v>34</v>
      </c>
      <c r="T27" s="1" t="s">
        <v>35</v>
      </c>
      <c r="U27" s="1" t="s">
        <v>209</v>
      </c>
      <c r="V27" s="3">
        <v>21.24</v>
      </c>
      <c r="W27" s="1" t="str">
        <f t="shared" si="4"/>
        <v>Fast Delivery</v>
      </c>
    </row>
    <row r="28" spans="1:23" x14ac:dyDescent="0.25">
      <c r="A28" s="1">
        <v>8398</v>
      </c>
      <c r="B28" s="2" t="s">
        <v>210</v>
      </c>
      <c r="C28" s="2">
        <v>42250</v>
      </c>
      <c r="D28" s="2">
        <v>42251</v>
      </c>
      <c r="E28" s="1">
        <f t="shared" si="1"/>
        <v>2015</v>
      </c>
      <c r="F28" s="2" t="str">
        <f t="shared" si="2"/>
        <v>Sep</v>
      </c>
      <c r="G28" s="1">
        <f t="shared" si="3"/>
        <v>9</v>
      </c>
      <c r="H28" s="1">
        <f t="shared" si="0"/>
        <v>1</v>
      </c>
      <c r="I28" s="1" t="s">
        <v>38</v>
      </c>
      <c r="J28" s="1" t="s">
        <v>211</v>
      </c>
      <c r="K28" s="1" t="s">
        <v>212</v>
      </c>
      <c r="L28" s="1" t="s">
        <v>131</v>
      </c>
      <c r="M28" s="1" t="s">
        <v>29</v>
      </c>
      <c r="N28" s="1" t="s">
        <v>150</v>
      </c>
      <c r="O28" s="1" t="s">
        <v>31</v>
      </c>
      <c r="P28" s="1">
        <v>77095</v>
      </c>
      <c r="Q28" s="1" t="s">
        <v>32</v>
      </c>
      <c r="R28" s="1" t="s">
        <v>213</v>
      </c>
      <c r="S28" s="1" t="s">
        <v>34</v>
      </c>
      <c r="T28" s="1" t="s">
        <v>109</v>
      </c>
      <c r="U28" s="1" t="s">
        <v>214</v>
      </c>
      <c r="V28" s="3">
        <v>7.68</v>
      </c>
      <c r="W28" s="1" t="str">
        <f t="shared" si="4"/>
        <v>Fast Delivery</v>
      </c>
    </row>
    <row r="29" spans="1:23" x14ac:dyDescent="0.25">
      <c r="A29" s="1">
        <v>708</v>
      </c>
      <c r="B29" s="2" t="s">
        <v>215</v>
      </c>
      <c r="C29" s="2">
        <v>42340</v>
      </c>
      <c r="D29" s="2">
        <v>42342</v>
      </c>
      <c r="E29" s="1">
        <f t="shared" si="1"/>
        <v>2015</v>
      </c>
      <c r="F29" s="2" t="str">
        <f t="shared" si="2"/>
        <v>Dec</v>
      </c>
      <c r="G29" s="1">
        <f t="shared" si="3"/>
        <v>12</v>
      </c>
      <c r="H29" s="1">
        <f t="shared" si="0"/>
        <v>2</v>
      </c>
      <c r="I29" s="1" t="s">
        <v>38</v>
      </c>
      <c r="J29" s="1" t="s">
        <v>216</v>
      </c>
      <c r="K29" s="1" t="s">
        <v>217</v>
      </c>
      <c r="L29" s="1" t="s">
        <v>28</v>
      </c>
      <c r="M29" s="1" t="s">
        <v>29</v>
      </c>
      <c r="N29" s="1" t="s">
        <v>114</v>
      </c>
      <c r="O29" s="1" t="s">
        <v>115</v>
      </c>
      <c r="P29" s="1">
        <v>10035</v>
      </c>
      <c r="Q29" s="1" t="s">
        <v>43</v>
      </c>
      <c r="R29" s="1" t="s">
        <v>63</v>
      </c>
      <c r="S29" s="1" t="s">
        <v>64</v>
      </c>
      <c r="T29" s="1" t="s">
        <v>65</v>
      </c>
      <c r="U29" s="1" t="s">
        <v>66</v>
      </c>
      <c r="V29" s="3">
        <v>119.96</v>
      </c>
      <c r="W29" s="1" t="str">
        <f t="shared" si="4"/>
        <v>Fast Delivery</v>
      </c>
    </row>
    <row r="30" spans="1:23" x14ac:dyDescent="0.25">
      <c r="A30" s="1">
        <v>6252</v>
      </c>
      <c r="B30" s="2" t="s">
        <v>218</v>
      </c>
      <c r="C30" s="2">
        <v>42340</v>
      </c>
      <c r="D30" s="2">
        <v>42342</v>
      </c>
      <c r="E30" s="1">
        <f t="shared" si="1"/>
        <v>2015</v>
      </c>
      <c r="F30" s="2" t="str">
        <f t="shared" si="2"/>
        <v>Dec</v>
      </c>
      <c r="G30" s="1">
        <f t="shared" si="3"/>
        <v>12</v>
      </c>
      <c r="H30" s="1">
        <f t="shared" si="0"/>
        <v>2</v>
      </c>
      <c r="I30" s="1" t="s">
        <v>38</v>
      </c>
      <c r="J30" s="1" t="s">
        <v>219</v>
      </c>
      <c r="K30" s="1" t="s">
        <v>220</v>
      </c>
      <c r="L30" s="1" t="s">
        <v>28</v>
      </c>
      <c r="M30" s="1" t="s">
        <v>29</v>
      </c>
      <c r="N30" s="1" t="s">
        <v>221</v>
      </c>
      <c r="O30" s="1" t="s">
        <v>222</v>
      </c>
      <c r="P30" s="1">
        <v>60623</v>
      </c>
      <c r="Q30" s="1" t="s">
        <v>32</v>
      </c>
      <c r="R30" s="1" t="s">
        <v>223</v>
      </c>
      <c r="S30" s="1" t="s">
        <v>34</v>
      </c>
      <c r="T30" s="1" t="s">
        <v>74</v>
      </c>
      <c r="U30" s="1" t="s">
        <v>224</v>
      </c>
      <c r="V30" s="3">
        <v>2.3940000000000001</v>
      </c>
      <c r="W30" s="1" t="str">
        <f t="shared" si="4"/>
        <v>Fast Delivery</v>
      </c>
    </row>
    <row r="31" spans="1:23" x14ac:dyDescent="0.25">
      <c r="A31" s="1">
        <v>6381</v>
      </c>
      <c r="B31" s="2" t="s">
        <v>225</v>
      </c>
      <c r="C31" s="2">
        <v>42102</v>
      </c>
      <c r="D31" s="2">
        <v>42107</v>
      </c>
      <c r="E31" s="1">
        <f t="shared" si="1"/>
        <v>2015</v>
      </c>
      <c r="F31" s="2" t="str">
        <f t="shared" si="2"/>
        <v>Apr</v>
      </c>
      <c r="G31" s="1">
        <f t="shared" si="3"/>
        <v>4</v>
      </c>
      <c r="H31" s="1">
        <f t="shared" si="0"/>
        <v>5</v>
      </c>
      <c r="I31" s="1" t="s">
        <v>25</v>
      </c>
      <c r="J31" s="1" t="s">
        <v>226</v>
      </c>
      <c r="K31" s="1" t="s">
        <v>227</v>
      </c>
      <c r="L31" s="1" t="s">
        <v>131</v>
      </c>
      <c r="M31" s="1" t="s">
        <v>29</v>
      </c>
      <c r="N31" s="1" t="s">
        <v>228</v>
      </c>
      <c r="O31" s="1" t="s">
        <v>229</v>
      </c>
      <c r="P31" s="1">
        <v>85224</v>
      </c>
      <c r="Q31" s="1" t="s">
        <v>107</v>
      </c>
      <c r="R31" s="1" t="s">
        <v>230</v>
      </c>
      <c r="S31" s="1" t="s">
        <v>34</v>
      </c>
      <c r="T31" s="1" t="s">
        <v>231</v>
      </c>
      <c r="U31" s="1" t="s">
        <v>232</v>
      </c>
      <c r="V31" s="3">
        <v>49.792000000000002</v>
      </c>
      <c r="W31" s="1" t="str">
        <f t="shared" si="4"/>
        <v>Slow Delivery</v>
      </c>
    </row>
    <row r="32" spans="1:23" x14ac:dyDescent="0.25">
      <c r="A32" s="1">
        <v>3774</v>
      </c>
      <c r="B32" s="2" t="s">
        <v>233</v>
      </c>
      <c r="C32" s="2">
        <v>42105</v>
      </c>
      <c r="D32" s="2">
        <v>42107</v>
      </c>
      <c r="E32" s="1">
        <f t="shared" si="1"/>
        <v>2015</v>
      </c>
      <c r="F32" s="2" t="str">
        <f t="shared" si="2"/>
        <v>Apr</v>
      </c>
      <c r="G32" s="1">
        <f t="shared" si="3"/>
        <v>4</v>
      </c>
      <c r="H32" s="1">
        <f t="shared" si="0"/>
        <v>2</v>
      </c>
      <c r="I32" s="1" t="s">
        <v>83</v>
      </c>
      <c r="J32" s="1" t="s">
        <v>234</v>
      </c>
      <c r="K32" s="1" t="s">
        <v>235</v>
      </c>
      <c r="L32" s="1" t="s">
        <v>28</v>
      </c>
      <c r="M32" s="1" t="s">
        <v>29</v>
      </c>
      <c r="N32" s="1" t="s">
        <v>236</v>
      </c>
      <c r="O32" s="1" t="s">
        <v>190</v>
      </c>
      <c r="P32" s="1">
        <v>33180</v>
      </c>
      <c r="Q32" s="1" t="s">
        <v>54</v>
      </c>
      <c r="R32" s="1" t="s">
        <v>237</v>
      </c>
      <c r="S32" s="1" t="s">
        <v>34</v>
      </c>
      <c r="T32" s="1" t="s">
        <v>231</v>
      </c>
      <c r="U32" s="1" t="s">
        <v>238</v>
      </c>
      <c r="V32" s="3">
        <v>6.9119999999999999</v>
      </c>
      <c r="W32" s="1" t="str">
        <f t="shared" si="4"/>
        <v>Fast Delivery</v>
      </c>
    </row>
    <row r="33" spans="1:23" x14ac:dyDescent="0.25">
      <c r="A33" s="1">
        <v>3836</v>
      </c>
      <c r="B33" s="2" t="s">
        <v>239</v>
      </c>
      <c r="C33" s="2">
        <v>42102</v>
      </c>
      <c r="D33" s="2">
        <v>42109</v>
      </c>
      <c r="E33" s="1">
        <f t="shared" si="1"/>
        <v>2015</v>
      </c>
      <c r="F33" s="2" t="str">
        <f t="shared" si="2"/>
        <v>Apr</v>
      </c>
      <c r="G33" s="1">
        <f t="shared" si="3"/>
        <v>4</v>
      </c>
      <c r="H33" s="1">
        <f t="shared" si="0"/>
        <v>7</v>
      </c>
      <c r="I33" s="1" t="s">
        <v>25</v>
      </c>
      <c r="J33" s="1" t="s">
        <v>240</v>
      </c>
      <c r="K33" s="1" t="s">
        <v>241</v>
      </c>
      <c r="L33" s="1" t="s">
        <v>51</v>
      </c>
      <c r="M33" s="1" t="s">
        <v>29</v>
      </c>
      <c r="N33" s="1" t="s">
        <v>242</v>
      </c>
      <c r="O33" s="1" t="s">
        <v>229</v>
      </c>
      <c r="P33" s="1">
        <v>85301</v>
      </c>
      <c r="Q33" s="1" t="s">
        <v>107</v>
      </c>
      <c r="R33" s="1" t="s">
        <v>243</v>
      </c>
      <c r="S33" s="1" t="s">
        <v>34</v>
      </c>
      <c r="T33" s="1" t="s">
        <v>231</v>
      </c>
      <c r="U33" s="1" t="s">
        <v>244</v>
      </c>
      <c r="V33" s="3">
        <v>2.3679999999999999</v>
      </c>
      <c r="W33" s="1" t="str">
        <f t="shared" si="4"/>
        <v>Slow Delivery</v>
      </c>
    </row>
    <row r="34" spans="1:23" x14ac:dyDescent="0.25">
      <c r="A34" s="1">
        <v>4578</v>
      </c>
      <c r="B34" s="2" t="s">
        <v>245</v>
      </c>
      <c r="C34" s="2">
        <v>42105</v>
      </c>
      <c r="D34" s="2">
        <v>42110</v>
      </c>
      <c r="E34" s="1">
        <f t="shared" si="1"/>
        <v>2015</v>
      </c>
      <c r="F34" s="2" t="str">
        <f t="shared" si="2"/>
        <v>Apr</v>
      </c>
      <c r="G34" s="1">
        <f t="shared" si="3"/>
        <v>4</v>
      </c>
      <c r="H34" s="1">
        <f t="shared" si="0"/>
        <v>5</v>
      </c>
      <c r="I34" s="1" t="s">
        <v>25</v>
      </c>
      <c r="J34" s="1" t="s">
        <v>246</v>
      </c>
      <c r="K34" s="1" t="s">
        <v>247</v>
      </c>
      <c r="L34" s="1" t="s">
        <v>28</v>
      </c>
      <c r="M34" s="1" t="s">
        <v>29</v>
      </c>
      <c r="N34" s="1" t="s">
        <v>248</v>
      </c>
      <c r="O34" s="1" t="s">
        <v>249</v>
      </c>
      <c r="P34" s="1">
        <v>83501</v>
      </c>
      <c r="Q34" s="1" t="s">
        <v>107</v>
      </c>
      <c r="R34" s="1" t="s">
        <v>250</v>
      </c>
      <c r="S34" s="1" t="s">
        <v>34</v>
      </c>
      <c r="T34" s="1" t="s">
        <v>109</v>
      </c>
      <c r="U34" s="1" t="s">
        <v>251</v>
      </c>
      <c r="V34" s="3">
        <v>9.5839999999999996</v>
      </c>
      <c r="W34" s="1" t="str">
        <f t="shared" si="4"/>
        <v>Slow Delivery</v>
      </c>
    </row>
    <row r="35" spans="1:23" x14ac:dyDescent="0.25">
      <c r="A35" s="1">
        <v>4862</v>
      </c>
      <c r="B35" s="2" t="s">
        <v>252</v>
      </c>
      <c r="C35" s="2">
        <v>42105</v>
      </c>
      <c r="D35" s="2">
        <v>42110</v>
      </c>
      <c r="E35" s="1">
        <f t="shared" si="1"/>
        <v>2015</v>
      </c>
      <c r="F35" s="2" t="str">
        <f t="shared" si="2"/>
        <v>Apr</v>
      </c>
      <c r="G35" s="1">
        <f t="shared" si="3"/>
        <v>4</v>
      </c>
      <c r="H35" s="1">
        <f t="shared" si="0"/>
        <v>5</v>
      </c>
      <c r="I35" s="1" t="s">
        <v>83</v>
      </c>
      <c r="J35" s="1" t="s">
        <v>253</v>
      </c>
      <c r="K35" s="1" t="s">
        <v>254</v>
      </c>
      <c r="L35" s="1" t="s">
        <v>131</v>
      </c>
      <c r="M35" s="1" t="s">
        <v>29</v>
      </c>
      <c r="N35" s="1" t="s">
        <v>255</v>
      </c>
      <c r="O35" s="1" t="s">
        <v>31</v>
      </c>
      <c r="P35" s="1">
        <v>78745</v>
      </c>
      <c r="Q35" s="1" t="s">
        <v>32</v>
      </c>
      <c r="R35" s="1" t="s">
        <v>256</v>
      </c>
      <c r="S35" s="1" t="s">
        <v>64</v>
      </c>
      <c r="T35" s="1" t="s">
        <v>159</v>
      </c>
      <c r="U35" s="1" t="s">
        <v>257</v>
      </c>
      <c r="V35" s="3">
        <v>758.35199999999998</v>
      </c>
      <c r="W35" s="1" t="str">
        <f t="shared" si="4"/>
        <v>Slow Delivery</v>
      </c>
    </row>
    <row r="36" spans="1:23" x14ac:dyDescent="0.25">
      <c r="A36" s="1">
        <v>2794</v>
      </c>
      <c r="B36" s="2" t="s">
        <v>258</v>
      </c>
      <c r="C36" s="2">
        <v>42106</v>
      </c>
      <c r="D36" s="2">
        <v>42111</v>
      </c>
      <c r="E36" s="1">
        <f t="shared" si="1"/>
        <v>2015</v>
      </c>
      <c r="F36" s="2" t="str">
        <f t="shared" si="2"/>
        <v>Apr</v>
      </c>
      <c r="G36" s="1">
        <f t="shared" si="3"/>
        <v>4</v>
      </c>
      <c r="H36" s="1">
        <f t="shared" si="0"/>
        <v>5</v>
      </c>
      <c r="I36" s="1" t="s">
        <v>25</v>
      </c>
      <c r="J36" s="1" t="s">
        <v>259</v>
      </c>
      <c r="K36" s="1" t="s">
        <v>260</v>
      </c>
      <c r="L36" s="1" t="s">
        <v>51</v>
      </c>
      <c r="M36" s="1" t="s">
        <v>29</v>
      </c>
      <c r="N36" s="1" t="s">
        <v>261</v>
      </c>
      <c r="O36" s="1" t="s">
        <v>106</v>
      </c>
      <c r="P36" s="1">
        <v>90278</v>
      </c>
      <c r="Q36" s="1" t="s">
        <v>107</v>
      </c>
      <c r="R36" s="1" t="s">
        <v>262</v>
      </c>
      <c r="S36" s="1" t="s">
        <v>64</v>
      </c>
      <c r="T36" s="1" t="s">
        <v>159</v>
      </c>
      <c r="U36" s="1" t="s">
        <v>263</v>
      </c>
      <c r="V36" s="3">
        <v>1075.088</v>
      </c>
      <c r="W36" s="1" t="str">
        <f t="shared" si="4"/>
        <v>Slow Delivery</v>
      </c>
    </row>
    <row r="37" spans="1:23" x14ac:dyDescent="0.25">
      <c r="A37" s="1">
        <v>8358</v>
      </c>
      <c r="B37" s="2" t="s">
        <v>264</v>
      </c>
      <c r="C37" s="2">
        <v>42105</v>
      </c>
      <c r="D37" s="2">
        <v>42112</v>
      </c>
      <c r="E37" s="1">
        <f t="shared" si="1"/>
        <v>2015</v>
      </c>
      <c r="F37" s="2" t="str">
        <f t="shared" si="2"/>
        <v>Apr</v>
      </c>
      <c r="G37" s="1">
        <f t="shared" si="3"/>
        <v>4</v>
      </c>
      <c r="H37" s="1">
        <f t="shared" si="0"/>
        <v>7</v>
      </c>
      <c r="I37" s="1" t="s">
        <v>25</v>
      </c>
      <c r="J37" s="1" t="s">
        <v>265</v>
      </c>
      <c r="K37" s="1" t="s">
        <v>266</v>
      </c>
      <c r="L37" s="1" t="s">
        <v>28</v>
      </c>
      <c r="M37" s="1" t="s">
        <v>29</v>
      </c>
      <c r="N37" s="1" t="s">
        <v>267</v>
      </c>
      <c r="O37" s="1" t="s">
        <v>268</v>
      </c>
      <c r="P37" s="1">
        <v>59405</v>
      </c>
      <c r="Q37" s="1" t="s">
        <v>107</v>
      </c>
      <c r="R37" s="1" t="s">
        <v>269</v>
      </c>
      <c r="S37" s="1" t="s">
        <v>34</v>
      </c>
      <c r="T37" s="1" t="s">
        <v>270</v>
      </c>
      <c r="U37" s="1" t="s">
        <v>271</v>
      </c>
      <c r="V37" s="3">
        <v>87.08</v>
      </c>
      <c r="W37" s="1" t="str">
        <f t="shared" si="4"/>
        <v>Slow Delivery</v>
      </c>
    </row>
    <row r="38" spans="1:23" x14ac:dyDescent="0.25">
      <c r="A38" s="1">
        <v>5714</v>
      </c>
      <c r="B38" s="2" t="s">
        <v>272</v>
      </c>
      <c r="C38" s="2">
        <v>42064</v>
      </c>
      <c r="D38" s="2">
        <v>42068</v>
      </c>
      <c r="E38" s="1">
        <f t="shared" si="1"/>
        <v>2015</v>
      </c>
      <c r="F38" s="2" t="str">
        <f t="shared" si="2"/>
        <v>Mar</v>
      </c>
      <c r="G38" s="1">
        <f t="shared" si="3"/>
        <v>3</v>
      </c>
      <c r="H38" s="1">
        <f t="shared" si="0"/>
        <v>4</v>
      </c>
      <c r="I38" s="1" t="s">
        <v>25</v>
      </c>
      <c r="J38" s="1" t="s">
        <v>273</v>
      </c>
      <c r="K38" s="1" t="s">
        <v>274</v>
      </c>
      <c r="L38" s="1" t="s">
        <v>131</v>
      </c>
      <c r="M38" s="1" t="s">
        <v>29</v>
      </c>
      <c r="N38" s="1" t="s">
        <v>114</v>
      </c>
      <c r="O38" s="1" t="s">
        <v>115</v>
      </c>
      <c r="P38" s="1">
        <v>10035</v>
      </c>
      <c r="Q38" s="1" t="s">
        <v>43</v>
      </c>
      <c r="R38" s="1" t="s">
        <v>275</v>
      </c>
      <c r="S38" s="1" t="s">
        <v>64</v>
      </c>
      <c r="T38" s="1" t="s">
        <v>159</v>
      </c>
      <c r="U38" s="1" t="s">
        <v>276</v>
      </c>
      <c r="V38" s="3">
        <v>5.94</v>
      </c>
      <c r="W38" s="1" t="str">
        <f t="shared" si="4"/>
        <v>Slow Delivery</v>
      </c>
    </row>
    <row r="39" spans="1:23" x14ac:dyDescent="0.25">
      <c r="A39" s="1">
        <v>6548</v>
      </c>
      <c r="B39" s="2" t="s">
        <v>277</v>
      </c>
      <c r="C39" s="2">
        <v>42064</v>
      </c>
      <c r="D39" s="2">
        <v>42068</v>
      </c>
      <c r="E39" s="1">
        <f t="shared" si="1"/>
        <v>2015</v>
      </c>
      <c r="F39" s="2" t="str">
        <f t="shared" si="2"/>
        <v>Mar</v>
      </c>
      <c r="G39" s="1">
        <f t="shared" si="3"/>
        <v>3</v>
      </c>
      <c r="H39" s="1">
        <f t="shared" si="0"/>
        <v>4</v>
      </c>
      <c r="I39" s="1" t="s">
        <v>25</v>
      </c>
      <c r="J39" s="1" t="s">
        <v>278</v>
      </c>
      <c r="K39" s="1" t="s">
        <v>279</v>
      </c>
      <c r="L39" s="1" t="s">
        <v>131</v>
      </c>
      <c r="M39" s="1" t="s">
        <v>29</v>
      </c>
      <c r="N39" s="1" t="s">
        <v>280</v>
      </c>
      <c r="O39" s="1" t="s">
        <v>222</v>
      </c>
      <c r="P39" s="1">
        <v>60126</v>
      </c>
      <c r="Q39" s="1" t="s">
        <v>32</v>
      </c>
      <c r="R39" s="1" t="s">
        <v>281</v>
      </c>
      <c r="S39" s="1" t="s">
        <v>45</v>
      </c>
      <c r="T39" s="1" t="s">
        <v>89</v>
      </c>
      <c r="U39" s="1" t="s">
        <v>282</v>
      </c>
      <c r="V39" s="3">
        <v>634.11599999999999</v>
      </c>
      <c r="W39" s="1" t="str">
        <f t="shared" si="4"/>
        <v>Slow Delivery</v>
      </c>
    </row>
    <row r="40" spans="1:23" x14ac:dyDescent="0.25">
      <c r="A40" s="1">
        <v>7948</v>
      </c>
      <c r="B40" s="2" t="s">
        <v>283</v>
      </c>
      <c r="C40" s="2">
        <v>42064</v>
      </c>
      <c r="D40" s="2">
        <v>42068</v>
      </c>
      <c r="E40" s="1">
        <f t="shared" si="1"/>
        <v>2015</v>
      </c>
      <c r="F40" s="2" t="str">
        <f t="shared" si="2"/>
        <v>Mar</v>
      </c>
      <c r="G40" s="1">
        <f t="shared" si="3"/>
        <v>3</v>
      </c>
      <c r="H40" s="1">
        <f t="shared" si="0"/>
        <v>4</v>
      </c>
      <c r="I40" s="1" t="s">
        <v>25</v>
      </c>
      <c r="J40" s="1" t="s">
        <v>284</v>
      </c>
      <c r="K40" s="1" t="s">
        <v>285</v>
      </c>
      <c r="L40" s="1" t="s">
        <v>28</v>
      </c>
      <c r="M40" s="1" t="s">
        <v>29</v>
      </c>
      <c r="N40" s="1" t="s">
        <v>286</v>
      </c>
      <c r="O40" s="1" t="s">
        <v>31</v>
      </c>
      <c r="P40" s="1">
        <v>79907</v>
      </c>
      <c r="Q40" s="1" t="s">
        <v>32</v>
      </c>
      <c r="R40" s="1" t="s">
        <v>287</v>
      </c>
      <c r="S40" s="1" t="s">
        <v>34</v>
      </c>
      <c r="T40" s="1" t="s">
        <v>231</v>
      </c>
      <c r="U40" s="1" t="s">
        <v>288</v>
      </c>
      <c r="V40" s="3">
        <v>18.84</v>
      </c>
      <c r="W40" s="1" t="str">
        <f t="shared" si="4"/>
        <v>Slow Delivery</v>
      </c>
    </row>
    <row r="41" spans="1:23" x14ac:dyDescent="0.25">
      <c r="A41" s="1">
        <v>4845</v>
      </c>
      <c r="B41" s="2" t="s">
        <v>289</v>
      </c>
      <c r="C41" s="2">
        <v>42098</v>
      </c>
      <c r="D41" s="2">
        <v>42099</v>
      </c>
      <c r="E41" s="1">
        <f t="shared" si="1"/>
        <v>2015</v>
      </c>
      <c r="F41" s="2" t="str">
        <f t="shared" si="2"/>
        <v>Apr</v>
      </c>
      <c r="G41" s="1">
        <f t="shared" si="3"/>
        <v>4</v>
      </c>
      <c r="H41" s="1">
        <f t="shared" si="0"/>
        <v>1</v>
      </c>
      <c r="I41" s="1" t="s">
        <v>38</v>
      </c>
      <c r="J41" s="1" t="s">
        <v>290</v>
      </c>
      <c r="K41" s="1" t="s">
        <v>291</v>
      </c>
      <c r="L41" s="1" t="s">
        <v>51</v>
      </c>
      <c r="M41" s="1" t="s">
        <v>29</v>
      </c>
      <c r="N41" s="1" t="s">
        <v>132</v>
      </c>
      <c r="O41" s="1" t="s">
        <v>106</v>
      </c>
      <c r="P41" s="1">
        <v>90008</v>
      </c>
      <c r="Q41" s="1" t="s">
        <v>107</v>
      </c>
      <c r="R41" s="1" t="s">
        <v>292</v>
      </c>
      <c r="S41" s="1" t="s">
        <v>34</v>
      </c>
      <c r="T41" s="1" t="s">
        <v>109</v>
      </c>
      <c r="U41" s="1" t="s">
        <v>293</v>
      </c>
      <c r="V41" s="3">
        <v>7.1840000000000002</v>
      </c>
      <c r="W41" s="1" t="str">
        <f t="shared" si="4"/>
        <v>Fast Delivery</v>
      </c>
    </row>
    <row r="42" spans="1:23" x14ac:dyDescent="0.25">
      <c r="A42" s="1">
        <v>1553</v>
      </c>
      <c r="B42" s="2" t="s">
        <v>294</v>
      </c>
      <c r="C42" s="2">
        <v>42127</v>
      </c>
      <c r="D42" s="2">
        <v>42129</v>
      </c>
      <c r="E42" s="1">
        <f t="shared" si="1"/>
        <v>2015</v>
      </c>
      <c r="F42" s="2" t="str">
        <f t="shared" si="2"/>
        <v>May</v>
      </c>
      <c r="G42" s="1">
        <f t="shared" si="3"/>
        <v>5</v>
      </c>
      <c r="H42" s="1">
        <f t="shared" si="0"/>
        <v>2</v>
      </c>
      <c r="I42" s="1" t="s">
        <v>38</v>
      </c>
      <c r="J42" s="1" t="s">
        <v>295</v>
      </c>
      <c r="K42" s="1" t="s">
        <v>296</v>
      </c>
      <c r="L42" s="1" t="s">
        <v>131</v>
      </c>
      <c r="M42" s="1" t="s">
        <v>29</v>
      </c>
      <c r="N42" s="1" t="s">
        <v>297</v>
      </c>
      <c r="O42" s="1" t="s">
        <v>101</v>
      </c>
      <c r="P42" s="1">
        <v>54915</v>
      </c>
      <c r="Q42" s="1" t="s">
        <v>32</v>
      </c>
      <c r="R42" s="1" t="s">
        <v>298</v>
      </c>
      <c r="S42" s="1" t="s">
        <v>34</v>
      </c>
      <c r="T42" s="1" t="s">
        <v>56</v>
      </c>
      <c r="U42" s="1" t="s">
        <v>299</v>
      </c>
      <c r="V42" s="3">
        <v>21.56</v>
      </c>
      <c r="W42" s="1" t="str">
        <f t="shared" si="4"/>
        <v>Fast Delivery</v>
      </c>
    </row>
    <row r="43" spans="1:23" x14ac:dyDescent="0.25">
      <c r="A43" s="1">
        <v>7296</v>
      </c>
      <c r="B43" s="2" t="s">
        <v>300</v>
      </c>
      <c r="C43" s="2">
        <v>42128</v>
      </c>
      <c r="D43" s="2">
        <v>42129</v>
      </c>
      <c r="E43" s="1">
        <f t="shared" si="1"/>
        <v>2015</v>
      </c>
      <c r="F43" s="2" t="str">
        <f t="shared" si="2"/>
        <v>May</v>
      </c>
      <c r="G43" s="1">
        <f t="shared" si="3"/>
        <v>5</v>
      </c>
      <c r="H43" s="1">
        <f t="shared" si="0"/>
        <v>1</v>
      </c>
      <c r="I43" s="1" t="s">
        <v>38</v>
      </c>
      <c r="J43" s="1" t="s">
        <v>301</v>
      </c>
      <c r="K43" s="1" t="s">
        <v>302</v>
      </c>
      <c r="L43" s="1" t="s">
        <v>28</v>
      </c>
      <c r="M43" s="1" t="s">
        <v>29</v>
      </c>
      <c r="N43" s="1" t="s">
        <v>150</v>
      </c>
      <c r="O43" s="1" t="s">
        <v>31</v>
      </c>
      <c r="P43" s="1">
        <v>77036</v>
      </c>
      <c r="Q43" s="1" t="s">
        <v>32</v>
      </c>
      <c r="R43" s="1" t="s">
        <v>303</v>
      </c>
      <c r="S43" s="1" t="s">
        <v>34</v>
      </c>
      <c r="T43" s="1" t="s">
        <v>35</v>
      </c>
      <c r="U43" s="1" t="s">
        <v>304</v>
      </c>
      <c r="V43" s="3">
        <v>37.840000000000003</v>
      </c>
      <c r="W43" s="1" t="str">
        <f t="shared" si="4"/>
        <v>Fast Delivery</v>
      </c>
    </row>
    <row r="44" spans="1:23" x14ac:dyDescent="0.25">
      <c r="A44" s="1">
        <v>1319</v>
      </c>
      <c r="B44" s="2" t="s">
        <v>305</v>
      </c>
      <c r="C44" s="2">
        <v>42186</v>
      </c>
      <c r="D44" s="2">
        <v>42190</v>
      </c>
      <c r="E44" s="1">
        <f t="shared" si="1"/>
        <v>2015</v>
      </c>
      <c r="F44" s="2" t="str">
        <f t="shared" si="2"/>
        <v>Jul</v>
      </c>
      <c r="G44" s="1">
        <f t="shared" si="3"/>
        <v>7</v>
      </c>
      <c r="H44" s="1">
        <f t="shared" si="0"/>
        <v>4</v>
      </c>
      <c r="I44" s="1" t="s">
        <v>25</v>
      </c>
      <c r="J44" s="1" t="s">
        <v>306</v>
      </c>
      <c r="K44" s="1" t="s">
        <v>307</v>
      </c>
      <c r="L44" s="1" t="s">
        <v>51</v>
      </c>
      <c r="M44" s="1" t="s">
        <v>29</v>
      </c>
      <c r="N44" s="1" t="s">
        <v>308</v>
      </c>
      <c r="O44" s="1" t="s">
        <v>190</v>
      </c>
      <c r="P44" s="1">
        <v>32725</v>
      </c>
      <c r="Q44" s="1" t="s">
        <v>54</v>
      </c>
      <c r="R44" s="1" t="s">
        <v>309</v>
      </c>
      <c r="S44" s="1" t="s">
        <v>64</v>
      </c>
      <c r="T44" s="1" t="s">
        <v>159</v>
      </c>
      <c r="U44" s="1" t="s">
        <v>310</v>
      </c>
      <c r="V44" s="3">
        <v>575.91999999999996</v>
      </c>
      <c r="W44" s="1" t="str">
        <f t="shared" si="4"/>
        <v>Slow Delivery</v>
      </c>
    </row>
    <row r="45" spans="1:23" x14ac:dyDescent="0.25">
      <c r="A45" s="1">
        <v>1356</v>
      </c>
      <c r="B45" s="2" t="s">
        <v>311</v>
      </c>
      <c r="C45" s="2">
        <v>42190</v>
      </c>
      <c r="D45" s="2">
        <v>42190</v>
      </c>
      <c r="E45" s="1">
        <f t="shared" si="1"/>
        <v>2015</v>
      </c>
      <c r="F45" s="2" t="str">
        <f t="shared" si="2"/>
        <v>Jul</v>
      </c>
      <c r="G45" s="1">
        <f t="shared" si="3"/>
        <v>7</v>
      </c>
      <c r="H45" s="1">
        <f t="shared" si="0"/>
        <v>0</v>
      </c>
      <c r="I45" s="1" t="s">
        <v>68</v>
      </c>
      <c r="J45" s="1" t="s">
        <v>312</v>
      </c>
      <c r="K45" s="1" t="s">
        <v>313</v>
      </c>
      <c r="L45" s="1" t="s">
        <v>28</v>
      </c>
      <c r="M45" s="1" t="s">
        <v>29</v>
      </c>
      <c r="N45" s="1" t="s">
        <v>150</v>
      </c>
      <c r="O45" s="1" t="s">
        <v>31</v>
      </c>
      <c r="P45" s="1">
        <v>77036</v>
      </c>
      <c r="Q45" s="1" t="s">
        <v>32</v>
      </c>
      <c r="R45" s="1" t="s">
        <v>314</v>
      </c>
      <c r="S45" s="1" t="s">
        <v>34</v>
      </c>
      <c r="T45" s="1" t="s">
        <v>270</v>
      </c>
      <c r="U45" s="1" t="s">
        <v>315</v>
      </c>
      <c r="V45" s="3">
        <v>220.77600000000001</v>
      </c>
      <c r="W45" s="1" t="str">
        <f t="shared" si="4"/>
        <v>Fast Delivery</v>
      </c>
    </row>
    <row r="46" spans="1:23" x14ac:dyDescent="0.25">
      <c r="A46" s="1">
        <v>1838</v>
      </c>
      <c r="B46" s="2" t="s">
        <v>316</v>
      </c>
      <c r="C46" s="2">
        <v>42217</v>
      </c>
      <c r="D46" s="2">
        <v>42221</v>
      </c>
      <c r="E46" s="1">
        <f t="shared" si="1"/>
        <v>2015</v>
      </c>
      <c r="F46" s="2" t="str">
        <f t="shared" si="2"/>
        <v>Aug</v>
      </c>
      <c r="G46" s="1">
        <f t="shared" si="3"/>
        <v>8</v>
      </c>
      <c r="H46" s="1">
        <f t="shared" si="0"/>
        <v>4</v>
      </c>
      <c r="I46" s="1" t="s">
        <v>25</v>
      </c>
      <c r="J46" s="1" t="s">
        <v>317</v>
      </c>
      <c r="K46" s="1" t="s">
        <v>318</v>
      </c>
      <c r="L46" s="1" t="s">
        <v>51</v>
      </c>
      <c r="M46" s="1" t="s">
        <v>29</v>
      </c>
      <c r="N46" s="1" t="s">
        <v>319</v>
      </c>
      <c r="O46" s="1" t="s">
        <v>320</v>
      </c>
      <c r="P46" s="1">
        <v>28205</v>
      </c>
      <c r="Q46" s="1" t="s">
        <v>54</v>
      </c>
      <c r="R46" s="1" t="s">
        <v>321</v>
      </c>
      <c r="S46" s="1" t="s">
        <v>34</v>
      </c>
      <c r="T46" s="1" t="s">
        <v>56</v>
      </c>
      <c r="U46" s="1" t="s">
        <v>322</v>
      </c>
      <c r="V46" s="3">
        <v>17.544</v>
      </c>
      <c r="W46" s="1" t="str">
        <f t="shared" si="4"/>
        <v>Slow Delivery</v>
      </c>
    </row>
    <row r="47" spans="1:23" x14ac:dyDescent="0.25">
      <c r="A47" s="1">
        <v>202</v>
      </c>
      <c r="B47" s="2" t="s">
        <v>323</v>
      </c>
      <c r="C47" s="2">
        <v>42219</v>
      </c>
      <c r="D47" s="2">
        <v>42221</v>
      </c>
      <c r="E47" s="1">
        <f t="shared" si="1"/>
        <v>2015</v>
      </c>
      <c r="F47" s="2" t="str">
        <f t="shared" si="2"/>
        <v>Aug</v>
      </c>
      <c r="G47" s="1">
        <f t="shared" si="3"/>
        <v>8</v>
      </c>
      <c r="H47" s="1">
        <f t="shared" si="0"/>
        <v>2</v>
      </c>
      <c r="I47" s="1" t="s">
        <v>38</v>
      </c>
      <c r="J47" s="1" t="s">
        <v>324</v>
      </c>
      <c r="K47" s="1" t="s">
        <v>325</v>
      </c>
      <c r="L47" s="1" t="s">
        <v>28</v>
      </c>
      <c r="M47" s="1" t="s">
        <v>29</v>
      </c>
      <c r="N47" s="1" t="s">
        <v>326</v>
      </c>
      <c r="O47" s="1" t="s">
        <v>327</v>
      </c>
      <c r="P47" s="1">
        <v>80219</v>
      </c>
      <c r="Q47" s="1" t="s">
        <v>107</v>
      </c>
      <c r="R47" s="1" t="s">
        <v>328</v>
      </c>
      <c r="S47" s="1" t="s">
        <v>45</v>
      </c>
      <c r="T47" s="1" t="s">
        <v>329</v>
      </c>
      <c r="U47" s="1" t="s">
        <v>330</v>
      </c>
      <c r="V47" s="3">
        <v>218.75</v>
      </c>
      <c r="W47" s="1" t="str">
        <f t="shared" si="4"/>
        <v>Fast Delivery</v>
      </c>
    </row>
    <row r="48" spans="1:23" x14ac:dyDescent="0.25">
      <c r="A48" s="1">
        <v>3156</v>
      </c>
      <c r="B48" s="2" t="s">
        <v>331</v>
      </c>
      <c r="C48" s="2">
        <v>42219</v>
      </c>
      <c r="D48" s="2">
        <v>42221</v>
      </c>
      <c r="E48" s="1">
        <f t="shared" si="1"/>
        <v>2015</v>
      </c>
      <c r="F48" s="2" t="str">
        <f t="shared" si="2"/>
        <v>Aug</v>
      </c>
      <c r="G48" s="1">
        <f t="shared" si="3"/>
        <v>8</v>
      </c>
      <c r="H48" s="1">
        <f t="shared" si="0"/>
        <v>2</v>
      </c>
      <c r="I48" s="1" t="s">
        <v>83</v>
      </c>
      <c r="J48" s="1" t="s">
        <v>332</v>
      </c>
      <c r="K48" s="1" t="s">
        <v>333</v>
      </c>
      <c r="L48" s="1" t="s">
        <v>131</v>
      </c>
      <c r="M48" s="1" t="s">
        <v>29</v>
      </c>
      <c r="N48" s="1" t="s">
        <v>242</v>
      </c>
      <c r="O48" s="1" t="s">
        <v>229</v>
      </c>
      <c r="P48" s="1">
        <v>85301</v>
      </c>
      <c r="Q48" s="1" t="s">
        <v>107</v>
      </c>
      <c r="R48" s="1" t="s">
        <v>334</v>
      </c>
      <c r="S48" s="1" t="s">
        <v>34</v>
      </c>
      <c r="T48" s="1" t="s">
        <v>174</v>
      </c>
      <c r="U48" s="1" t="s">
        <v>335</v>
      </c>
      <c r="V48" s="3">
        <v>93.024000000000001</v>
      </c>
      <c r="W48" s="1" t="str">
        <f t="shared" si="4"/>
        <v>Fast Delivery</v>
      </c>
    </row>
    <row r="49" spans="1:23" x14ac:dyDescent="0.25">
      <c r="A49" s="1">
        <v>1162</v>
      </c>
      <c r="B49" s="2" t="s">
        <v>336</v>
      </c>
      <c r="C49" s="2">
        <v>42248</v>
      </c>
      <c r="D49" s="2">
        <v>42252</v>
      </c>
      <c r="E49" s="1">
        <f t="shared" si="1"/>
        <v>2015</v>
      </c>
      <c r="F49" s="2" t="str">
        <f t="shared" si="2"/>
        <v>Sep</v>
      </c>
      <c r="G49" s="1">
        <f t="shared" si="3"/>
        <v>9</v>
      </c>
      <c r="H49" s="1">
        <f t="shared" si="0"/>
        <v>4</v>
      </c>
      <c r="I49" s="1" t="s">
        <v>83</v>
      </c>
      <c r="J49" s="1" t="s">
        <v>337</v>
      </c>
      <c r="K49" s="1" t="s">
        <v>338</v>
      </c>
      <c r="L49" s="1" t="s">
        <v>28</v>
      </c>
      <c r="M49" s="1" t="s">
        <v>29</v>
      </c>
      <c r="N49" s="1" t="s">
        <v>339</v>
      </c>
      <c r="O49" s="1" t="s">
        <v>106</v>
      </c>
      <c r="P49" s="1">
        <v>92025</v>
      </c>
      <c r="Q49" s="1" t="s">
        <v>107</v>
      </c>
      <c r="R49" s="1" t="s">
        <v>340</v>
      </c>
      <c r="S49" s="1" t="s">
        <v>34</v>
      </c>
      <c r="T49" s="1" t="s">
        <v>35</v>
      </c>
      <c r="U49" s="1" t="s">
        <v>341</v>
      </c>
      <c r="V49" s="3">
        <v>53.94</v>
      </c>
      <c r="W49" s="1" t="str">
        <f t="shared" si="4"/>
        <v>Slow Delivery</v>
      </c>
    </row>
    <row r="50" spans="1:23" x14ac:dyDescent="0.25">
      <c r="A50" s="1">
        <v>8242</v>
      </c>
      <c r="B50" s="2" t="s">
        <v>342</v>
      </c>
      <c r="C50" s="2">
        <v>42248</v>
      </c>
      <c r="D50" s="2">
        <v>42252</v>
      </c>
      <c r="E50" s="1">
        <f t="shared" si="1"/>
        <v>2015</v>
      </c>
      <c r="F50" s="2" t="str">
        <f t="shared" si="2"/>
        <v>Sep</v>
      </c>
      <c r="G50" s="1">
        <f t="shared" si="3"/>
        <v>9</v>
      </c>
      <c r="H50" s="1">
        <f t="shared" si="0"/>
        <v>4</v>
      </c>
      <c r="I50" s="1" t="s">
        <v>25</v>
      </c>
      <c r="J50" s="1" t="s">
        <v>343</v>
      </c>
      <c r="K50" s="1" t="s">
        <v>344</v>
      </c>
      <c r="L50" s="1" t="s">
        <v>28</v>
      </c>
      <c r="M50" s="1" t="s">
        <v>29</v>
      </c>
      <c r="N50" s="1" t="s">
        <v>114</v>
      </c>
      <c r="O50" s="1" t="s">
        <v>115</v>
      </c>
      <c r="P50" s="1">
        <v>10009</v>
      </c>
      <c r="Q50" s="1" t="s">
        <v>43</v>
      </c>
      <c r="R50" s="1" t="s">
        <v>345</v>
      </c>
      <c r="S50" s="1" t="s">
        <v>34</v>
      </c>
      <c r="T50" s="1" t="s">
        <v>109</v>
      </c>
      <c r="U50" s="1" t="s">
        <v>346</v>
      </c>
      <c r="V50" s="3">
        <v>23.744</v>
      </c>
      <c r="W50" s="1" t="str">
        <f t="shared" si="4"/>
        <v>Slow Delivery</v>
      </c>
    </row>
    <row r="51" spans="1:23" x14ac:dyDescent="0.25">
      <c r="A51" s="1">
        <v>2925</v>
      </c>
      <c r="B51" s="2" t="s">
        <v>347</v>
      </c>
      <c r="C51" s="2">
        <v>42249</v>
      </c>
      <c r="D51" s="2">
        <v>42252</v>
      </c>
      <c r="E51" s="1">
        <f t="shared" si="1"/>
        <v>2015</v>
      </c>
      <c r="F51" s="2" t="str">
        <f t="shared" si="2"/>
        <v>Sep</v>
      </c>
      <c r="G51" s="1">
        <f t="shared" si="3"/>
        <v>9</v>
      </c>
      <c r="H51" s="1">
        <f t="shared" si="0"/>
        <v>3</v>
      </c>
      <c r="I51" s="1" t="s">
        <v>38</v>
      </c>
      <c r="J51" s="1" t="s">
        <v>348</v>
      </c>
      <c r="K51" s="1" t="s">
        <v>349</v>
      </c>
      <c r="L51" s="1" t="s">
        <v>28</v>
      </c>
      <c r="M51" s="1" t="s">
        <v>29</v>
      </c>
      <c r="N51" s="1" t="s">
        <v>350</v>
      </c>
      <c r="O51" s="1" t="s">
        <v>115</v>
      </c>
      <c r="P51" s="1">
        <v>13601</v>
      </c>
      <c r="Q51" s="1" t="s">
        <v>43</v>
      </c>
      <c r="R51" s="1" t="s">
        <v>351</v>
      </c>
      <c r="S51" s="1" t="s">
        <v>34</v>
      </c>
      <c r="T51" s="1" t="s">
        <v>74</v>
      </c>
      <c r="U51" s="1" t="s">
        <v>352</v>
      </c>
      <c r="V51" s="3">
        <v>19.899999999999999</v>
      </c>
      <c r="W51" s="1" t="str">
        <f t="shared" si="4"/>
        <v>Fast Delivery</v>
      </c>
    </row>
    <row r="52" spans="1:23" x14ac:dyDescent="0.25">
      <c r="A52" s="1">
        <v>8706</v>
      </c>
      <c r="B52" s="2" t="s">
        <v>353</v>
      </c>
      <c r="C52" s="2">
        <v>42278</v>
      </c>
      <c r="D52" s="2">
        <v>42282</v>
      </c>
      <c r="E52" s="1">
        <f t="shared" si="1"/>
        <v>2015</v>
      </c>
      <c r="F52" s="2" t="str">
        <f t="shared" si="2"/>
        <v>Oct</v>
      </c>
      <c r="G52" s="1">
        <f t="shared" si="3"/>
        <v>10</v>
      </c>
      <c r="H52" s="1">
        <f t="shared" si="0"/>
        <v>4</v>
      </c>
      <c r="I52" s="1" t="s">
        <v>25</v>
      </c>
      <c r="J52" s="1" t="s">
        <v>354</v>
      </c>
      <c r="K52" s="1" t="s">
        <v>355</v>
      </c>
      <c r="L52" s="1" t="s">
        <v>131</v>
      </c>
      <c r="M52" s="1" t="s">
        <v>29</v>
      </c>
      <c r="N52" s="1" t="s">
        <v>356</v>
      </c>
      <c r="O52" s="1" t="s">
        <v>357</v>
      </c>
      <c r="P52" s="1">
        <v>89502</v>
      </c>
      <c r="Q52" s="1" t="s">
        <v>107</v>
      </c>
      <c r="R52" s="1" t="s">
        <v>358</v>
      </c>
      <c r="S52" s="1" t="s">
        <v>34</v>
      </c>
      <c r="T52" s="1" t="s">
        <v>231</v>
      </c>
      <c r="U52" s="1" t="s">
        <v>359</v>
      </c>
      <c r="V52" s="3">
        <v>4.71</v>
      </c>
      <c r="W52" s="1" t="str">
        <f t="shared" si="4"/>
        <v>Slow Delivery</v>
      </c>
    </row>
    <row r="53" spans="1:23" x14ac:dyDescent="0.25">
      <c r="A53" s="1">
        <v>3223</v>
      </c>
      <c r="B53" s="2" t="s">
        <v>360</v>
      </c>
      <c r="C53" s="2">
        <v>42279</v>
      </c>
      <c r="D53" s="2">
        <v>42282</v>
      </c>
      <c r="E53" s="1">
        <f t="shared" si="1"/>
        <v>2015</v>
      </c>
      <c r="F53" s="2" t="str">
        <f t="shared" si="2"/>
        <v>Oct</v>
      </c>
      <c r="G53" s="1">
        <f t="shared" si="3"/>
        <v>10</v>
      </c>
      <c r="H53" s="1">
        <f t="shared" si="0"/>
        <v>3</v>
      </c>
      <c r="I53" s="1" t="s">
        <v>38</v>
      </c>
      <c r="J53" s="1" t="s">
        <v>361</v>
      </c>
      <c r="K53" s="1" t="s">
        <v>362</v>
      </c>
      <c r="L53" s="1" t="s">
        <v>51</v>
      </c>
      <c r="M53" s="1" t="s">
        <v>29</v>
      </c>
      <c r="N53" s="1" t="s">
        <v>363</v>
      </c>
      <c r="O53" s="1" t="s">
        <v>229</v>
      </c>
      <c r="P53" s="1">
        <v>85281</v>
      </c>
      <c r="Q53" s="1" t="s">
        <v>107</v>
      </c>
      <c r="R53" s="1" t="s">
        <v>364</v>
      </c>
      <c r="S53" s="1" t="s">
        <v>34</v>
      </c>
      <c r="T53" s="1" t="s">
        <v>174</v>
      </c>
      <c r="U53" s="1" t="s">
        <v>365</v>
      </c>
      <c r="V53" s="3">
        <v>9.4079999999999995</v>
      </c>
      <c r="W53" s="1" t="str">
        <f t="shared" si="4"/>
        <v>Fast Delivery</v>
      </c>
    </row>
    <row r="54" spans="1:23" x14ac:dyDescent="0.25">
      <c r="A54" s="1">
        <v>2832</v>
      </c>
      <c r="B54" s="2" t="s">
        <v>366</v>
      </c>
      <c r="C54" s="2">
        <v>42309</v>
      </c>
      <c r="D54" s="2">
        <v>42313</v>
      </c>
      <c r="E54" s="1">
        <f t="shared" si="1"/>
        <v>2015</v>
      </c>
      <c r="F54" s="2" t="str">
        <f t="shared" si="2"/>
        <v>Nov</v>
      </c>
      <c r="G54" s="1">
        <f t="shared" si="3"/>
        <v>11</v>
      </c>
      <c r="H54" s="1">
        <f t="shared" si="0"/>
        <v>4</v>
      </c>
      <c r="I54" s="1" t="s">
        <v>25</v>
      </c>
      <c r="J54" s="1" t="s">
        <v>367</v>
      </c>
      <c r="K54" s="1" t="s">
        <v>368</v>
      </c>
      <c r="L54" s="1" t="s">
        <v>28</v>
      </c>
      <c r="M54" s="1" t="s">
        <v>29</v>
      </c>
      <c r="N54" s="1" t="s">
        <v>369</v>
      </c>
      <c r="O54" s="1" t="s">
        <v>370</v>
      </c>
      <c r="P54" s="1">
        <v>97206</v>
      </c>
      <c r="Q54" s="1" t="s">
        <v>107</v>
      </c>
      <c r="R54" s="1" t="s">
        <v>371</v>
      </c>
      <c r="S54" s="1" t="s">
        <v>34</v>
      </c>
      <c r="T54" s="1" t="s">
        <v>270</v>
      </c>
      <c r="U54" s="1" t="s">
        <v>372</v>
      </c>
      <c r="V54" s="3">
        <v>443.92</v>
      </c>
      <c r="W54" s="1" t="str">
        <f t="shared" si="4"/>
        <v>Slow Delivery</v>
      </c>
    </row>
    <row r="55" spans="1:23" x14ac:dyDescent="0.25">
      <c r="A55" s="1">
        <v>4066</v>
      </c>
      <c r="B55" s="2" t="s">
        <v>373</v>
      </c>
      <c r="C55" s="2">
        <v>42309</v>
      </c>
      <c r="D55" s="2">
        <v>42313</v>
      </c>
      <c r="E55" s="1">
        <f t="shared" si="1"/>
        <v>2015</v>
      </c>
      <c r="F55" s="2" t="str">
        <f t="shared" si="2"/>
        <v>Nov</v>
      </c>
      <c r="G55" s="1">
        <f t="shared" si="3"/>
        <v>11</v>
      </c>
      <c r="H55" s="1">
        <f t="shared" si="0"/>
        <v>4</v>
      </c>
      <c r="I55" s="1" t="s">
        <v>25</v>
      </c>
      <c r="J55" s="1" t="s">
        <v>374</v>
      </c>
      <c r="K55" s="1" t="s">
        <v>375</v>
      </c>
      <c r="L55" s="1" t="s">
        <v>51</v>
      </c>
      <c r="M55" s="1" t="s">
        <v>29</v>
      </c>
      <c r="N55" s="1" t="s">
        <v>319</v>
      </c>
      <c r="O55" s="1" t="s">
        <v>320</v>
      </c>
      <c r="P55" s="1">
        <v>28205</v>
      </c>
      <c r="Q55" s="1" t="s">
        <v>54</v>
      </c>
      <c r="R55" s="1" t="s">
        <v>376</v>
      </c>
      <c r="S55" s="1" t="s">
        <v>34</v>
      </c>
      <c r="T55" s="1" t="s">
        <v>231</v>
      </c>
      <c r="U55" s="1" t="s">
        <v>377</v>
      </c>
      <c r="V55" s="3">
        <v>7.52</v>
      </c>
      <c r="W55" s="1" t="str">
        <f t="shared" si="4"/>
        <v>Slow Delivery</v>
      </c>
    </row>
    <row r="56" spans="1:23" x14ac:dyDescent="0.25">
      <c r="A56" s="1">
        <v>7559</v>
      </c>
      <c r="B56" s="2" t="s">
        <v>378</v>
      </c>
      <c r="C56" s="2">
        <v>42309</v>
      </c>
      <c r="D56" s="2">
        <v>42313</v>
      </c>
      <c r="E56" s="1">
        <f t="shared" si="1"/>
        <v>2015</v>
      </c>
      <c r="F56" s="2" t="str">
        <f t="shared" si="2"/>
        <v>Nov</v>
      </c>
      <c r="G56" s="1">
        <f t="shared" si="3"/>
        <v>11</v>
      </c>
      <c r="H56" s="1">
        <f t="shared" si="0"/>
        <v>4</v>
      </c>
      <c r="I56" s="1" t="s">
        <v>25</v>
      </c>
      <c r="J56" s="1" t="s">
        <v>379</v>
      </c>
      <c r="K56" s="1" t="s">
        <v>380</v>
      </c>
      <c r="L56" s="1" t="s">
        <v>28</v>
      </c>
      <c r="M56" s="1" t="s">
        <v>29</v>
      </c>
      <c r="N56" s="1" t="s">
        <v>381</v>
      </c>
      <c r="O56" s="1" t="s">
        <v>115</v>
      </c>
      <c r="P56" s="1">
        <v>11561</v>
      </c>
      <c r="Q56" s="1" t="s">
        <v>43</v>
      </c>
      <c r="R56" s="1" t="s">
        <v>382</v>
      </c>
      <c r="S56" s="1" t="s">
        <v>34</v>
      </c>
      <c r="T56" s="1" t="s">
        <v>74</v>
      </c>
      <c r="U56" s="1" t="s">
        <v>383</v>
      </c>
      <c r="V56" s="3">
        <v>533.94000000000005</v>
      </c>
      <c r="W56" s="1" t="str">
        <f t="shared" si="4"/>
        <v>Slow Delivery</v>
      </c>
    </row>
    <row r="57" spans="1:23" x14ac:dyDescent="0.25">
      <c r="A57" s="1">
        <v>8389</v>
      </c>
      <c r="B57" s="2" t="s">
        <v>384</v>
      </c>
      <c r="C57" s="2">
        <v>42309</v>
      </c>
      <c r="D57" s="2">
        <v>42313</v>
      </c>
      <c r="E57" s="1">
        <f t="shared" si="1"/>
        <v>2015</v>
      </c>
      <c r="F57" s="2" t="str">
        <f t="shared" si="2"/>
        <v>Nov</v>
      </c>
      <c r="G57" s="1">
        <f t="shared" si="3"/>
        <v>11</v>
      </c>
      <c r="H57" s="1">
        <f t="shared" si="0"/>
        <v>4</v>
      </c>
      <c r="I57" s="1" t="s">
        <v>25</v>
      </c>
      <c r="J57" s="1" t="s">
        <v>385</v>
      </c>
      <c r="K57" s="1" t="s">
        <v>386</v>
      </c>
      <c r="L57" s="1" t="s">
        <v>51</v>
      </c>
      <c r="M57" s="1" t="s">
        <v>29</v>
      </c>
      <c r="N57" s="1" t="s">
        <v>387</v>
      </c>
      <c r="O57" s="1" t="s">
        <v>388</v>
      </c>
      <c r="P57" s="1">
        <v>7050</v>
      </c>
      <c r="Q57" s="1" t="s">
        <v>43</v>
      </c>
      <c r="R57" s="1" t="s">
        <v>389</v>
      </c>
      <c r="S57" s="1" t="s">
        <v>34</v>
      </c>
      <c r="T57" s="1" t="s">
        <v>74</v>
      </c>
      <c r="U57" s="1" t="s">
        <v>390</v>
      </c>
      <c r="V57" s="3">
        <v>76.12</v>
      </c>
      <c r="W57" s="1" t="str">
        <f t="shared" si="4"/>
        <v>Slow Delivery</v>
      </c>
    </row>
    <row r="58" spans="1:23" x14ac:dyDescent="0.25">
      <c r="A58" s="1">
        <v>8979</v>
      </c>
      <c r="B58" s="2" t="s">
        <v>391</v>
      </c>
      <c r="C58" s="2">
        <v>42311</v>
      </c>
      <c r="D58" s="2">
        <v>42313</v>
      </c>
      <c r="E58" s="1">
        <f t="shared" si="1"/>
        <v>2015</v>
      </c>
      <c r="F58" s="2" t="str">
        <f t="shared" si="2"/>
        <v>Nov</v>
      </c>
      <c r="G58" s="1">
        <f t="shared" si="3"/>
        <v>11</v>
      </c>
      <c r="H58" s="1">
        <f t="shared" si="0"/>
        <v>2</v>
      </c>
      <c r="I58" s="1" t="s">
        <v>83</v>
      </c>
      <c r="J58" s="1" t="s">
        <v>392</v>
      </c>
      <c r="K58" s="1" t="s">
        <v>393</v>
      </c>
      <c r="L58" s="1" t="s">
        <v>51</v>
      </c>
      <c r="M58" s="1" t="s">
        <v>29</v>
      </c>
      <c r="N58" s="1" t="s">
        <v>387</v>
      </c>
      <c r="O58" s="1" t="s">
        <v>388</v>
      </c>
      <c r="P58" s="1">
        <v>7050</v>
      </c>
      <c r="Q58" s="1" t="s">
        <v>43</v>
      </c>
      <c r="R58" s="1" t="s">
        <v>394</v>
      </c>
      <c r="S58" s="1" t="s">
        <v>34</v>
      </c>
      <c r="T58" s="1" t="s">
        <v>109</v>
      </c>
      <c r="U58" s="1" t="s">
        <v>395</v>
      </c>
      <c r="V58" s="3">
        <v>5.76</v>
      </c>
      <c r="W58" s="1" t="str">
        <f t="shared" si="4"/>
        <v>Fast Delivery</v>
      </c>
    </row>
    <row r="59" spans="1:23" x14ac:dyDescent="0.25">
      <c r="A59" s="1">
        <v>9787</v>
      </c>
      <c r="B59" s="2" t="s">
        <v>396</v>
      </c>
      <c r="C59" s="2">
        <v>42313</v>
      </c>
      <c r="D59" s="2">
        <v>42313</v>
      </c>
      <c r="E59" s="1">
        <f t="shared" si="1"/>
        <v>2015</v>
      </c>
      <c r="F59" s="2" t="str">
        <f t="shared" si="2"/>
        <v>Nov</v>
      </c>
      <c r="G59" s="1">
        <f t="shared" si="3"/>
        <v>11</v>
      </c>
      <c r="H59" s="1">
        <f t="shared" si="0"/>
        <v>0</v>
      </c>
      <c r="I59" s="1" t="s">
        <v>68</v>
      </c>
      <c r="J59" s="1" t="s">
        <v>397</v>
      </c>
      <c r="K59" s="1" t="s">
        <v>398</v>
      </c>
      <c r="L59" s="1" t="s">
        <v>28</v>
      </c>
      <c r="M59" s="1" t="s">
        <v>29</v>
      </c>
      <c r="N59" s="1" t="s">
        <v>399</v>
      </c>
      <c r="O59" s="1" t="s">
        <v>53</v>
      </c>
      <c r="P59" s="1">
        <v>23666</v>
      </c>
      <c r="Q59" s="1" t="s">
        <v>54</v>
      </c>
      <c r="R59" s="1" t="s">
        <v>400</v>
      </c>
      <c r="S59" s="1" t="s">
        <v>45</v>
      </c>
      <c r="T59" s="1" t="s">
        <v>89</v>
      </c>
      <c r="U59" s="1" t="s">
        <v>401</v>
      </c>
      <c r="V59" s="3">
        <v>149.9</v>
      </c>
      <c r="W59" s="1" t="str">
        <f t="shared" si="4"/>
        <v>Fast Delivery</v>
      </c>
    </row>
    <row r="60" spans="1:23" x14ac:dyDescent="0.25">
      <c r="A60" s="1">
        <v>2076</v>
      </c>
      <c r="B60" s="2" t="s">
        <v>402</v>
      </c>
      <c r="C60" s="2">
        <v>42339</v>
      </c>
      <c r="D60" s="2">
        <v>42343</v>
      </c>
      <c r="E60" s="1">
        <f t="shared" si="1"/>
        <v>2015</v>
      </c>
      <c r="F60" s="2" t="str">
        <f t="shared" si="2"/>
        <v>Dec</v>
      </c>
      <c r="G60" s="1">
        <f t="shared" si="3"/>
        <v>12</v>
      </c>
      <c r="H60" s="1">
        <f t="shared" si="0"/>
        <v>4</v>
      </c>
      <c r="I60" s="1" t="s">
        <v>25</v>
      </c>
      <c r="J60" s="1" t="s">
        <v>403</v>
      </c>
      <c r="K60" s="1" t="s">
        <v>404</v>
      </c>
      <c r="L60" s="1" t="s">
        <v>28</v>
      </c>
      <c r="M60" s="1" t="s">
        <v>29</v>
      </c>
      <c r="N60" s="1" t="s">
        <v>105</v>
      </c>
      <c r="O60" s="1" t="s">
        <v>106</v>
      </c>
      <c r="P60" s="1">
        <v>94122</v>
      </c>
      <c r="Q60" s="1" t="s">
        <v>107</v>
      </c>
      <c r="R60" s="1" t="s">
        <v>405</v>
      </c>
      <c r="S60" s="1" t="s">
        <v>45</v>
      </c>
      <c r="T60" s="1" t="s">
        <v>46</v>
      </c>
      <c r="U60" s="1" t="s">
        <v>406</v>
      </c>
      <c r="V60" s="3">
        <v>58.2</v>
      </c>
      <c r="W60" s="1" t="str">
        <f t="shared" si="4"/>
        <v>Slow Delivery</v>
      </c>
    </row>
    <row r="61" spans="1:23" x14ac:dyDescent="0.25">
      <c r="A61" s="1">
        <v>7555</v>
      </c>
      <c r="B61" s="2" t="s">
        <v>407</v>
      </c>
      <c r="C61" s="2">
        <v>42134</v>
      </c>
      <c r="D61" s="2">
        <v>42138</v>
      </c>
      <c r="E61" s="1">
        <f t="shared" si="1"/>
        <v>2015</v>
      </c>
      <c r="F61" s="2" t="str">
        <f t="shared" si="2"/>
        <v>May</v>
      </c>
      <c r="G61" s="1">
        <f t="shared" si="3"/>
        <v>5</v>
      </c>
      <c r="H61" s="1">
        <f t="shared" si="0"/>
        <v>4</v>
      </c>
      <c r="I61" s="1" t="s">
        <v>83</v>
      </c>
      <c r="J61" s="1" t="s">
        <v>408</v>
      </c>
      <c r="K61" s="1" t="s">
        <v>409</v>
      </c>
      <c r="L61" s="1" t="s">
        <v>28</v>
      </c>
      <c r="M61" s="1" t="s">
        <v>29</v>
      </c>
      <c r="N61" s="1" t="s">
        <v>410</v>
      </c>
      <c r="O61" s="1" t="s">
        <v>411</v>
      </c>
      <c r="P61" s="1">
        <v>19134</v>
      </c>
      <c r="Q61" s="1" t="s">
        <v>43</v>
      </c>
      <c r="R61" s="1" t="s">
        <v>412</v>
      </c>
      <c r="S61" s="1" t="s">
        <v>45</v>
      </c>
      <c r="T61" s="1" t="s">
        <v>413</v>
      </c>
      <c r="U61" s="1" t="s">
        <v>414</v>
      </c>
      <c r="V61" s="3">
        <v>349.96499999999997</v>
      </c>
      <c r="W61" s="1" t="str">
        <f t="shared" si="4"/>
        <v>Slow Delivery</v>
      </c>
    </row>
    <row r="62" spans="1:23" x14ac:dyDescent="0.25">
      <c r="A62" s="1">
        <v>825</v>
      </c>
      <c r="B62" s="2" t="s">
        <v>415</v>
      </c>
      <c r="C62" s="2">
        <v>42133</v>
      </c>
      <c r="D62" s="2">
        <v>42139</v>
      </c>
      <c r="E62" s="1">
        <f t="shared" si="1"/>
        <v>2015</v>
      </c>
      <c r="F62" s="2" t="str">
        <f t="shared" si="2"/>
        <v>May</v>
      </c>
      <c r="G62" s="1">
        <f t="shared" si="3"/>
        <v>5</v>
      </c>
      <c r="H62" s="1">
        <f t="shared" si="0"/>
        <v>6</v>
      </c>
      <c r="I62" s="1" t="s">
        <v>25</v>
      </c>
      <c r="J62" s="1" t="s">
        <v>416</v>
      </c>
      <c r="K62" s="1" t="s">
        <v>417</v>
      </c>
      <c r="L62" s="1" t="s">
        <v>28</v>
      </c>
      <c r="M62" s="1" t="s">
        <v>29</v>
      </c>
      <c r="N62" s="1" t="s">
        <v>105</v>
      </c>
      <c r="O62" s="1" t="s">
        <v>106</v>
      </c>
      <c r="P62" s="1">
        <v>94110</v>
      </c>
      <c r="Q62" s="1" t="s">
        <v>107</v>
      </c>
      <c r="R62" s="1" t="s">
        <v>418</v>
      </c>
      <c r="S62" s="1" t="s">
        <v>64</v>
      </c>
      <c r="T62" s="1" t="s">
        <v>65</v>
      </c>
      <c r="U62" s="1" t="s">
        <v>419</v>
      </c>
      <c r="V62" s="3">
        <v>67.8</v>
      </c>
      <c r="W62" s="1" t="str">
        <f t="shared" si="4"/>
        <v>Slow Delivery</v>
      </c>
    </row>
    <row r="63" spans="1:23" x14ac:dyDescent="0.25">
      <c r="A63" s="1">
        <v>5197</v>
      </c>
      <c r="B63" s="2" t="s">
        <v>420</v>
      </c>
      <c r="C63" s="2">
        <v>42134</v>
      </c>
      <c r="D63" s="2">
        <v>42139</v>
      </c>
      <c r="E63" s="1">
        <f t="shared" si="1"/>
        <v>2015</v>
      </c>
      <c r="F63" s="2" t="str">
        <f t="shared" si="2"/>
        <v>May</v>
      </c>
      <c r="G63" s="1">
        <f t="shared" si="3"/>
        <v>5</v>
      </c>
      <c r="H63" s="1">
        <f t="shared" si="0"/>
        <v>5</v>
      </c>
      <c r="I63" s="1" t="s">
        <v>25</v>
      </c>
      <c r="J63" s="1" t="s">
        <v>421</v>
      </c>
      <c r="K63" s="1" t="s">
        <v>422</v>
      </c>
      <c r="L63" s="1" t="s">
        <v>28</v>
      </c>
      <c r="M63" s="1" t="s">
        <v>29</v>
      </c>
      <c r="N63" s="1" t="s">
        <v>423</v>
      </c>
      <c r="O63" s="1" t="s">
        <v>424</v>
      </c>
      <c r="P63" s="1">
        <v>98031</v>
      </c>
      <c r="Q63" s="1" t="s">
        <v>107</v>
      </c>
      <c r="R63" s="1" t="s">
        <v>425</v>
      </c>
      <c r="S63" s="1" t="s">
        <v>34</v>
      </c>
      <c r="T63" s="1" t="s">
        <v>426</v>
      </c>
      <c r="U63" s="1" t="s">
        <v>427</v>
      </c>
      <c r="V63" s="3">
        <v>158.13</v>
      </c>
      <c r="W63" s="1" t="str">
        <f t="shared" si="4"/>
        <v>Slow Delivery</v>
      </c>
    </row>
    <row r="64" spans="1:23" x14ac:dyDescent="0.25">
      <c r="A64" s="1">
        <v>9197</v>
      </c>
      <c r="B64" s="2" t="s">
        <v>428</v>
      </c>
      <c r="C64" s="2">
        <v>42134</v>
      </c>
      <c r="D64" s="2">
        <v>42139</v>
      </c>
      <c r="E64" s="1">
        <f t="shared" si="1"/>
        <v>2015</v>
      </c>
      <c r="F64" s="2" t="str">
        <f t="shared" si="2"/>
        <v>May</v>
      </c>
      <c r="G64" s="1">
        <f t="shared" si="3"/>
        <v>5</v>
      </c>
      <c r="H64" s="1">
        <f t="shared" si="0"/>
        <v>5</v>
      </c>
      <c r="I64" s="1" t="s">
        <v>25</v>
      </c>
      <c r="J64" s="1" t="s">
        <v>429</v>
      </c>
      <c r="K64" s="1" t="s">
        <v>430</v>
      </c>
      <c r="L64" s="1" t="s">
        <v>28</v>
      </c>
      <c r="M64" s="1" t="s">
        <v>29</v>
      </c>
      <c r="N64" s="1" t="s">
        <v>431</v>
      </c>
      <c r="O64" s="1" t="s">
        <v>106</v>
      </c>
      <c r="P64" s="1">
        <v>95123</v>
      </c>
      <c r="Q64" s="1" t="s">
        <v>107</v>
      </c>
      <c r="R64" s="1" t="s">
        <v>432</v>
      </c>
      <c r="S64" s="1" t="s">
        <v>34</v>
      </c>
      <c r="T64" s="1" t="s">
        <v>174</v>
      </c>
      <c r="U64" s="1" t="s">
        <v>433</v>
      </c>
      <c r="V64" s="3">
        <v>39.96</v>
      </c>
      <c r="W64" s="1" t="str">
        <f t="shared" si="4"/>
        <v>Slow Delivery</v>
      </c>
    </row>
    <row r="65" spans="1:23" x14ac:dyDescent="0.25">
      <c r="A65" s="1">
        <v>9590</v>
      </c>
      <c r="B65" s="2" t="s">
        <v>434</v>
      </c>
      <c r="C65" s="2">
        <v>42135</v>
      </c>
      <c r="D65" s="2">
        <v>42139</v>
      </c>
      <c r="E65" s="1">
        <f t="shared" si="1"/>
        <v>2015</v>
      </c>
      <c r="F65" s="2" t="str">
        <f t="shared" si="2"/>
        <v>May</v>
      </c>
      <c r="G65" s="1">
        <f t="shared" si="3"/>
        <v>5</v>
      </c>
      <c r="H65" s="1">
        <f t="shared" si="0"/>
        <v>4</v>
      </c>
      <c r="I65" s="1" t="s">
        <v>25</v>
      </c>
      <c r="J65" s="1" t="s">
        <v>435</v>
      </c>
      <c r="K65" s="1" t="s">
        <v>436</v>
      </c>
      <c r="L65" s="1" t="s">
        <v>131</v>
      </c>
      <c r="M65" s="1" t="s">
        <v>29</v>
      </c>
      <c r="N65" s="1" t="s">
        <v>221</v>
      </c>
      <c r="O65" s="1" t="s">
        <v>222</v>
      </c>
      <c r="P65" s="1">
        <v>60610</v>
      </c>
      <c r="Q65" s="1" t="s">
        <v>32</v>
      </c>
      <c r="R65" s="1" t="s">
        <v>437</v>
      </c>
      <c r="S65" s="1" t="s">
        <v>34</v>
      </c>
      <c r="T65" s="1" t="s">
        <v>174</v>
      </c>
      <c r="U65" s="1" t="s">
        <v>438</v>
      </c>
      <c r="V65" s="3">
        <v>17.472000000000001</v>
      </c>
      <c r="W65" s="1" t="str">
        <f t="shared" si="4"/>
        <v>Slow Delivery</v>
      </c>
    </row>
    <row r="66" spans="1:23" x14ac:dyDescent="0.25">
      <c r="A66" s="1">
        <v>1658</v>
      </c>
      <c r="B66" s="2" t="s">
        <v>439</v>
      </c>
      <c r="C66" s="2">
        <v>42136</v>
      </c>
      <c r="D66" s="2">
        <v>42139</v>
      </c>
      <c r="E66" s="1">
        <f t="shared" si="1"/>
        <v>2015</v>
      </c>
      <c r="F66" s="2" t="str">
        <f t="shared" si="2"/>
        <v>May</v>
      </c>
      <c r="G66" s="1">
        <f t="shared" si="3"/>
        <v>5</v>
      </c>
      <c r="H66" s="1">
        <f t="shared" ref="H66:H129" si="5">D66-C66</f>
        <v>3</v>
      </c>
      <c r="I66" s="1" t="s">
        <v>38</v>
      </c>
      <c r="J66" s="1" t="s">
        <v>440</v>
      </c>
      <c r="K66" s="1" t="s">
        <v>441</v>
      </c>
      <c r="L66" s="1" t="s">
        <v>28</v>
      </c>
      <c r="M66" s="1" t="s">
        <v>29</v>
      </c>
      <c r="N66" s="1" t="s">
        <v>442</v>
      </c>
      <c r="O66" s="1" t="s">
        <v>101</v>
      </c>
      <c r="P66" s="1">
        <v>53209</v>
      </c>
      <c r="Q66" s="1" t="s">
        <v>32</v>
      </c>
      <c r="R66" s="1" t="s">
        <v>44</v>
      </c>
      <c r="S66" s="1" t="s">
        <v>45</v>
      </c>
      <c r="T66" s="1" t="s">
        <v>46</v>
      </c>
      <c r="U66" s="1" t="s">
        <v>47</v>
      </c>
      <c r="V66" s="3">
        <v>34.79</v>
      </c>
      <c r="W66" s="1" t="str">
        <f t="shared" si="4"/>
        <v>Fast Delivery</v>
      </c>
    </row>
    <row r="67" spans="1:23" x14ac:dyDescent="0.25">
      <c r="A67" s="1">
        <v>18</v>
      </c>
      <c r="B67" s="2" t="s">
        <v>443</v>
      </c>
      <c r="C67" s="2">
        <v>42137</v>
      </c>
      <c r="D67" s="2">
        <v>42139</v>
      </c>
      <c r="E67" s="1">
        <f t="shared" ref="E67:E130" si="6">YEAR(C67)</f>
        <v>2015</v>
      </c>
      <c r="F67" s="2" t="str">
        <f t="shared" ref="F67:F130" si="7">TEXT(C67,"mmm")</f>
        <v>May</v>
      </c>
      <c r="G67" s="1">
        <f t="shared" ref="G67:G130" si="8">MONTH(C67)</f>
        <v>5</v>
      </c>
      <c r="H67" s="1">
        <f t="shared" si="5"/>
        <v>2</v>
      </c>
      <c r="I67" s="1" t="s">
        <v>83</v>
      </c>
      <c r="J67" s="1" t="s">
        <v>444</v>
      </c>
      <c r="K67" s="1" t="s">
        <v>445</v>
      </c>
      <c r="L67" s="1" t="s">
        <v>28</v>
      </c>
      <c r="M67" s="1" t="s">
        <v>29</v>
      </c>
      <c r="N67" s="1" t="s">
        <v>446</v>
      </c>
      <c r="O67" s="1" t="s">
        <v>447</v>
      </c>
      <c r="P67" s="1">
        <v>84084</v>
      </c>
      <c r="Q67" s="1" t="s">
        <v>107</v>
      </c>
      <c r="R67" s="1" t="s">
        <v>448</v>
      </c>
      <c r="S67" s="1" t="s">
        <v>34</v>
      </c>
      <c r="T67" s="1" t="s">
        <v>270</v>
      </c>
      <c r="U67" s="1" t="s">
        <v>449</v>
      </c>
      <c r="V67" s="3">
        <v>55.5</v>
      </c>
      <c r="W67" s="1" t="str">
        <f t="shared" ref="W67:W130" si="9">IF(H67&lt;=3,"Fast Delivery","Slow Delivery")</f>
        <v>Fast Delivery</v>
      </c>
    </row>
    <row r="68" spans="1:23" x14ac:dyDescent="0.25">
      <c r="A68" s="1">
        <v>544</v>
      </c>
      <c r="B68" s="2" t="s">
        <v>450</v>
      </c>
      <c r="C68" s="2">
        <v>42135</v>
      </c>
      <c r="D68" s="2">
        <v>42140</v>
      </c>
      <c r="E68" s="1">
        <f t="shared" si="6"/>
        <v>2015</v>
      </c>
      <c r="F68" s="2" t="str">
        <f t="shared" si="7"/>
        <v>May</v>
      </c>
      <c r="G68" s="1">
        <f t="shared" si="8"/>
        <v>5</v>
      </c>
      <c r="H68" s="1">
        <f t="shared" si="5"/>
        <v>5</v>
      </c>
      <c r="I68" s="1" t="s">
        <v>25</v>
      </c>
      <c r="J68" s="1" t="s">
        <v>451</v>
      </c>
      <c r="K68" s="1" t="s">
        <v>452</v>
      </c>
      <c r="L68" s="1" t="s">
        <v>28</v>
      </c>
      <c r="M68" s="1" t="s">
        <v>29</v>
      </c>
      <c r="N68" s="1" t="s">
        <v>453</v>
      </c>
      <c r="O68" s="1" t="s">
        <v>31</v>
      </c>
      <c r="P68" s="1">
        <v>76106</v>
      </c>
      <c r="Q68" s="1" t="s">
        <v>32</v>
      </c>
      <c r="R68" s="1" t="s">
        <v>454</v>
      </c>
      <c r="S68" s="1" t="s">
        <v>64</v>
      </c>
      <c r="T68" s="1" t="s">
        <v>65</v>
      </c>
      <c r="U68" s="1" t="s">
        <v>455</v>
      </c>
      <c r="V68" s="3">
        <v>58.112000000000002</v>
      </c>
      <c r="W68" s="1" t="str">
        <f t="shared" si="9"/>
        <v>Slow Delivery</v>
      </c>
    </row>
    <row r="69" spans="1:23" x14ac:dyDescent="0.25">
      <c r="A69" s="1">
        <v>9429</v>
      </c>
      <c r="B69" s="2" t="s">
        <v>456</v>
      </c>
      <c r="C69" s="2">
        <v>42135</v>
      </c>
      <c r="D69" s="2">
        <v>42140</v>
      </c>
      <c r="E69" s="1">
        <f t="shared" si="6"/>
        <v>2015</v>
      </c>
      <c r="F69" s="2" t="str">
        <f t="shared" si="7"/>
        <v>May</v>
      </c>
      <c r="G69" s="1">
        <f t="shared" si="8"/>
        <v>5</v>
      </c>
      <c r="H69" s="1">
        <f t="shared" si="5"/>
        <v>5</v>
      </c>
      <c r="I69" s="1" t="s">
        <v>25</v>
      </c>
      <c r="J69" s="1" t="s">
        <v>457</v>
      </c>
      <c r="K69" s="1" t="s">
        <v>458</v>
      </c>
      <c r="L69" s="1" t="s">
        <v>51</v>
      </c>
      <c r="M69" s="1" t="s">
        <v>29</v>
      </c>
      <c r="N69" s="1" t="s">
        <v>459</v>
      </c>
      <c r="O69" s="1" t="s">
        <v>31</v>
      </c>
      <c r="P69" s="1">
        <v>77340</v>
      </c>
      <c r="Q69" s="1" t="s">
        <v>32</v>
      </c>
      <c r="R69" s="1" t="s">
        <v>460</v>
      </c>
      <c r="S69" s="1" t="s">
        <v>45</v>
      </c>
      <c r="T69" s="1" t="s">
        <v>89</v>
      </c>
      <c r="U69" s="1" t="s">
        <v>461</v>
      </c>
      <c r="V69" s="3">
        <v>1212.96</v>
      </c>
      <c r="W69" s="1" t="str">
        <f t="shared" si="9"/>
        <v>Slow Delivery</v>
      </c>
    </row>
    <row r="70" spans="1:23" x14ac:dyDescent="0.25">
      <c r="A70" s="1">
        <v>1759</v>
      </c>
      <c r="B70" s="2" t="s">
        <v>462</v>
      </c>
      <c r="C70" s="2">
        <v>42135</v>
      </c>
      <c r="D70" s="2">
        <v>42141</v>
      </c>
      <c r="E70" s="1">
        <f t="shared" si="6"/>
        <v>2015</v>
      </c>
      <c r="F70" s="2" t="str">
        <f t="shared" si="7"/>
        <v>May</v>
      </c>
      <c r="G70" s="1">
        <f t="shared" si="8"/>
        <v>5</v>
      </c>
      <c r="H70" s="1">
        <f t="shared" si="5"/>
        <v>6</v>
      </c>
      <c r="I70" s="1" t="s">
        <v>25</v>
      </c>
      <c r="J70" s="1" t="s">
        <v>463</v>
      </c>
      <c r="K70" s="1" t="s">
        <v>464</v>
      </c>
      <c r="L70" s="1" t="s">
        <v>28</v>
      </c>
      <c r="M70" s="1" t="s">
        <v>29</v>
      </c>
      <c r="N70" s="1" t="s">
        <v>150</v>
      </c>
      <c r="O70" s="1" t="s">
        <v>31</v>
      </c>
      <c r="P70" s="1">
        <v>77095</v>
      </c>
      <c r="Q70" s="1" t="s">
        <v>32</v>
      </c>
      <c r="R70" s="1" t="s">
        <v>465</v>
      </c>
      <c r="S70" s="1" t="s">
        <v>64</v>
      </c>
      <c r="T70" s="1" t="s">
        <v>65</v>
      </c>
      <c r="U70" s="1" t="s">
        <v>466</v>
      </c>
      <c r="V70" s="3">
        <v>46.863999999999997</v>
      </c>
      <c r="W70" s="1" t="str">
        <f t="shared" si="9"/>
        <v>Slow Delivery</v>
      </c>
    </row>
    <row r="71" spans="1:23" x14ac:dyDescent="0.25">
      <c r="A71" s="1">
        <v>4125</v>
      </c>
      <c r="B71" s="2" t="s">
        <v>467</v>
      </c>
      <c r="C71" s="2">
        <v>42135</v>
      </c>
      <c r="D71" s="2">
        <v>42142</v>
      </c>
      <c r="E71" s="1">
        <f t="shared" si="6"/>
        <v>2015</v>
      </c>
      <c r="F71" s="2" t="str">
        <f t="shared" si="7"/>
        <v>May</v>
      </c>
      <c r="G71" s="1">
        <f t="shared" si="8"/>
        <v>5</v>
      </c>
      <c r="H71" s="1">
        <f t="shared" si="5"/>
        <v>7</v>
      </c>
      <c r="I71" s="1" t="s">
        <v>25</v>
      </c>
      <c r="J71" s="1" t="s">
        <v>468</v>
      </c>
      <c r="K71" s="1" t="s">
        <v>469</v>
      </c>
      <c r="L71" s="1" t="s">
        <v>51</v>
      </c>
      <c r="M71" s="1" t="s">
        <v>29</v>
      </c>
      <c r="N71" s="1" t="s">
        <v>350</v>
      </c>
      <c r="O71" s="1" t="s">
        <v>115</v>
      </c>
      <c r="P71" s="1">
        <v>13601</v>
      </c>
      <c r="Q71" s="1" t="s">
        <v>43</v>
      </c>
      <c r="R71" s="1" t="s">
        <v>223</v>
      </c>
      <c r="S71" s="1" t="s">
        <v>34</v>
      </c>
      <c r="T71" s="1" t="s">
        <v>74</v>
      </c>
      <c r="U71" s="1" t="s">
        <v>224</v>
      </c>
      <c r="V71" s="3">
        <v>35.909999999999997</v>
      </c>
      <c r="W71" s="1" t="str">
        <f t="shared" si="9"/>
        <v>Slow Delivery</v>
      </c>
    </row>
    <row r="72" spans="1:23" x14ac:dyDescent="0.25">
      <c r="A72" s="1">
        <v>5355</v>
      </c>
      <c r="B72" s="2" t="s">
        <v>470</v>
      </c>
      <c r="C72" s="2">
        <v>42137</v>
      </c>
      <c r="D72" s="2">
        <v>42143</v>
      </c>
      <c r="E72" s="1">
        <f t="shared" si="6"/>
        <v>2015</v>
      </c>
      <c r="F72" s="2" t="str">
        <f t="shared" si="7"/>
        <v>May</v>
      </c>
      <c r="G72" s="1">
        <f t="shared" si="8"/>
        <v>5</v>
      </c>
      <c r="H72" s="1">
        <f t="shared" si="5"/>
        <v>6</v>
      </c>
      <c r="I72" s="1" t="s">
        <v>25</v>
      </c>
      <c r="J72" s="1" t="s">
        <v>471</v>
      </c>
      <c r="K72" s="1" t="s">
        <v>472</v>
      </c>
      <c r="L72" s="1" t="s">
        <v>51</v>
      </c>
      <c r="M72" s="1" t="s">
        <v>29</v>
      </c>
      <c r="N72" s="1" t="s">
        <v>132</v>
      </c>
      <c r="O72" s="1" t="s">
        <v>106</v>
      </c>
      <c r="P72" s="1">
        <v>90004</v>
      </c>
      <c r="Q72" s="1" t="s">
        <v>107</v>
      </c>
      <c r="R72" s="1" t="s">
        <v>473</v>
      </c>
      <c r="S72" s="1" t="s">
        <v>45</v>
      </c>
      <c r="T72" s="1" t="s">
        <v>89</v>
      </c>
      <c r="U72" s="1" t="s">
        <v>474</v>
      </c>
      <c r="V72" s="3">
        <v>279.45600000000002</v>
      </c>
      <c r="W72" s="1" t="str">
        <f t="shared" si="9"/>
        <v>Slow Delivery</v>
      </c>
    </row>
    <row r="73" spans="1:23" x14ac:dyDescent="0.25">
      <c r="A73" s="1">
        <v>3079</v>
      </c>
      <c r="B73" s="2" t="s">
        <v>475</v>
      </c>
      <c r="C73" s="2">
        <v>42145</v>
      </c>
      <c r="D73" s="2">
        <v>42149</v>
      </c>
      <c r="E73" s="1">
        <f t="shared" si="6"/>
        <v>2015</v>
      </c>
      <c r="F73" s="2" t="str">
        <f t="shared" si="7"/>
        <v>May</v>
      </c>
      <c r="G73" s="1">
        <f t="shared" si="8"/>
        <v>5</v>
      </c>
      <c r="H73" s="1">
        <f t="shared" si="5"/>
        <v>4</v>
      </c>
      <c r="I73" s="1" t="s">
        <v>25</v>
      </c>
      <c r="J73" s="1" t="s">
        <v>476</v>
      </c>
      <c r="K73" s="1" t="s">
        <v>477</v>
      </c>
      <c r="L73" s="1" t="s">
        <v>131</v>
      </c>
      <c r="M73" s="1" t="s">
        <v>29</v>
      </c>
      <c r="N73" s="1" t="s">
        <v>478</v>
      </c>
      <c r="O73" s="1" t="s">
        <v>106</v>
      </c>
      <c r="P73" s="1">
        <v>92037</v>
      </c>
      <c r="Q73" s="1" t="s">
        <v>107</v>
      </c>
      <c r="R73" s="1" t="s">
        <v>479</v>
      </c>
      <c r="S73" s="1" t="s">
        <v>34</v>
      </c>
      <c r="T73" s="1" t="s">
        <v>35</v>
      </c>
      <c r="U73" s="1" t="s">
        <v>480</v>
      </c>
      <c r="V73" s="3">
        <v>31.84</v>
      </c>
      <c r="W73" s="1" t="str">
        <f t="shared" si="9"/>
        <v>Slow Delivery</v>
      </c>
    </row>
    <row r="74" spans="1:23" x14ac:dyDescent="0.25">
      <c r="A74" s="1">
        <v>1704</v>
      </c>
      <c r="B74" s="2" t="s">
        <v>481</v>
      </c>
      <c r="C74" s="2">
        <v>42037</v>
      </c>
      <c r="D74" s="2">
        <v>42041</v>
      </c>
      <c r="E74" s="1">
        <f t="shared" si="6"/>
        <v>2015</v>
      </c>
      <c r="F74" s="2" t="str">
        <f t="shared" si="7"/>
        <v>Feb</v>
      </c>
      <c r="G74" s="1">
        <f t="shared" si="8"/>
        <v>2</v>
      </c>
      <c r="H74" s="1">
        <f t="shared" si="5"/>
        <v>4</v>
      </c>
      <c r="I74" s="1" t="s">
        <v>25</v>
      </c>
      <c r="J74" s="1" t="s">
        <v>482</v>
      </c>
      <c r="K74" s="1" t="s">
        <v>483</v>
      </c>
      <c r="L74" s="1" t="s">
        <v>131</v>
      </c>
      <c r="M74" s="1" t="s">
        <v>29</v>
      </c>
      <c r="N74" s="1" t="s">
        <v>478</v>
      </c>
      <c r="O74" s="1" t="s">
        <v>106</v>
      </c>
      <c r="P74" s="1">
        <v>92037</v>
      </c>
      <c r="Q74" s="1" t="s">
        <v>107</v>
      </c>
      <c r="R74" s="1" t="s">
        <v>484</v>
      </c>
      <c r="S74" s="1" t="s">
        <v>34</v>
      </c>
      <c r="T74" s="1" t="s">
        <v>231</v>
      </c>
      <c r="U74" s="1" t="s">
        <v>377</v>
      </c>
      <c r="V74" s="3">
        <v>12.35</v>
      </c>
      <c r="W74" s="1" t="str">
        <f t="shared" si="9"/>
        <v>Slow Delivery</v>
      </c>
    </row>
    <row r="75" spans="1:23" x14ac:dyDescent="0.25">
      <c r="A75" s="1">
        <v>1518</v>
      </c>
      <c r="B75" s="2" t="s">
        <v>485</v>
      </c>
      <c r="C75" s="2">
        <v>42038</v>
      </c>
      <c r="D75" s="2">
        <v>42041</v>
      </c>
      <c r="E75" s="1">
        <f t="shared" si="6"/>
        <v>2015</v>
      </c>
      <c r="F75" s="2" t="str">
        <f t="shared" si="7"/>
        <v>Feb</v>
      </c>
      <c r="G75" s="1">
        <f t="shared" si="8"/>
        <v>2</v>
      </c>
      <c r="H75" s="1">
        <f t="shared" si="5"/>
        <v>3</v>
      </c>
      <c r="I75" s="1" t="s">
        <v>83</v>
      </c>
      <c r="J75" s="1" t="s">
        <v>486</v>
      </c>
      <c r="K75" s="1" t="s">
        <v>487</v>
      </c>
      <c r="L75" s="1" t="s">
        <v>28</v>
      </c>
      <c r="M75" s="1" t="s">
        <v>29</v>
      </c>
      <c r="N75" s="1" t="s">
        <v>488</v>
      </c>
      <c r="O75" s="1" t="s">
        <v>424</v>
      </c>
      <c r="P75" s="1">
        <v>98105</v>
      </c>
      <c r="Q75" s="1" t="s">
        <v>107</v>
      </c>
      <c r="R75" s="1" t="s">
        <v>489</v>
      </c>
      <c r="S75" s="1" t="s">
        <v>34</v>
      </c>
      <c r="T75" s="1" t="s">
        <v>109</v>
      </c>
      <c r="U75" s="1" t="s">
        <v>490</v>
      </c>
      <c r="V75" s="3">
        <v>83.84</v>
      </c>
      <c r="W75" s="1" t="str">
        <f t="shared" si="9"/>
        <v>Fast Delivery</v>
      </c>
    </row>
    <row r="76" spans="1:23" x14ac:dyDescent="0.25">
      <c r="A76" s="1">
        <v>158</v>
      </c>
      <c r="B76" s="2" t="s">
        <v>491</v>
      </c>
      <c r="C76" s="2">
        <v>42064</v>
      </c>
      <c r="D76" s="2">
        <v>42069</v>
      </c>
      <c r="E76" s="1">
        <f t="shared" si="6"/>
        <v>2015</v>
      </c>
      <c r="F76" s="2" t="str">
        <f t="shared" si="7"/>
        <v>Mar</v>
      </c>
      <c r="G76" s="1">
        <f t="shared" si="8"/>
        <v>3</v>
      </c>
      <c r="H76" s="1">
        <f t="shared" si="5"/>
        <v>5</v>
      </c>
      <c r="I76" s="1" t="s">
        <v>83</v>
      </c>
      <c r="J76" s="1" t="s">
        <v>492</v>
      </c>
      <c r="K76" s="1" t="s">
        <v>493</v>
      </c>
      <c r="L76" s="1" t="s">
        <v>28</v>
      </c>
      <c r="M76" s="1" t="s">
        <v>29</v>
      </c>
      <c r="N76" s="1" t="s">
        <v>488</v>
      </c>
      <c r="O76" s="1" t="s">
        <v>424</v>
      </c>
      <c r="P76" s="1">
        <v>98115</v>
      </c>
      <c r="Q76" s="1" t="s">
        <v>107</v>
      </c>
      <c r="R76" s="1" t="s">
        <v>494</v>
      </c>
      <c r="S76" s="1" t="s">
        <v>45</v>
      </c>
      <c r="T76" s="1" t="s">
        <v>89</v>
      </c>
      <c r="U76" s="1" t="s">
        <v>495</v>
      </c>
      <c r="V76" s="3">
        <v>457.56799999999998</v>
      </c>
      <c r="W76" s="1" t="str">
        <f t="shared" si="9"/>
        <v>Slow Delivery</v>
      </c>
    </row>
    <row r="77" spans="1:23" x14ac:dyDescent="0.25">
      <c r="A77" s="1">
        <v>1373</v>
      </c>
      <c r="B77" s="2" t="s">
        <v>496</v>
      </c>
      <c r="C77" s="2">
        <v>42095</v>
      </c>
      <c r="D77" s="2">
        <v>42100</v>
      </c>
      <c r="E77" s="1">
        <f t="shared" si="6"/>
        <v>2015</v>
      </c>
      <c r="F77" s="2" t="str">
        <f t="shared" si="7"/>
        <v>Apr</v>
      </c>
      <c r="G77" s="1">
        <f t="shared" si="8"/>
        <v>4</v>
      </c>
      <c r="H77" s="1">
        <f t="shared" si="5"/>
        <v>5</v>
      </c>
      <c r="I77" s="1" t="s">
        <v>83</v>
      </c>
      <c r="J77" s="1" t="s">
        <v>497</v>
      </c>
      <c r="K77" s="1" t="s">
        <v>498</v>
      </c>
      <c r="L77" s="1" t="s">
        <v>28</v>
      </c>
      <c r="M77" s="1" t="s">
        <v>29</v>
      </c>
      <c r="N77" s="1" t="s">
        <v>499</v>
      </c>
      <c r="O77" s="1" t="s">
        <v>106</v>
      </c>
      <c r="P77" s="1">
        <v>94591</v>
      </c>
      <c r="Q77" s="1" t="s">
        <v>107</v>
      </c>
      <c r="R77" s="1" t="s">
        <v>500</v>
      </c>
      <c r="S77" s="1" t="s">
        <v>34</v>
      </c>
      <c r="T77" s="1" t="s">
        <v>56</v>
      </c>
      <c r="U77" s="1" t="s">
        <v>501</v>
      </c>
      <c r="V77" s="3">
        <v>29.6</v>
      </c>
      <c r="W77" s="1" t="str">
        <f t="shared" si="9"/>
        <v>Slow Delivery</v>
      </c>
    </row>
    <row r="78" spans="1:23" x14ac:dyDescent="0.25">
      <c r="A78" s="1">
        <v>7954</v>
      </c>
      <c r="B78" s="2" t="s">
        <v>502</v>
      </c>
      <c r="C78" s="2">
        <v>42095</v>
      </c>
      <c r="D78" s="2">
        <v>42100</v>
      </c>
      <c r="E78" s="1">
        <f t="shared" si="6"/>
        <v>2015</v>
      </c>
      <c r="F78" s="2" t="str">
        <f t="shared" si="7"/>
        <v>Apr</v>
      </c>
      <c r="G78" s="1">
        <f t="shared" si="8"/>
        <v>4</v>
      </c>
      <c r="H78" s="1">
        <f t="shared" si="5"/>
        <v>5</v>
      </c>
      <c r="I78" s="1" t="s">
        <v>25</v>
      </c>
      <c r="J78" s="1" t="s">
        <v>503</v>
      </c>
      <c r="K78" s="1" t="s">
        <v>504</v>
      </c>
      <c r="L78" s="1" t="s">
        <v>51</v>
      </c>
      <c r="M78" s="1" t="s">
        <v>29</v>
      </c>
      <c r="N78" s="1" t="s">
        <v>505</v>
      </c>
      <c r="O78" s="1" t="s">
        <v>157</v>
      </c>
      <c r="P78" s="1">
        <v>2151</v>
      </c>
      <c r="Q78" s="1" t="s">
        <v>43</v>
      </c>
      <c r="R78" s="1" t="s">
        <v>506</v>
      </c>
      <c r="S78" s="1" t="s">
        <v>34</v>
      </c>
      <c r="T78" s="1" t="s">
        <v>270</v>
      </c>
      <c r="U78" s="1" t="s">
        <v>507</v>
      </c>
      <c r="V78" s="3">
        <v>66.959999999999994</v>
      </c>
      <c r="W78" s="1" t="str">
        <f t="shared" si="9"/>
        <v>Slow Delivery</v>
      </c>
    </row>
    <row r="79" spans="1:23" x14ac:dyDescent="0.25">
      <c r="A79" s="1">
        <v>8827</v>
      </c>
      <c r="B79" s="2" t="s">
        <v>508</v>
      </c>
      <c r="C79" s="2">
        <v>42096</v>
      </c>
      <c r="D79" s="2">
        <v>42100</v>
      </c>
      <c r="E79" s="1">
        <f t="shared" si="6"/>
        <v>2015</v>
      </c>
      <c r="F79" s="2" t="str">
        <f t="shared" si="7"/>
        <v>Apr</v>
      </c>
      <c r="G79" s="1">
        <f t="shared" si="8"/>
        <v>4</v>
      </c>
      <c r="H79" s="1">
        <f t="shared" si="5"/>
        <v>4</v>
      </c>
      <c r="I79" s="1" t="s">
        <v>83</v>
      </c>
      <c r="J79" s="1" t="s">
        <v>509</v>
      </c>
      <c r="K79" s="1" t="s">
        <v>510</v>
      </c>
      <c r="L79" s="1" t="s">
        <v>28</v>
      </c>
      <c r="M79" s="1" t="s">
        <v>29</v>
      </c>
      <c r="N79" s="1" t="s">
        <v>150</v>
      </c>
      <c r="O79" s="1" t="s">
        <v>31</v>
      </c>
      <c r="P79" s="1">
        <v>77095</v>
      </c>
      <c r="Q79" s="1" t="s">
        <v>32</v>
      </c>
      <c r="R79" s="1" t="s">
        <v>511</v>
      </c>
      <c r="S79" s="1" t="s">
        <v>34</v>
      </c>
      <c r="T79" s="1" t="s">
        <v>174</v>
      </c>
      <c r="U79" s="1" t="s">
        <v>512</v>
      </c>
      <c r="V79" s="3">
        <v>26.72</v>
      </c>
      <c r="W79" s="1" t="str">
        <f t="shared" si="9"/>
        <v>Slow Delivery</v>
      </c>
    </row>
    <row r="80" spans="1:23" x14ac:dyDescent="0.25">
      <c r="A80" s="1">
        <v>245</v>
      </c>
      <c r="B80" s="2" t="s">
        <v>513</v>
      </c>
      <c r="C80" s="2">
        <v>42156</v>
      </c>
      <c r="D80" s="2">
        <v>42161</v>
      </c>
      <c r="E80" s="1">
        <f t="shared" si="6"/>
        <v>2015</v>
      </c>
      <c r="F80" s="2" t="str">
        <f t="shared" si="7"/>
        <v>Jun</v>
      </c>
      <c r="G80" s="1">
        <f t="shared" si="8"/>
        <v>6</v>
      </c>
      <c r="H80" s="1">
        <f t="shared" si="5"/>
        <v>5</v>
      </c>
      <c r="I80" s="1" t="s">
        <v>83</v>
      </c>
      <c r="J80" s="1" t="s">
        <v>514</v>
      </c>
      <c r="K80" s="1" t="s">
        <v>515</v>
      </c>
      <c r="L80" s="1" t="s">
        <v>131</v>
      </c>
      <c r="M80" s="1" t="s">
        <v>29</v>
      </c>
      <c r="N80" s="1" t="s">
        <v>516</v>
      </c>
      <c r="O80" s="1" t="s">
        <v>517</v>
      </c>
      <c r="P80" s="1">
        <v>55044</v>
      </c>
      <c r="Q80" s="1" t="s">
        <v>32</v>
      </c>
      <c r="R80" s="1" t="s">
        <v>494</v>
      </c>
      <c r="S80" s="1" t="s">
        <v>45</v>
      </c>
      <c r="T80" s="1" t="s">
        <v>89</v>
      </c>
      <c r="U80" s="1" t="s">
        <v>495</v>
      </c>
      <c r="V80" s="3">
        <v>2001.86</v>
      </c>
      <c r="W80" s="1" t="str">
        <f t="shared" si="9"/>
        <v>Slow Delivery</v>
      </c>
    </row>
    <row r="81" spans="1:23" x14ac:dyDescent="0.25">
      <c r="A81" s="1">
        <v>307</v>
      </c>
      <c r="B81" s="2" t="s">
        <v>518</v>
      </c>
      <c r="C81" s="2">
        <v>42156</v>
      </c>
      <c r="D81" s="2">
        <v>42161</v>
      </c>
      <c r="E81" s="1">
        <f t="shared" si="6"/>
        <v>2015</v>
      </c>
      <c r="F81" s="2" t="str">
        <f t="shared" si="7"/>
        <v>Jun</v>
      </c>
      <c r="G81" s="1">
        <f t="shared" si="8"/>
        <v>6</v>
      </c>
      <c r="H81" s="1">
        <f t="shared" si="5"/>
        <v>5</v>
      </c>
      <c r="I81" s="1" t="s">
        <v>25</v>
      </c>
      <c r="J81" s="1" t="s">
        <v>519</v>
      </c>
      <c r="K81" s="1" t="s">
        <v>520</v>
      </c>
      <c r="L81" s="1" t="s">
        <v>131</v>
      </c>
      <c r="M81" s="1" t="s">
        <v>29</v>
      </c>
      <c r="N81" s="1" t="s">
        <v>521</v>
      </c>
      <c r="O81" s="1" t="s">
        <v>388</v>
      </c>
      <c r="P81" s="1">
        <v>8701</v>
      </c>
      <c r="Q81" s="1" t="s">
        <v>43</v>
      </c>
      <c r="R81" s="1" t="s">
        <v>522</v>
      </c>
      <c r="S81" s="1" t="s">
        <v>34</v>
      </c>
      <c r="T81" s="1" t="s">
        <v>109</v>
      </c>
      <c r="U81" s="1" t="s">
        <v>523</v>
      </c>
      <c r="V81" s="3">
        <v>45.48</v>
      </c>
      <c r="W81" s="1" t="str">
        <f t="shared" si="9"/>
        <v>Slow Delivery</v>
      </c>
    </row>
    <row r="82" spans="1:23" x14ac:dyDescent="0.25">
      <c r="A82" s="1">
        <v>2201</v>
      </c>
      <c r="B82" s="2" t="s">
        <v>524</v>
      </c>
      <c r="C82" s="2">
        <v>42156</v>
      </c>
      <c r="D82" s="2">
        <v>42161</v>
      </c>
      <c r="E82" s="1">
        <f t="shared" si="6"/>
        <v>2015</v>
      </c>
      <c r="F82" s="2" t="str">
        <f t="shared" si="7"/>
        <v>Jun</v>
      </c>
      <c r="G82" s="1">
        <f t="shared" si="8"/>
        <v>6</v>
      </c>
      <c r="H82" s="1">
        <f t="shared" si="5"/>
        <v>5</v>
      </c>
      <c r="I82" s="1" t="s">
        <v>25</v>
      </c>
      <c r="J82" s="1" t="s">
        <v>525</v>
      </c>
      <c r="K82" s="1" t="s">
        <v>526</v>
      </c>
      <c r="L82" s="1" t="s">
        <v>28</v>
      </c>
      <c r="M82" s="1" t="s">
        <v>29</v>
      </c>
      <c r="N82" s="1" t="s">
        <v>527</v>
      </c>
      <c r="O82" s="1" t="s">
        <v>528</v>
      </c>
      <c r="P82" s="1">
        <v>72209</v>
      </c>
      <c r="Q82" s="1" t="s">
        <v>54</v>
      </c>
      <c r="R82" s="1" t="s">
        <v>529</v>
      </c>
      <c r="S82" s="1" t="s">
        <v>45</v>
      </c>
      <c r="T82" s="1" t="s">
        <v>46</v>
      </c>
      <c r="U82" s="1" t="s">
        <v>530</v>
      </c>
      <c r="V82" s="3">
        <v>22.2</v>
      </c>
      <c r="W82" s="1" t="str">
        <f t="shared" si="9"/>
        <v>Slow Delivery</v>
      </c>
    </row>
    <row r="83" spans="1:23" x14ac:dyDescent="0.25">
      <c r="A83" s="1">
        <v>9150</v>
      </c>
      <c r="B83" s="2" t="s">
        <v>531</v>
      </c>
      <c r="C83" s="2">
        <v>42156</v>
      </c>
      <c r="D83" s="2">
        <v>42161</v>
      </c>
      <c r="E83" s="1">
        <f t="shared" si="6"/>
        <v>2015</v>
      </c>
      <c r="F83" s="2" t="str">
        <f t="shared" si="7"/>
        <v>Jun</v>
      </c>
      <c r="G83" s="1">
        <f t="shared" si="8"/>
        <v>6</v>
      </c>
      <c r="H83" s="1">
        <f t="shared" si="5"/>
        <v>5</v>
      </c>
      <c r="I83" s="1" t="s">
        <v>25</v>
      </c>
      <c r="J83" s="1" t="s">
        <v>532</v>
      </c>
      <c r="K83" s="1" t="s">
        <v>533</v>
      </c>
      <c r="L83" s="1" t="s">
        <v>51</v>
      </c>
      <c r="M83" s="1" t="s">
        <v>29</v>
      </c>
      <c r="N83" s="1" t="s">
        <v>534</v>
      </c>
      <c r="O83" s="1" t="s">
        <v>172</v>
      </c>
      <c r="P83" s="1">
        <v>48234</v>
      </c>
      <c r="Q83" s="1" t="s">
        <v>32</v>
      </c>
      <c r="R83" s="1" t="s">
        <v>535</v>
      </c>
      <c r="S83" s="1" t="s">
        <v>34</v>
      </c>
      <c r="T83" s="1" t="s">
        <v>109</v>
      </c>
      <c r="U83" s="1" t="s">
        <v>536</v>
      </c>
      <c r="V83" s="3">
        <v>138.56</v>
      </c>
      <c r="W83" s="1" t="str">
        <f t="shared" si="9"/>
        <v>Slow Delivery</v>
      </c>
    </row>
    <row r="84" spans="1:23" x14ac:dyDescent="0.25">
      <c r="A84" s="1">
        <v>3888</v>
      </c>
      <c r="B84" s="2" t="s">
        <v>537</v>
      </c>
      <c r="C84" s="2">
        <v>42157</v>
      </c>
      <c r="D84" s="2">
        <v>42161</v>
      </c>
      <c r="E84" s="1">
        <f t="shared" si="6"/>
        <v>2015</v>
      </c>
      <c r="F84" s="2" t="str">
        <f t="shared" si="7"/>
        <v>Jun</v>
      </c>
      <c r="G84" s="1">
        <f t="shared" si="8"/>
        <v>6</v>
      </c>
      <c r="H84" s="1">
        <f t="shared" si="5"/>
        <v>4</v>
      </c>
      <c r="I84" s="1" t="s">
        <v>25</v>
      </c>
      <c r="J84" s="1" t="s">
        <v>538</v>
      </c>
      <c r="K84" s="1" t="s">
        <v>539</v>
      </c>
      <c r="L84" s="1" t="s">
        <v>28</v>
      </c>
      <c r="M84" s="1" t="s">
        <v>29</v>
      </c>
      <c r="N84" s="1" t="s">
        <v>61</v>
      </c>
      <c r="O84" s="1" t="s">
        <v>62</v>
      </c>
      <c r="P84" s="1">
        <v>30076</v>
      </c>
      <c r="Q84" s="1" t="s">
        <v>54</v>
      </c>
      <c r="R84" s="1" t="s">
        <v>540</v>
      </c>
      <c r="S84" s="1" t="s">
        <v>34</v>
      </c>
      <c r="T84" s="1" t="s">
        <v>35</v>
      </c>
      <c r="U84" s="1" t="s">
        <v>541</v>
      </c>
      <c r="V84" s="3">
        <v>8.56</v>
      </c>
      <c r="W84" s="1" t="str">
        <f t="shared" si="9"/>
        <v>Slow Delivery</v>
      </c>
    </row>
    <row r="85" spans="1:23" x14ac:dyDescent="0.25">
      <c r="A85" s="1">
        <v>716</v>
      </c>
      <c r="B85" s="2" t="s">
        <v>542</v>
      </c>
      <c r="C85" s="2">
        <v>42186</v>
      </c>
      <c r="D85" s="2">
        <v>42191</v>
      </c>
      <c r="E85" s="1">
        <f t="shared" si="6"/>
        <v>2015</v>
      </c>
      <c r="F85" s="2" t="str">
        <f t="shared" si="7"/>
        <v>Jul</v>
      </c>
      <c r="G85" s="1">
        <f t="shared" si="8"/>
        <v>7</v>
      </c>
      <c r="H85" s="1">
        <f t="shared" si="5"/>
        <v>5</v>
      </c>
      <c r="I85" s="1" t="s">
        <v>83</v>
      </c>
      <c r="J85" s="1" t="s">
        <v>543</v>
      </c>
      <c r="K85" s="1" t="s">
        <v>544</v>
      </c>
      <c r="L85" s="1" t="s">
        <v>51</v>
      </c>
      <c r="M85" s="1" t="s">
        <v>29</v>
      </c>
      <c r="N85" s="1" t="s">
        <v>488</v>
      </c>
      <c r="O85" s="1" t="s">
        <v>424</v>
      </c>
      <c r="P85" s="1">
        <v>98105</v>
      </c>
      <c r="Q85" s="1" t="s">
        <v>107</v>
      </c>
      <c r="R85" s="1" t="s">
        <v>545</v>
      </c>
      <c r="S85" s="1" t="s">
        <v>34</v>
      </c>
      <c r="T85" s="1" t="s">
        <v>109</v>
      </c>
      <c r="U85" s="1" t="s">
        <v>546</v>
      </c>
      <c r="V85" s="3">
        <v>19.920000000000002</v>
      </c>
      <c r="W85" s="1" t="str">
        <f t="shared" si="9"/>
        <v>Slow Delivery</v>
      </c>
    </row>
    <row r="86" spans="1:23" x14ac:dyDescent="0.25">
      <c r="A86" s="1">
        <v>2733</v>
      </c>
      <c r="B86" s="2" t="s">
        <v>547</v>
      </c>
      <c r="C86" s="2">
        <v>42187</v>
      </c>
      <c r="D86" s="2">
        <v>42191</v>
      </c>
      <c r="E86" s="1">
        <f t="shared" si="6"/>
        <v>2015</v>
      </c>
      <c r="F86" s="2" t="str">
        <f t="shared" si="7"/>
        <v>Jul</v>
      </c>
      <c r="G86" s="1">
        <f t="shared" si="8"/>
        <v>7</v>
      </c>
      <c r="H86" s="1">
        <f t="shared" si="5"/>
        <v>4</v>
      </c>
      <c r="I86" s="1" t="s">
        <v>25</v>
      </c>
      <c r="J86" s="1" t="s">
        <v>548</v>
      </c>
      <c r="K86" s="1" t="s">
        <v>549</v>
      </c>
      <c r="L86" s="1" t="s">
        <v>28</v>
      </c>
      <c r="M86" s="1" t="s">
        <v>29</v>
      </c>
      <c r="N86" s="1" t="s">
        <v>550</v>
      </c>
      <c r="O86" s="1" t="s">
        <v>388</v>
      </c>
      <c r="P86" s="1">
        <v>7060</v>
      </c>
      <c r="Q86" s="1" t="s">
        <v>43</v>
      </c>
      <c r="R86" s="1" t="s">
        <v>551</v>
      </c>
      <c r="S86" s="1" t="s">
        <v>64</v>
      </c>
      <c r="T86" s="1" t="s">
        <v>159</v>
      </c>
      <c r="U86" s="1" t="s">
        <v>552</v>
      </c>
      <c r="V86" s="3">
        <v>73.98</v>
      </c>
      <c r="W86" s="1" t="str">
        <f t="shared" si="9"/>
        <v>Slow Delivery</v>
      </c>
    </row>
    <row r="87" spans="1:23" x14ac:dyDescent="0.25">
      <c r="A87" s="1">
        <v>2411</v>
      </c>
      <c r="B87" s="2" t="s">
        <v>553</v>
      </c>
      <c r="C87" s="2">
        <v>42217</v>
      </c>
      <c r="D87" s="2">
        <v>42222</v>
      </c>
      <c r="E87" s="1">
        <f t="shared" si="6"/>
        <v>2015</v>
      </c>
      <c r="F87" s="2" t="str">
        <f t="shared" si="7"/>
        <v>Aug</v>
      </c>
      <c r="G87" s="1">
        <f t="shared" si="8"/>
        <v>8</v>
      </c>
      <c r="H87" s="1">
        <f t="shared" si="5"/>
        <v>5</v>
      </c>
      <c r="I87" s="1" t="s">
        <v>25</v>
      </c>
      <c r="J87" s="1" t="s">
        <v>554</v>
      </c>
      <c r="K87" s="1" t="s">
        <v>555</v>
      </c>
      <c r="L87" s="1" t="s">
        <v>131</v>
      </c>
      <c r="M87" s="1" t="s">
        <v>29</v>
      </c>
      <c r="N87" s="1" t="s">
        <v>410</v>
      </c>
      <c r="O87" s="1" t="s">
        <v>411</v>
      </c>
      <c r="P87" s="1">
        <v>19120</v>
      </c>
      <c r="Q87" s="1" t="s">
        <v>43</v>
      </c>
      <c r="R87" s="1" t="s">
        <v>556</v>
      </c>
      <c r="S87" s="1" t="s">
        <v>34</v>
      </c>
      <c r="T87" s="1" t="s">
        <v>231</v>
      </c>
      <c r="U87" s="1" t="s">
        <v>557</v>
      </c>
      <c r="V87" s="3">
        <v>5.68</v>
      </c>
      <c r="W87" s="1" t="str">
        <f t="shared" si="9"/>
        <v>Slow Delivery</v>
      </c>
    </row>
    <row r="88" spans="1:23" x14ac:dyDescent="0.25">
      <c r="A88" s="1">
        <v>6440</v>
      </c>
      <c r="B88" s="2" t="s">
        <v>558</v>
      </c>
      <c r="C88" s="2">
        <v>42281</v>
      </c>
      <c r="D88" s="2">
        <v>42283</v>
      </c>
      <c r="E88" s="1">
        <f t="shared" si="6"/>
        <v>2015</v>
      </c>
      <c r="F88" s="2" t="str">
        <f t="shared" si="7"/>
        <v>Oct</v>
      </c>
      <c r="G88" s="1">
        <f t="shared" si="8"/>
        <v>10</v>
      </c>
      <c r="H88" s="1">
        <f t="shared" si="5"/>
        <v>2</v>
      </c>
      <c r="I88" s="1" t="s">
        <v>38</v>
      </c>
      <c r="J88" s="1" t="s">
        <v>559</v>
      </c>
      <c r="K88" s="1" t="s">
        <v>560</v>
      </c>
      <c r="L88" s="1" t="s">
        <v>28</v>
      </c>
      <c r="M88" s="1" t="s">
        <v>29</v>
      </c>
      <c r="N88" s="1" t="s">
        <v>114</v>
      </c>
      <c r="O88" s="1" t="s">
        <v>115</v>
      </c>
      <c r="P88" s="1">
        <v>10024</v>
      </c>
      <c r="Q88" s="1" t="s">
        <v>43</v>
      </c>
      <c r="R88" s="1" t="s">
        <v>561</v>
      </c>
      <c r="S88" s="1" t="s">
        <v>45</v>
      </c>
      <c r="T88" s="1" t="s">
        <v>89</v>
      </c>
      <c r="U88" s="1" t="s">
        <v>562</v>
      </c>
      <c r="V88" s="3">
        <v>589.41</v>
      </c>
      <c r="W88" s="1" t="str">
        <f t="shared" si="9"/>
        <v>Fast Delivery</v>
      </c>
    </row>
    <row r="89" spans="1:23" x14ac:dyDescent="0.25">
      <c r="A89" s="1">
        <v>6805</v>
      </c>
      <c r="B89" s="2" t="s">
        <v>563</v>
      </c>
      <c r="C89" s="2">
        <v>42282</v>
      </c>
      <c r="D89" s="2">
        <v>42283</v>
      </c>
      <c r="E89" s="1">
        <f t="shared" si="6"/>
        <v>2015</v>
      </c>
      <c r="F89" s="2" t="str">
        <f t="shared" si="7"/>
        <v>Oct</v>
      </c>
      <c r="G89" s="1">
        <f t="shared" si="8"/>
        <v>10</v>
      </c>
      <c r="H89" s="1">
        <f t="shared" si="5"/>
        <v>1</v>
      </c>
      <c r="I89" s="1" t="s">
        <v>38</v>
      </c>
      <c r="J89" s="1" t="s">
        <v>564</v>
      </c>
      <c r="K89" s="1" t="s">
        <v>565</v>
      </c>
      <c r="L89" s="1" t="s">
        <v>28</v>
      </c>
      <c r="M89" s="1" t="s">
        <v>29</v>
      </c>
      <c r="N89" s="1" t="s">
        <v>566</v>
      </c>
      <c r="O89" s="1" t="s">
        <v>106</v>
      </c>
      <c r="P89" s="1">
        <v>91767</v>
      </c>
      <c r="Q89" s="1" t="s">
        <v>107</v>
      </c>
      <c r="R89" s="1" t="s">
        <v>567</v>
      </c>
      <c r="S89" s="1" t="s">
        <v>64</v>
      </c>
      <c r="T89" s="1" t="s">
        <v>65</v>
      </c>
      <c r="U89" s="1" t="s">
        <v>568</v>
      </c>
      <c r="V89" s="3">
        <v>99.98</v>
      </c>
      <c r="W89" s="1" t="str">
        <f t="shared" si="9"/>
        <v>Fast Delivery</v>
      </c>
    </row>
    <row r="90" spans="1:23" x14ac:dyDescent="0.25">
      <c r="A90" s="1">
        <v>4524</v>
      </c>
      <c r="B90" s="2" t="s">
        <v>569</v>
      </c>
      <c r="C90" s="2">
        <v>42310</v>
      </c>
      <c r="D90" s="2">
        <v>42314</v>
      </c>
      <c r="E90" s="1">
        <f t="shared" si="6"/>
        <v>2015</v>
      </c>
      <c r="F90" s="2" t="str">
        <f t="shared" si="7"/>
        <v>Nov</v>
      </c>
      <c r="G90" s="1">
        <f t="shared" si="8"/>
        <v>11</v>
      </c>
      <c r="H90" s="1">
        <f t="shared" si="5"/>
        <v>4</v>
      </c>
      <c r="I90" s="1" t="s">
        <v>25</v>
      </c>
      <c r="J90" s="1" t="s">
        <v>570</v>
      </c>
      <c r="K90" s="1" t="s">
        <v>571</v>
      </c>
      <c r="L90" s="1" t="s">
        <v>28</v>
      </c>
      <c r="M90" s="1" t="s">
        <v>29</v>
      </c>
      <c r="N90" s="1" t="s">
        <v>114</v>
      </c>
      <c r="O90" s="1" t="s">
        <v>115</v>
      </c>
      <c r="P90" s="1">
        <v>10024</v>
      </c>
      <c r="Q90" s="1" t="s">
        <v>43</v>
      </c>
      <c r="R90" s="1" t="s">
        <v>572</v>
      </c>
      <c r="S90" s="1" t="s">
        <v>34</v>
      </c>
      <c r="T90" s="1" t="s">
        <v>56</v>
      </c>
      <c r="U90" s="1" t="s">
        <v>573</v>
      </c>
      <c r="V90" s="3">
        <v>34.86</v>
      </c>
      <c r="W90" s="1" t="str">
        <f t="shared" si="9"/>
        <v>Slow Delivery</v>
      </c>
    </row>
    <row r="91" spans="1:23" x14ac:dyDescent="0.25">
      <c r="A91" s="1">
        <v>6502</v>
      </c>
      <c r="B91" s="2" t="s">
        <v>574</v>
      </c>
      <c r="C91" s="2">
        <v>42310</v>
      </c>
      <c r="D91" s="2">
        <v>42314</v>
      </c>
      <c r="E91" s="1">
        <f t="shared" si="6"/>
        <v>2015</v>
      </c>
      <c r="F91" s="2" t="str">
        <f t="shared" si="7"/>
        <v>Nov</v>
      </c>
      <c r="G91" s="1">
        <f t="shared" si="8"/>
        <v>11</v>
      </c>
      <c r="H91" s="1">
        <f t="shared" si="5"/>
        <v>4</v>
      </c>
      <c r="I91" s="1" t="s">
        <v>25</v>
      </c>
      <c r="J91" s="1" t="s">
        <v>575</v>
      </c>
      <c r="K91" s="1" t="s">
        <v>576</v>
      </c>
      <c r="L91" s="1" t="s">
        <v>28</v>
      </c>
      <c r="M91" s="1" t="s">
        <v>29</v>
      </c>
      <c r="N91" s="1" t="s">
        <v>577</v>
      </c>
      <c r="O91" s="1" t="s">
        <v>72</v>
      </c>
      <c r="P91" s="1">
        <v>44256</v>
      </c>
      <c r="Q91" s="1" t="s">
        <v>43</v>
      </c>
      <c r="R91" s="1" t="s">
        <v>578</v>
      </c>
      <c r="S91" s="1" t="s">
        <v>64</v>
      </c>
      <c r="T91" s="1" t="s">
        <v>159</v>
      </c>
      <c r="U91" s="1" t="s">
        <v>579</v>
      </c>
      <c r="V91" s="3">
        <v>539.96400000000006</v>
      </c>
      <c r="W91" s="1" t="str">
        <f t="shared" si="9"/>
        <v>Slow Delivery</v>
      </c>
    </row>
    <row r="92" spans="1:23" x14ac:dyDescent="0.25">
      <c r="A92" s="1">
        <v>7277</v>
      </c>
      <c r="B92" s="2" t="s">
        <v>580</v>
      </c>
      <c r="C92" s="2">
        <v>42310</v>
      </c>
      <c r="D92" s="2">
        <v>42314</v>
      </c>
      <c r="E92" s="1">
        <f t="shared" si="6"/>
        <v>2015</v>
      </c>
      <c r="F92" s="2" t="str">
        <f t="shared" si="7"/>
        <v>Nov</v>
      </c>
      <c r="G92" s="1">
        <f t="shared" si="8"/>
        <v>11</v>
      </c>
      <c r="H92" s="1">
        <f t="shared" si="5"/>
        <v>4</v>
      </c>
      <c r="I92" s="1" t="s">
        <v>25</v>
      </c>
      <c r="J92" s="1" t="s">
        <v>581</v>
      </c>
      <c r="K92" s="1" t="s">
        <v>582</v>
      </c>
      <c r="L92" s="1" t="s">
        <v>131</v>
      </c>
      <c r="M92" s="1" t="s">
        <v>29</v>
      </c>
      <c r="N92" s="1" t="s">
        <v>583</v>
      </c>
      <c r="O92" s="1" t="s">
        <v>190</v>
      </c>
      <c r="P92" s="1">
        <v>33311</v>
      </c>
      <c r="Q92" s="1" t="s">
        <v>54</v>
      </c>
      <c r="R92" s="1" t="s">
        <v>584</v>
      </c>
      <c r="S92" s="1" t="s">
        <v>64</v>
      </c>
      <c r="T92" s="1" t="s">
        <v>65</v>
      </c>
      <c r="U92" s="1" t="s">
        <v>585</v>
      </c>
      <c r="V92" s="3">
        <v>799.92</v>
      </c>
      <c r="W92" s="1" t="str">
        <f t="shared" si="9"/>
        <v>Slow Delivery</v>
      </c>
    </row>
    <row r="93" spans="1:23" x14ac:dyDescent="0.25">
      <c r="A93" s="1">
        <v>7507</v>
      </c>
      <c r="B93" s="2" t="s">
        <v>586</v>
      </c>
      <c r="C93" s="2">
        <v>42310</v>
      </c>
      <c r="D93" s="2">
        <v>42314</v>
      </c>
      <c r="E93" s="1">
        <f t="shared" si="6"/>
        <v>2015</v>
      </c>
      <c r="F93" s="2" t="str">
        <f t="shared" si="7"/>
        <v>Nov</v>
      </c>
      <c r="G93" s="1">
        <f t="shared" si="8"/>
        <v>11</v>
      </c>
      <c r="H93" s="1">
        <f t="shared" si="5"/>
        <v>4</v>
      </c>
      <c r="I93" s="1" t="s">
        <v>25</v>
      </c>
      <c r="J93" s="1" t="s">
        <v>587</v>
      </c>
      <c r="K93" s="1" t="s">
        <v>588</v>
      </c>
      <c r="L93" s="1" t="s">
        <v>28</v>
      </c>
      <c r="M93" s="1" t="s">
        <v>29</v>
      </c>
      <c r="N93" s="1" t="s">
        <v>105</v>
      </c>
      <c r="O93" s="1" t="s">
        <v>106</v>
      </c>
      <c r="P93" s="1">
        <v>94122</v>
      </c>
      <c r="Q93" s="1" t="s">
        <v>107</v>
      </c>
      <c r="R93" s="1" t="s">
        <v>589</v>
      </c>
      <c r="S93" s="1" t="s">
        <v>64</v>
      </c>
      <c r="T93" s="1" t="s">
        <v>159</v>
      </c>
      <c r="U93" s="1" t="s">
        <v>590</v>
      </c>
      <c r="V93" s="3">
        <v>46.384</v>
      </c>
      <c r="W93" s="1" t="str">
        <f t="shared" si="9"/>
        <v>Slow Delivery</v>
      </c>
    </row>
    <row r="94" spans="1:23" x14ac:dyDescent="0.25">
      <c r="A94" s="1">
        <v>2788</v>
      </c>
      <c r="B94" s="2" t="s">
        <v>591</v>
      </c>
      <c r="C94" s="2">
        <v>42340</v>
      </c>
      <c r="D94" s="2">
        <v>42344</v>
      </c>
      <c r="E94" s="1">
        <f t="shared" si="6"/>
        <v>2015</v>
      </c>
      <c r="F94" s="2" t="str">
        <f t="shared" si="7"/>
        <v>Dec</v>
      </c>
      <c r="G94" s="1">
        <f t="shared" si="8"/>
        <v>12</v>
      </c>
      <c r="H94" s="1">
        <f t="shared" si="5"/>
        <v>4</v>
      </c>
      <c r="I94" s="1" t="s">
        <v>25</v>
      </c>
      <c r="J94" s="1" t="s">
        <v>592</v>
      </c>
      <c r="K94" s="1" t="s">
        <v>593</v>
      </c>
      <c r="L94" s="1" t="s">
        <v>51</v>
      </c>
      <c r="M94" s="1" t="s">
        <v>29</v>
      </c>
      <c r="N94" s="1" t="s">
        <v>594</v>
      </c>
      <c r="O94" s="1" t="s">
        <v>31</v>
      </c>
      <c r="P94" s="1">
        <v>78415</v>
      </c>
      <c r="Q94" s="1" t="s">
        <v>32</v>
      </c>
      <c r="R94" s="1" t="s">
        <v>595</v>
      </c>
      <c r="S94" s="1" t="s">
        <v>45</v>
      </c>
      <c r="T94" s="1" t="s">
        <v>46</v>
      </c>
      <c r="U94" s="1" t="s">
        <v>596</v>
      </c>
      <c r="V94" s="3">
        <v>58.36</v>
      </c>
      <c r="W94" s="1" t="str">
        <f t="shared" si="9"/>
        <v>Slow Delivery</v>
      </c>
    </row>
    <row r="95" spans="1:23" x14ac:dyDescent="0.25">
      <c r="A95" s="1">
        <v>2623</v>
      </c>
      <c r="B95" s="2" t="s">
        <v>597</v>
      </c>
      <c r="C95" s="2">
        <v>42341</v>
      </c>
      <c r="D95" s="2">
        <v>42344</v>
      </c>
      <c r="E95" s="1">
        <f t="shared" si="6"/>
        <v>2015</v>
      </c>
      <c r="F95" s="2" t="str">
        <f t="shared" si="7"/>
        <v>Dec</v>
      </c>
      <c r="G95" s="1">
        <f t="shared" si="8"/>
        <v>12</v>
      </c>
      <c r="H95" s="1">
        <f t="shared" si="5"/>
        <v>3</v>
      </c>
      <c r="I95" s="1" t="s">
        <v>83</v>
      </c>
      <c r="J95" s="1" t="s">
        <v>598</v>
      </c>
      <c r="K95" s="1" t="s">
        <v>599</v>
      </c>
      <c r="L95" s="1" t="s">
        <v>51</v>
      </c>
      <c r="M95" s="1" t="s">
        <v>29</v>
      </c>
      <c r="N95" s="1" t="s">
        <v>600</v>
      </c>
      <c r="O95" s="1" t="s">
        <v>87</v>
      </c>
      <c r="P95" s="1">
        <v>63116</v>
      </c>
      <c r="Q95" s="1" t="s">
        <v>32</v>
      </c>
      <c r="R95" s="1" t="s">
        <v>601</v>
      </c>
      <c r="S95" s="1" t="s">
        <v>34</v>
      </c>
      <c r="T95" s="1" t="s">
        <v>174</v>
      </c>
      <c r="U95" s="1" t="s">
        <v>602</v>
      </c>
      <c r="V95" s="3">
        <v>25.92</v>
      </c>
      <c r="W95" s="1" t="str">
        <f t="shared" si="9"/>
        <v>Fast Delivery</v>
      </c>
    </row>
    <row r="96" spans="1:23" x14ac:dyDescent="0.25">
      <c r="A96" s="1">
        <v>9367</v>
      </c>
      <c r="B96" s="2" t="s">
        <v>603</v>
      </c>
      <c r="C96" s="2">
        <v>42163</v>
      </c>
      <c r="D96" s="2">
        <v>42168</v>
      </c>
      <c r="E96" s="1">
        <f t="shared" si="6"/>
        <v>2015</v>
      </c>
      <c r="F96" s="2" t="str">
        <f t="shared" si="7"/>
        <v>Jun</v>
      </c>
      <c r="G96" s="1">
        <f t="shared" si="8"/>
        <v>6</v>
      </c>
      <c r="H96" s="1">
        <f t="shared" si="5"/>
        <v>5</v>
      </c>
      <c r="I96" s="1" t="s">
        <v>25</v>
      </c>
      <c r="J96" s="1" t="s">
        <v>604</v>
      </c>
      <c r="K96" s="1" t="s">
        <v>605</v>
      </c>
      <c r="L96" s="1" t="s">
        <v>28</v>
      </c>
      <c r="M96" s="1" t="s">
        <v>29</v>
      </c>
      <c r="N96" s="1" t="s">
        <v>381</v>
      </c>
      <c r="O96" s="1" t="s">
        <v>115</v>
      </c>
      <c r="P96" s="1">
        <v>11561</v>
      </c>
      <c r="Q96" s="1" t="s">
        <v>43</v>
      </c>
      <c r="R96" s="1" t="s">
        <v>606</v>
      </c>
      <c r="S96" s="1" t="s">
        <v>34</v>
      </c>
      <c r="T96" s="1" t="s">
        <v>109</v>
      </c>
      <c r="U96" s="1" t="s">
        <v>607</v>
      </c>
      <c r="V96" s="3">
        <v>68.48</v>
      </c>
      <c r="W96" s="1" t="str">
        <f t="shared" si="9"/>
        <v>Slow Delivery</v>
      </c>
    </row>
    <row r="97" spans="1:23" x14ac:dyDescent="0.25">
      <c r="A97" s="1">
        <v>489</v>
      </c>
      <c r="B97" s="2" t="s">
        <v>608</v>
      </c>
      <c r="C97" s="2">
        <v>42164</v>
      </c>
      <c r="D97" s="2">
        <v>42168</v>
      </c>
      <c r="E97" s="1">
        <f t="shared" si="6"/>
        <v>2015</v>
      </c>
      <c r="F97" s="2" t="str">
        <f t="shared" si="7"/>
        <v>Jun</v>
      </c>
      <c r="G97" s="1">
        <f t="shared" si="8"/>
        <v>6</v>
      </c>
      <c r="H97" s="1">
        <f t="shared" si="5"/>
        <v>4</v>
      </c>
      <c r="I97" s="1" t="s">
        <v>83</v>
      </c>
      <c r="J97" s="1" t="s">
        <v>609</v>
      </c>
      <c r="K97" s="1" t="s">
        <v>610</v>
      </c>
      <c r="L97" s="1" t="s">
        <v>131</v>
      </c>
      <c r="M97" s="1" t="s">
        <v>29</v>
      </c>
      <c r="N97" s="1" t="s">
        <v>459</v>
      </c>
      <c r="O97" s="1" t="s">
        <v>31</v>
      </c>
      <c r="P97" s="1">
        <v>77340</v>
      </c>
      <c r="Q97" s="1" t="s">
        <v>32</v>
      </c>
      <c r="R97" s="1" t="s">
        <v>611</v>
      </c>
      <c r="S97" s="1" t="s">
        <v>64</v>
      </c>
      <c r="T97" s="1" t="s">
        <v>159</v>
      </c>
      <c r="U97" s="1" t="s">
        <v>612</v>
      </c>
      <c r="V97" s="3">
        <v>7.992</v>
      </c>
      <c r="W97" s="1" t="str">
        <f t="shared" si="9"/>
        <v>Slow Delivery</v>
      </c>
    </row>
    <row r="98" spans="1:23" x14ac:dyDescent="0.25">
      <c r="A98" s="1">
        <v>4955</v>
      </c>
      <c r="B98" s="2" t="s">
        <v>613</v>
      </c>
      <c r="C98" s="2">
        <v>42164</v>
      </c>
      <c r="D98" s="2">
        <v>42168</v>
      </c>
      <c r="E98" s="1">
        <f t="shared" si="6"/>
        <v>2015</v>
      </c>
      <c r="F98" s="2" t="str">
        <f t="shared" si="7"/>
        <v>Jun</v>
      </c>
      <c r="G98" s="1">
        <f t="shared" si="8"/>
        <v>6</v>
      </c>
      <c r="H98" s="1">
        <f t="shared" si="5"/>
        <v>4</v>
      </c>
      <c r="I98" s="1" t="s">
        <v>83</v>
      </c>
      <c r="J98" s="1" t="s">
        <v>614</v>
      </c>
      <c r="K98" s="1" t="s">
        <v>615</v>
      </c>
      <c r="L98" s="1" t="s">
        <v>51</v>
      </c>
      <c r="M98" s="1" t="s">
        <v>29</v>
      </c>
      <c r="N98" s="1" t="s">
        <v>616</v>
      </c>
      <c r="O98" s="1" t="s">
        <v>357</v>
      </c>
      <c r="P98" s="1">
        <v>89031</v>
      </c>
      <c r="Q98" s="1" t="s">
        <v>107</v>
      </c>
      <c r="R98" s="1" t="s">
        <v>617</v>
      </c>
      <c r="S98" s="1" t="s">
        <v>34</v>
      </c>
      <c r="T98" s="1" t="s">
        <v>35</v>
      </c>
      <c r="U98" s="1" t="s">
        <v>618</v>
      </c>
      <c r="V98" s="3">
        <v>18.059999999999999</v>
      </c>
      <c r="W98" s="1" t="str">
        <f t="shared" si="9"/>
        <v>Slow Delivery</v>
      </c>
    </row>
    <row r="99" spans="1:23" x14ac:dyDescent="0.25">
      <c r="A99" s="1">
        <v>2750</v>
      </c>
      <c r="B99" s="2" t="s">
        <v>619</v>
      </c>
      <c r="C99" s="2">
        <v>42163</v>
      </c>
      <c r="D99" s="2">
        <v>42169</v>
      </c>
      <c r="E99" s="1">
        <f t="shared" si="6"/>
        <v>2015</v>
      </c>
      <c r="F99" s="2" t="str">
        <f t="shared" si="7"/>
        <v>Jun</v>
      </c>
      <c r="G99" s="1">
        <f t="shared" si="8"/>
        <v>6</v>
      </c>
      <c r="H99" s="1">
        <f t="shared" si="5"/>
        <v>6</v>
      </c>
      <c r="I99" s="1" t="s">
        <v>25</v>
      </c>
      <c r="J99" s="1" t="s">
        <v>620</v>
      </c>
      <c r="K99" s="1" t="s">
        <v>621</v>
      </c>
      <c r="L99" s="1" t="s">
        <v>28</v>
      </c>
      <c r="M99" s="1" t="s">
        <v>29</v>
      </c>
      <c r="N99" s="1" t="s">
        <v>488</v>
      </c>
      <c r="O99" s="1" t="s">
        <v>424</v>
      </c>
      <c r="P99" s="1">
        <v>98115</v>
      </c>
      <c r="Q99" s="1" t="s">
        <v>107</v>
      </c>
      <c r="R99" s="1" t="s">
        <v>622</v>
      </c>
      <c r="S99" s="1" t="s">
        <v>45</v>
      </c>
      <c r="T99" s="1" t="s">
        <v>89</v>
      </c>
      <c r="U99" s="1" t="s">
        <v>623</v>
      </c>
      <c r="V99" s="3">
        <v>585.55200000000002</v>
      </c>
      <c r="W99" s="1" t="str">
        <f t="shared" si="9"/>
        <v>Slow Delivery</v>
      </c>
    </row>
    <row r="100" spans="1:23" x14ac:dyDescent="0.25">
      <c r="A100" s="1">
        <v>6</v>
      </c>
      <c r="B100" s="2" t="s">
        <v>624</v>
      </c>
      <c r="C100" s="2">
        <v>42164</v>
      </c>
      <c r="D100" s="2">
        <v>42169</v>
      </c>
      <c r="E100" s="1">
        <f t="shared" si="6"/>
        <v>2015</v>
      </c>
      <c r="F100" s="2" t="str">
        <f t="shared" si="7"/>
        <v>Jun</v>
      </c>
      <c r="G100" s="1">
        <f t="shared" si="8"/>
        <v>6</v>
      </c>
      <c r="H100" s="1">
        <f t="shared" si="5"/>
        <v>5</v>
      </c>
      <c r="I100" s="1" t="s">
        <v>25</v>
      </c>
      <c r="J100" s="1" t="s">
        <v>625</v>
      </c>
      <c r="K100" s="1" t="s">
        <v>626</v>
      </c>
      <c r="L100" s="1" t="s">
        <v>28</v>
      </c>
      <c r="M100" s="1" t="s">
        <v>29</v>
      </c>
      <c r="N100" s="1" t="s">
        <v>132</v>
      </c>
      <c r="O100" s="1" t="s">
        <v>106</v>
      </c>
      <c r="P100" s="1">
        <v>90032</v>
      </c>
      <c r="Q100" s="1" t="s">
        <v>107</v>
      </c>
      <c r="R100" s="1" t="s">
        <v>627</v>
      </c>
      <c r="S100" s="1" t="s">
        <v>45</v>
      </c>
      <c r="T100" s="1" t="s">
        <v>46</v>
      </c>
      <c r="U100" s="1" t="s">
        <v>628</v>
      </c>
      <c r="V100" s="3">
        <v>48.86</v>
      </c>
      <c r="W100" s="1" t="str">
        <f t="shared" si="9"/>
        <v>Slow Delivery</v>
      </c>
    </row>
    <row r="101" spans="1:23" x14ac:dyDescent="0.25">
      <c r="A101" s="1">
        <v>9697</v>
      </c>
      <c r="B101" s="2" t="s">
        <v>629</v>
      </c>
      <c r="C101" s="2">
        <v>42165</v>
      </c>
      <c r="D101" s="2">
        <v>42170</v>
      </c>
      <c r="E101" s="1">
        <f t="shared" si="6"/>
        <v>2015</v>
      </c>
      <c r="F101" s="2" t="str">
        <f t="shared" si="7"/>
        <v>Jun</v>
      </c>
      <c r="G101" s="1">
        <f t="shared" si="8"/>
        <v>6</v>
      </c>
      <c r="H101" s="1">
        <f t="shared" si="5"/>
        <v>5</v>
      </c>
      <c r="I101" s="1" t="s">
        <v>83</v>
      </c>
      <c r="J101" s="1" t="s">
        <v>630</v>
      </c>
      <c r="K101" s="1" t="s">
        <v>631</v>
      </c>
      <c r="L101" s="1" t="s">
        <v>51</v>
      </c>
      <c r="M101" s="1" t="s">
        <v>29</v>
      </c>
      <c r="N101" s="1" t="s">
        <v>534</v>
      </c>
      <c r="O101" s="1" t="s">
        <v>172</v>
      </c>
      <c r="P101" s="1">
        <v>48234</v>
      </c>
      <c r="Q101" s="1" t="s">
        <v>32</v>
      </c>
      <c r="R101" s="1" t="s">
        <v>632</v>
      </c>
      <c r="S101" s="1" t="s">
        <v>34</v>
      </c>
      <c r="T101" s="1" t="s">
        <v>56</v>
      </c>
      <c r="U101" s="1" t="s">
        <v>633</v>
      </c>
      <c r="V101" s="3">
        <v>491.55</v>
      </c>
      <c r="W101" s="1" t="str">
        <f t="shared" si="9"/>
        <v>Slow Delivery</v>
      </c>
    </row>
    <row r="102" spans="1:23" x14ac:dyDescent="0.25">
      <c r="A102" s="1">
        <v>861</v>
      </c>
      <c r="B102" s="2" t="s">
        <v>634</v>
      </c>
      <c r="C102" s="2">
        <v>42164</v>
      </c>
      <c r="D102" s="2">
        <v>42171</v>
      </c>
      <c r="E102" s="1">
        <f t="shared" si="6"/>
        <v>2015</v>
      </c>
      <c r="F102" s="2" t="str">
        <f t="shared" si="7"/>
        <v>Jun</v>
      </c>
      <c r="G102" s="1">
        <f t="shared" si="8"/>
        <v>6</v>
      </c>
      <c r="H102" s="1">
        <f t="shared" si="5"/>
        <v>7</v>
      </c>
      <c r="I102" s="1" t="s">
        <v>25</v>
      </c>
      <c r="J102" s="1" t="s">
        <v>635</v>
      </c>
      <c r="K102" s="1" t="s">
        <v>636</v>
      </c>
      <c r="L102" s="1" t="s">
        <v>28</v>
      </c>
      <c r="M102" s="1" t="s">
        <v>29</v>
      </c>
      <c r="N102" s="1" t="s">
        <v>105</v>
      </c>
      <c r="O102" s="1" t="s">
        <v>106</v>
      </c>
      <c r="P102" s="1">
        <v>94122</v>
      </c>
      <c r="Q102" s="1" t="s">
        <v>107</v>
      </c>
      <c r="R102" s="1" t="s">
        <v>637</v>
      </c>
      <c r="S102" s="1" t="s">
        <v>34</v>
      </c>
      <c r="T102" s="1" t="s">
        <v>638</v>
      </c>
      <c r="U102" s="1" t="s">
        <v>639</v>
      </c>
      <c r="V102" s="3">
        <v>7.36</v>
      </c>
      <c r="W102" s="1" t="str">
        <f t="shared" si="9"/>
        <v>Slow Delivery</v>
      </c>
    </row>
    <row r="103" spans="1:23" x14ac:dyDescent="0.25">
      <c r="A103" s="1">
        <v>7981</v>
      </c>
      <c r="B103" s="2" t="s">
        <v>640</v>
      </c>
      <c r="C103" s="2">
        <v>42007</v>
      </c>
      <c r="D103" s="2">
        <v>42011</v>
      </c>
      <c r="E103" s="1">
        <f t="shared" si="6"/>
        <v>2015</v>
      </c>
      <c r="F103" s="2" t="str">
        <f t="shared" si="7"/>
        <v>Jan</v>
      </c>
      <c r="G103" s="1">
        <f t="shared" si="8"/>
        <v>1</v>
      </c>
      <c r="H103" s="1">
        <f t="shared" si="5"/>
        <v>4</v>
      </c>
      <c r="I103" s="1" t="s">
        <v>25</v>
      </c>
      <c r="J103" s="1" t="s">
        <v>641</v>
      </c>
      <c r="K103" s="1" t="s">
        <v>642</v>
      </c>
      <c r="L103" s="1" t="s">
        <v>28</v>
      </c>
      <c r="M103" s="1" t="s">
        <v>29</v>
      </c>
      <c r="N103" s="1" t="s">
        <v>150</v>
      </c>
      <c r="O103" s="1" t="s">
        <v>31</v>
      </c>
      <c r="P103" s="1">
        <v>77095</v>
      </c>
      <c r="Q103" s="1" t="s">
        <v>32</v>
      </c>
      <c r="R103" s="1" t="s">
        <v>643</v>
      </c>
      <c r="S103" s="1" t="s">
        <v>34</v>
      </c>
      <c r="T103" s="1" t="s">
        <v>174</v>
      </c>
      <c r="U103" s="1" t="s">
        <v>644</v>
      </c>
      <c r="V103" s="3">
        <v>16.448</v>
      </c>
      <c r="W103" s="1" t="str">
        <f t="shared" si="9"/>
        <v>Slow Delivery</v>
      </c>
    </row>
    <row r="104" spans="1:23" x14ac:dyDescent="0.25">
      <c r="A104" s="1">
        <v>8310</v>
      </c>
      <c r="B104" s="2" t="s">
        <v>645</v>
      </c>
      <c r="C104" s="2">
        <v>42064</v>
      </c>
      <c r="D104" s="2">
        <v>42070</v>
      </c>
      <c r="E104" s="1">
        <f t="shared" si="6"/>
        <v>2015</v>
      </c>
      <c r="F104" s="2" t="str">
        <f t="shared" si="7"/>
        <v>Mar</v>
      </c>
      <c r="G104" s="1">
        <f t="shared" si="8"/>
        <v>3</v>
      </c>
      <c r="H104" s="1">
        <f t="shared" si="5"/>
        <v>6</v>
      </c>
      <c r="I104" s="1" t="s">
        <v>25</v>
      </c>
      <c r="J104" s="1" t="s">
        <v>646</v>
      </c>
      <c r="K104" s="1" t="s">
        <v>647</v>
      </c>
      <c r="L104" s="1" t="s">
        <v>28</v>
      </c>
      <c r="M104" s="1" t="s">
        <v>29</v>
      </c>
      <c r="N104" s="1" t="s">
        <v>150</v>
      </c>
      <c r="O104" s="1" t="s">
        <v>31</v>
      </c>
      <c r="P104" s="1">
        <v>77036</v>
      </c>
      <c r="Q104" s="1" t="s">
        <v>32</v>
      </c>
      <c r="R104" s="1" t="s">
        <v>648</v>
      </c>
      <c r="S104" s="1" t="s">
        <v>34</v>
      </c>
      <c r="T104" s="1" t="s">
        <v>270</v>
      </c>
      <c r="U104" s="1" t="s">
        <v>649</v>
      </c>
      <c r="V104" s="3">
        <v>137.352</v>
      </c>
      <c r="W104" s="1" t="str">
        <f t="shared" si="9"/>
        <v>Slow Delivery</v>
      </c>
    </row>
    <row r="105" spans="1:23" x14ac:dyDescent="0.25">
      <c r="A105" s="1">
        <v>556</v>
      </c>
      <c r="B105" s="2" t="s">
        <v>650</v>
      </c>
      <c r="C105" s="2">
        <v>42066</v>
      </c>
      <c r="D105" s="2">
        <v>42070</v>
      </c>
      <c r="E105" s="1">
        <f t="shared" si="6"/>
        <v>2015</v>
      </c>
      <c r="F105" s="2" t="str">
        <f t="shared" si="7"/>
        <v>Mar</v>
      </c>
      <c r="G105" s="1">
        <f t="shared" si="8"/>
        <v>3</v>
      </c>
      <c r="H105" s="1">
        <f t="shared" si="5"/>
        <v>4</v>
      </c>
      <c r="I105" s="1" t="s">
        <v>83</v>
      </c>
      <c r="J105" s="1" t="s">
        <v>651</v>
      </c>
      <c r="K105" s="1" t="s">
        <v>652</v>
      </c>
      <c r="L105" s="1" t="s">
        <v>28</v>
      </c>
      <c r="M105" s="1" t="s">
        <v>29</v>
      </c>
      <c r="N105" s="1" t="s">
        <v>653</v>
      </c>
      <c r="O105" s="1" t="s">
        <v>320</v>
      </c>
      <c r="P105" s="1">
        <v>28403</v>
      </c>
      <c r="Q105" s="1" t="s">
        <v>54</v>
      </c>
      <c r="R105" s="1" t="s">
        <v>654</v>
      </c>
      <c r="S105" s="1" t="s">
        <v>34</v>
      </c>
      <c r="T105" s="1" t="s">
        <v>35</v>
      </c>
      <c r="U105" s="1" t="s">
        <v>655</v>
      </c>
      <c r="V105" s="3">
        <v>19.456</v>
      </c>
      <c r="W105" s="1" t="str">
        <f t="shared" si="9"/>
        <v>Slow Delivery</v>
      </c>
    </row>
    <row r="106" spans="1:23" x14ac:dyDescent="0.25">
      <c r="A106" s="1">
        <v>8712</v>
      </c>
      <c r="B106" s="2" t="s">
        <v>656</v>
      </c>
      <c r="C106" s="2">
        <v>42066</v>
      </c>
      <c r="D106" s="2">
        <v>42070</v>
      </c>
      <c r="E106" s="1">
        <f t="shared" si="6"/>
        <v>2015</v>
      </c>
      <c r="F106" s="2" t="str">
        <f t="shared" si="7"/>
        <v>Mar</v>
      </c>
      <c r="G106" s="1">
        <f t="shared" si="8"/>
        <v>3</v>
      </c>
      <c r="H106" s="1">
        <f t="shared" si="5"/>
        <v>4</v>
      </c>
      <c r="I106" s="1" t="s">
        <v>25</v>
      </c>
      <c r="J106" s="1" t="s">
        <v>657</v>
      </c>
      <c r="K106" s="1" t="s">
        <v>658</v>
      </c>
      <c r="L106" s="1" t="s">
        <v>28</v>
      </c>
      <c r="M106" s="1" t="s">
        <v>29</v>
      </c>
      <c r="N106" s="1" t="s">
        <v>478</v>
      </c>
      <c r="O106" s="1" t="s">
        <v>106</v>
      </c>
      <c r="P106" s="1">
        <v>92037</v>
      </c>
      <c r="Q106" s="1" t="s">
        <v>107</v>
      </c>
      <c r="R106" s="1" t="s">
        <v>659</v>
      </c>
      <c r="S106" s="1" t="s">
        <v>45</v>
      </c>
      <c r="T106" s="1" t="s">
        <v>329</v>
      </c>
      <c r="U106" s="1" t="s">
        <v>660</v>
      </c>
      <c r="V106" s="3">
        <v>626.35199999999998</v>
      </c>
      <c r="W106" s="1" t="str">
        <f t="shared" si="9"/>
        <v>Slow Delivery</v>
      </c>
    </row>
    <row r="107" spans="1:23" x14ac:dyDescent="0.25">
      <c r="A107" s="1">
        <v>711</v>
      </c>
      <c r="B107" s="2" t="s">
        <v>661</v>
      </c>
      <c r="C107" s="2">
        <v>42099</v>
      </c>
      <c r="D107" s="2">
        <v>42101</v>
      </c>
      <c r="E107" s="1">
        <f t="shared" si="6"/>
        <v>2015</v>
      </c>
      <c r="F107" s="2" t="str">
        <f t="shared" si="7"/>
        <v>Apr</v>
      </c>
      <c r="G107" s="1">
        <f t="shared" si="8"/>
        <v>4</v>
      </c>
      <c r="H107" s="1">
        <f t="shared" si="5"/>
        <v>2</v>
      </c>
      <c r="I107" s="1" t="s">
        <v>38</v>
      </c>
      <c r="J107" s="1" t="s">
        <v>662</v>
      </c>
      <c r="K107" s="1" t="s">
        <v>663</v>
      </c>
      <c r="L107" s="1" t="s">
        <v>131</v>
      </c>
      <c r="M107" s="1" t="s">
        <v>29</v>
      </c>
      <c r="N107" s="1" t="s">
        <v>114</v>
      </c>
      <c r="O107" s="1" t="s">
        <v>115</v>
      </c>
      <c r="P107" s="1">
        <v>10035</v>
      </c>
      <c r="Q107" s="1" t="s">
        <v>43</v>
      </c>
      <c r="R107" s="1" t="s">
        <v>664</v>
      </c>
      <c r="S107" s="1" t="s">
        <v>34</v>
      </c>
      <c r="T107" s="1" t="s">
        <v>174</v>
      </c>
      <c r="U107" s="1" t="s">
        <v>665</v>
      </c>
      <c r="V107" s="3">
        <v>55.48</v>
      </c>
      <c r="W107" s="1" t="str">
        <f t="shared" si="9"/>
        <v>Fast Delivery</v>
      </c>
    </row>
    <row r="108" spans="1:23" x14ac:dyDescent="0.25">
      <c r="A108" s="1">
        <v>3879</v>
      </c>
      <c r="B108" s="2" t="s">
        <v>666</v>
      </c>
      <c r="C108" s="2">
        <v>42099</v>
      </c>
      <c r="D108" s="2">
        <v>42101</v>
      </c>
      <c r="E108" s="1">
        <f t="shared" si="6"/>
        <v>2015</v>
      </c>
      <c r="F108" s="2" t="str">
        <f t="shared" si="7"/>
        <v>Apr</v>
      </c>
      <c r="G108" s="1">
        <f t="shared" si="8"/>
        <v>4</v>
      </c>
      <c r="H108" s="1">
        <f t="shared" si="5"/>
        <v>2</v>
      </c>
      <c r="I108" s="1" t="s">
        <v>38</v>
      </c>
      <c r="J108" s="1" t="s">
        <v>667</v>
      </c>
      <c r="K108" s="1" t="s">
        <v>668</v>
      </c>
      <c r="L108" s="1" t="s">
        <v>51</v>
      </c>
      <c r="M108" s="1" t="s">
        <v>29</v>
      </c>
      <c r="N108" s="1" t="s">
        <v>669</v>
      </c>
      <c r="O108" s="1" t="s">
        <v>222</v>
      </c>
      <c r="P108" s="1">
        <v>62521</v>
      </c>
      <c r="Q108" s="1" t="s">
        <v>32</v>
      </c>
      <c r="R108" s="1" t="s">
        <v>670</v>
      </c>
      <c r="S108" s="1" t="s">
        <v>34</v>
      </c>
      <c r="T108" s="1" t="s">
        <v>270</v>
      </c>
      <c r="U108" s="1" t="s">
        <v>671</v>
      </c>
      <c r="V108" s="3">
        <v>49.631999999999998</v>
      </c>
      <c r="W108" s="1" t="str">
        <f t="shared" si="9"/>
        <v>Fast Delivery</v>
      </c>
    </row>
    <row r="109" spans="1:23" x14ac:dyDescent="0.25">
      <c r="A109" s="1">
        <v>9507</v>
      </c>
      <c r="B109" s="2" t="s">
        <v>672</v>
      </c>
      <c r="C109" s="2">
        <v>42099</v>
      </c>
      <c r="D109" s="2">
        <v>42101</v>
      </c>
      <c r="E109" s="1">
        <f t="shared" si="6"/>
        <v>2015</v>
      </c>
      <c r="F109" s="2" t="str">
        <f t="shared" si="7"/>
        <v>Apr</v>
      </c>
      <c r="G109" s="1">
        <f t="shared" si="8"/>
        <v>4</v>
      </c>
      <c r="H109" s="1">
        <f t="shared" si="5"/>
        <v>2</v>
      </c>
      <c r="I109" s="1" t="s">
        <v>83</v>
      </c>
      <c r="J109" s="1" t="s">
        <v>673</v>
      </c>
      <c r="K109" s="1" t="s">
        <v>674</v>
      </c>
      <c r="L109" s="1" t="s">
        <v>28</v>
      </c>
      <c r="M109" s="1" t="s">
        <v>29</v>
      </c>
      <c r="N109" s="1" t="s">
        <v>675</v>
      </c>
      <c r="O109" s="1" t="s">
        <v>172</v>
      </c>
      <c r="P109" s="1">
        <v>48127</v>
      </c>
      <c r="Q109" s="1" t="s">
        <v>32</v>
      </c>
      <c r="R109" s="1" t="s">
        <v>676</v>
      </c>
      <c r="S109" s="1" t="s">
        <v>34</v>
      </c>
      <c r="T109" s="1" t="s">
        <v>35</v>
      </c>
      <c r="U109" s="1" t="s">
        <v>677</v>
      </c>
      <c r="V109" s="3">
        <v>26.7</v>
      </c>
      <c r="W109" s="1" t="str">
        <f t="shared" si="9"/>
        <v>Fast Delivery</v>
      </c>
    </row>
    <row r="110" spans="1:23" x14ac:dyDescent="0.25">
      <c r="A110" s="1">
        <v>6253</v>
      </c>
      <c r="B110" s="2" t="s">
        <v>678</v>
      </c>
      <c r="C110" s="2">
        <v>42101</v>
      </c>
      <c r="D110" s="2">
        <v>42101</v>
      </c>
      <c r="E110" s="1">
        <f t="shared" si="6"/>
        <v>2015</v>
      </c>
      <c r="F110" s="2" t="str">
        <f t="shared" si="7"/>
        <v>Apr</v>
      </c>
      <c r="G110" s="1">
        <f t="shared" si="8"/>
        <v>4</v>
      </c>
      <c r="H110" s="1">
        <f t="shared" si="5"/>
        <v>0</v>
      </c>
      <c r="I110" s="1" t="s">
        <v>68</v>
      </c>
      <c r="J110" s="1" t="s">
        <v>679</v>
      </c>
      <c r="K110" s="1" t="s">
        <v>680</v>
      </c>
      <c r="L110" s="1" t="s">
        <v>131</v>
      </c>
      <c r="M110" s="1" t="s">
        <v>29</v>
      </c>
      <c r="N110" s="1" t="s">
        <v>681</v>
      </c>
      <c r="O110" s="1" t="s">
        <v>62</v>
      </c>
      <c r="P110" s="1">
        <v>30062</v>
      </c>
      <c r="Q110" s="1" t="s">
        <v>54</v>
      </c>
      <c r="R110" s="1" t="s">
        <v>682</v>
      </c>
      <c r="S110" s="1" t="s">
        <v>34</v>
      </c>
      <c r="T110" s="1" t="s">
        <v>174</v>
      </c>
      <c r="U110" s="1" t="s">
        <v>683</v>
      </c>
      <c r="V110" s="3">
        <v>58.32</v>
      </c>
      <c r="W110" s="1" t="str">
        <f t="shared" si="9"/>
        <v>Fast Delivery</v>
      </c>
    </row>
    <row r="111" spans="1:23" x14ac:dyDescent="0.25">
      <c r="A111" s="1">
        <v>7999</v>
      </c>
      <c r="B111" s="2" t="s">
        <v>684</v>
      </c>
      <c r="C111" s="2">
        <v>42128</v>
      </c>
      <c r="D111" s="2">
        <v>42131</v>
      </c>
      <c r="E111" s="1">
        <f t="shared" si="6"/>
        <v>2015</v>
      </c>
      <c r="F111" s="2" t="str">
        <f t="shared" si="7"/>
        <v>May</v>
      </c>
      <c r="G111" s="1">
        <f t="shared" si="8"/>
        <v>5</v>
      </c>
      <c r="H111" s="1">
        <f t="shared" si="5"/>
        <v>3</v>
      </c>
      <c r="I111" s="1" t="s">
        <v>38</v>
      </c>
      <c r="J111" s="1" t="s">
        <v>685</v>
      </c>
      <c r="K111" s="1" t="s">
        <v>686</v>
      </c>
      <c r="L111" s="1" t="s">
        <v>51</v>
      </c>
      <c r="M111" s="1" t="s">
        <v>29</v>
      </c>
      <c r="N111" s="1" t="s">
        <v>488</v>
      </c>
      <c r="O111" s="1" t="s">
        <v>424</v>
      </c>
      <c r="P111" s="1">
        <v>98105</v>
      </c>
      <c r="Q111" s="1" t="s">
        <v>107</v>
      </c>
      <c r="R111" s="1" t="s">
        <v>687</v>
      </c>
      <c r="S111" s="1" t="s">
        <v>45</v>
      </c>
      <c r="T111" s="1" t="s">
        <v>46</v>
      </c>
      <c r="U111" s="1" t="s">
        <v>688</v>
      </c>
      <c r="V111" s="3">
        <v>12.18</v>
      </c>
      <c r="W111" s="1" t="str">
        <f t="shared" si="9"/>
        <v>Fast Delivery</v>
      </c>
    </row>
    <row r="112" spans="1:23" x14ac:dyDescent="0.25">
      <c r="A112" s="1">
        <v>8596</v>
      </c>
      <c r="B112" s="2" t="s">
        <v>689</v>
      </c>
      <c r="C112" s="2">
        <v>42129</v>
      </c>
      <c r="D112" s="2">
        <v>42131</v>
      </c>
      <c r="E112" s="1">
        <f t="shared" si="6"/>
        <v>2015</v>
      </c>
      <c r="F112" s="2" t="str">
        <f t="shared" si="7"/>
        <v>May</v>
      </c>
      <c r="G112" s="1">
        <f t="shared" si="8"/>
        <v>5</v>
      </c>
      <c r="H112" s="1">
        <f t="shared" si="5"/>
        <v>2</v>
      </c>
      <c r="I112" s="1" t="s">
        <v>38</v>
      </c>
      <c r="J112" s="1" t="s">
        <v>690</v>
      </c>
      <c r="K112" s="1" t="s">
        <v>691</v>
      </c>
      <c r="L112" s="1" t="s">
        <v>51</v>
      </c>
      <c r="M112" s="1" t="s">
        <v>29</v>
      </c>
      <c r="N112" s="1" t="s">
        <v>692</v>
      </c>
      <c r="O112" s="1" t="s">
        <v>53</v>
      </c>
      <c r="P112" s="1">
        <v>22204</v>
      </c>
      <c r="Q112" s="1" t="s">
        <v>54</v>
      </c>
      <c r="R112" s="1" t="s">
        <v>693</v>
      </c>
      <c r="S112" s="1" t="s">
        <v>34</v>
      </c>
      <c r="T112" s="1" t="s">
        <v>109</v>
      </c>
      <c r="U112" s="1" t="s">
        <v>694</v>
      </c>
      <c r="V112" s="3">
        <v>11.88</v>
      </c>
      <c r="W112" s="1" t="str">
        <f t="shared" si="9"/>
        <v>Fast Delivery</v>
      </c>
    </row>
    <row r="113" spans="1:23" x14ac:dyDescent="0.25">
      <c r="A113" s="1">
        <v>719</v>
      </c>
      <c r="B113" s="2" t="s">
        <v>695</v>
      </c>
      <c r="C113" s="2">
        <v>42157</v>
      </c>
      <c r="D113" s="2">
        <v>42162</v>
      </c>
      <c r="E113" s="1">
        <f t="shared" si="6"/>
        <v>2015</v>
      </c>
      <c r="F113" s="2" t="str">
        <f t="shared" si="7"/>
        <v>Jun</v>
      </c>
      <c r="G113" s="1">
        <f t="shared" si="8"/>
        <v>6</v>
      </c>
      <c r="H113" s="1">
        <f t="shared" si="5"/>
        <v>5</v>
      </c>
      <c r="I113" s="1" t="s">
        <v>25</v>
      </c>
      <c r="J113" s="1" t="s">
        <v>696</v>
      </c>
      <c r="K113" s="1" t="s">
        <v>697</v>
      </c>
      <c r="L113" s="1" t="s">
        <v>131</v>
      </c>
      <c r="M113" s="1" t="s">
        <v>29</v>
      </c>
      <c r="N113" s="1" t="s">
        <v>698</v>
      </c>
      <c r="O113" s="1" t="s">
        <v>447</v>
      </c>
      <c r="P113" s="1">
        <v>84057</v>
      </c>
      <c r="Q113" s="1" t="s">
        <v>107</v>
      </c>
      <c r="R113" s="1" t="s">
        <v>699</v>
      </c>
      <c r="S113" s="1" t="s">
        <v>34</v>
      </c>
      <c r="T113" s="1" t="s">
        <v>109</v>
      </c>
      <c r="U113" s="1" t="s">
        <v>700</v>
      </c>
      <c r="V113" s="3">
        <v>59.808</v>
      </c>
      <c r="W113" s="1" t="str">
        <f t="shared" si="9"/>
        <v>Slow Delivery</v>
      </c>
    </row>
    <row r="114" spans="1:23" x14ac:dyDescent="0.25">
      <c r="A114" s="1">
        <v>1700</v>
      </c>
      <c r="B114" s="2" t="s">
        <v>701</v>
      </c>
      <c r="C114" s="2">
        <v>42158</v>
      </c>
      <c r="D114" s="2">
        <v>42162</v>
      </c>
      <c r="E114" s="1">
        <f t="shared" si="6"/>
        <v>2015</v>
      </c>
      <c r="F114" s="2" t="str">
        <f t="shared" si="7"/>
        <v>Jun</v>
      </c>
      <c r="G114" s="1">
        <f t="shared" si="8"/>
        <v>6</v>
      </c>
      <c r="H114" s="1">
        <f t="shared" si="5"/>
        <v>4</v>
      </c>
      <c r="I114" s="1" t="s">
        <v>83</v>
      </c>
      <c r="J114" s="1" t="s">
        <v>702</v>
      </c>
      <c r="K114" s="1" t="s">
        <v>703</v>
      </c>
      <c r="L114" s="1" t="s">
        <v>28</v>
      </c>
      <c r="M114" s="1" t="s">
        <v>29</v>
      </c>
      <c r="N114" s="1" t="s">
        <v>488</v>
      </c>
      <c r="O114" s="1" t="s">
        <v>424</v>
      </c>
      <c r="P114" s="1">
        <v>98115</v>
      </c>
      <c r="Q114" s="1" t="s">
        <v>107</v>
      </c>
      <c r="R114" s="1" t="s">
        <v>704</v>
      </c>
      <c r="S114" s="1" t="s">
        <v>45</v>
      </c>
      <c r="T114" s="1" t="s">
        <v>329</v>
      </c>
      <c r="U114" s="1" t="s">
        <v>705</v>
      </c>
      <c r="V114" s="3">
        <v>515.88</v>
      </c>
      <c r="W114" s="1" t="str">
        <f t="shared" si="9"/>
        <v>Slow Delivery</v>
      </c>
    </row>
    <row r="115" spans="1:23" x14ac:dyDescent="0.25">
      <c r="A115" s="1">
        <v>6323</v>
      </c>
      <c r="B115" s="2" t="s">
        <v>706</v>
      </c>
      <c r="C115" s="2">
        <v>42158</v>
      </c>
      <c r="D115" s="2">
        <v>42162</v>
      </c>
      <c r="E115" s="1">
        <f t="shared" si="6"/>
        <v>2015</v>
      </c>
      <c r="F115" s="2" t="str">
        <f t="shared" si="7"/>
        <v>Jun</v>
      </c>
      <c r="G115" s="1">
        <f t="shared" si="8"/>
        <v>6</v>
      </c>
      <c r="H115" s="1">
        <f t="shared" si="5"/>
        <v>4</v>
      </c>
      <c r="I115" s="1" t="s">
        <v>83</v>
      </c>
      <c r="J115" s="1" t="s">
        <v>707</v>
      </c>
      <c r="K115" s="1" t="s">
        <v>708</v>
      </c>
      <c r="L115" s="1" t="s">
        <v>131</v>
      </c>
      <c r="M115" s="1" t="s">
        <v>29</v>
      </c>
      <c r="N115" s="1" t="s">
        <v>709</v>
      </c>
      <c r="O115" s="1" t="s">
        <v>172</v>
      </c>
      <c r="P115" s="1">
        <v>48640</v>
      </c>
      <c r="Q115" s="1" t="s">
        <v>32</v>
      </c>
      <c r="R115" s="1" t="s">
        <v>710</v>
      </c>
      <c r="S115" s="1" t="s">
        <v>34</v>
      </c>
      <c r="T115" s="1" t="s">
        <v>426</v>
      </c>
      <c r="U115" s="1" t="s">
        <v>711</v>
      </c>
      <c r="V115" s="3">
        <v>15.28</v>
      </c>
      <c r="W115" s="1" t="str">
        <f t="shared" si="9"/>
        <v>Slow Delivery</v>
      </c>
    </row>
    <row r="116" spans="1:23" x14ac:dyDescent="0.25">
      <c r="A116" s="1">
        <v>6733</v>
      </c>
      <c r="B116" s="2" t="s">
        <v>712</v>
      </c>
      <c r="C116" s="2">
        <v>42189</v>
      </c>
      <c r="D116" s="2">
        <v>42192</v>
      </c>
      <c r="E116" s="1">
        <f t="shared" si="6"/>
        <v>2015</v>
      </c>
      <c r="F116" s="2" t="str">
        <f t="shared" si="7"/>
        <v>Jul</v>
      </c>
      <c r="G116" s="1">
        <f t="shared" si="8"/>
        <v>7</v>
      </c>
      <c r="H116" s="1">
        <f t="shared" si="5"/>
        <v>3</v>
      </c>
      <c r="I116" s="1" t="s">
        <v>38</v>
      </c>
      <c r="J116" s="1" t="s">
        <v>713</v>
      </c>
      <c r="K116" s="1" t="s">
        <v>714</v>
      </c>
      <c r="L116" s="1" t="s">
        <v>51</v>
      </c>
      <c r="M116" s="1" t="s">
        <v>29</v>
      </c>
      <c r="N116" s="1" t="s">
        <v>715</v>
      </c>
      <c r="O116" s="1" t="s">
        <v>327</v>
      </c>
      <c r="P116" s="1">
        <v>80013</v>
      </c>
      <c r="Q116" s="1" t="s">
        <v>107</v>
      </c>
      <c r="R116" s="1" t="s">
        <v>716</v>
      </c>
      <c r="S116" s="1" t="s">
        <v>34</v>
      </c>
      <c r="T116" s="1" t="s">
        <v>174</v>
      </c>
      <c r="U116" s="1" t="s">
        <v>717</v>
      </c>
      <c r="V116" s="3">
        <v>177.536</v>
      </c>
      <c r="W116" s="1" t="str">
        <f t="shared" si="9"/>
        <v>Fast Delivery</v>
      </c>
    </row>
    <row r="117" spans="1:23" x14ac:dyDescent="0.25">
      <c r="A117" s="1">
        <v>5865</v>
      </c>
      <c r="B117" s="2" t="s">
        <v>718</v>
      </c>
      <c r="C117" s="2">
        <v>42221</v>
      </c>
      <c r="D117" s="2">
        <v>42223</v>
      </c>
      <c r="E117" s="1">
        <f t="shared" si="6"/>
        <v>2015</v>
      </c>
      <c r="F117" s="2" t="str">
        <f t="shared" si="7"/>
        <v>Aug</v>
      </c>
      <c r="G117" s="1">
        <f t="shared" si="8"/>
        <v>8</v>
      </c>
      <c r="H117" s="1">
        <f t="shared" si="5"/>
        <v>2</v>
      </c>
      <c r="I117" s="1" t="s">
        <v>83</v>
      </c>
      <c r="J117" s="1" t="s">
        <v>719</v>
      </c>
      <c r="K117" s="1" t="s">
        <v>720</v>
      </c>
      <c r="L117" s="1" t="s">
        <v>51</v>
      </c>
      <c r="M117" s="1" t="s">
        <v>29</v>
      </c>
      <c r="N117" s="1" t="s">
        <v>721</v>
      </c>
      <c r="O117" s="1" t="s">
        <v>197</v>
      </c>
      <c r="P117" s="1">
        <v>6450</v>
      </c>
      <c r="Q117" s="1" t="s">
        <v>43</v>
      </c>
      <c r="R117" s="1" t="s">
        <v>722</v>
      </c>
      <c r="S117" s="1" t="s">
        <v>34</v>
      </c>
      <c r="T117" s="1" t="s">
        <v>74</v>
      </c>
      <c r="U117" s="1" t="s">
        <v>723</v>
      </c>
      <c r="V117" s="3">
        <v>79.47</v>
      </c>
      <c r="W117" s="1" t="str">
        <f t="shared" si="9"/>
        <v>Fast Delivery</v>
      </c>
    </row>
    <row r="118" spans="1:23" x14ac:dyDescent="0.25">
      <c r="A118" s="1">
        <v>5029</v>
      </c>
      <c r="B118" s="2" t="s">
        <v>724</v>
      </c>
      <c r="C118" s="2">
        <v>42249</v>
      </c>
      <c r="D118" s="2">
        <v>42254</v>
      </c>
      <c r="E118" s="1">
        <f t="shared" si="6"/>
        <v>2015</v>
      </c>
      <c r="F118" s="2" t="str">
        <f t="shared" si="7"/>
        <v>Sep</v>
      </c>
      <c r="G118" s="1">
        <f t="shared" si="8"/>
        <v>9</v>
      </c>
      <c r="H118" s="1">
        <f t="shared" si="5"/>
        <v>5</v>
      </c>
      <c r="I118" s="1" t="s">
        <v>83</v>
      </c>
      <c r="J118" s="1" t="s">
        <v>725</v>
      </c>
      <c r="K118" s="1" t="s">
        <v>726</v>
      </c>
      <c r="L118" s="1" t="s">
        <v>28</v>
      </c>
      <c r="M118" s="1" t="s">
        <v>29</v>
      </c>
      <c r="N118" s="1" t="s">
        <v>221</v>
      </c>
      <c r="O118" s="1" t="s">
        <v>222</v>
      </c>
      <c r="P118" s="1">
        <v>60653</v>
      </c>
      <c r="Q118" s="1" t="s">
        <v>32</v>
      </c>
      <c r="R118" s="1" t="s">
        <v>727</v>
      </c>
      <c r="S118" s="1" t="s">
        <v>64</v>
      </c>
      <c r="T118" s="1" t="s">
        <v>65</v>
      </c>
      <c r="U118" s="1" t="s">
        <v>728</v>
      </c>
      <c r="V118" s="3">
        <v>239.976</v>
      </c>
      <c r="W118" s="1" t="str">
        <f t="shared" si="9"/>
        <v>Slow Delivery</v>
      </c>
    </row>
    <row r="119" spans="1:23" x14ac:dyDescent="0.25">
      <c r="A119" s="1">
        <v>7289</v>
      </c>
      <c r="B119" s="2" t="s">
        <v>729</v>
      </c>
      <c r="C119" s="2">
        <v>42249</v>
      </c>
      <c r="D119" s="2">
        <v>42254</v>
      </c>
      <c r="E119" s="1">
        <f t="shared" si="6"/>
        <v>2015</v>
      </c>
      <c r="F119" s="2" t="str">
        <f t="shared" si="7"/>
        <v>Sep</v>
      </c>
      <c r="G119" s="1">
        <f t="shared" si="8"/>
        <v>9</v>
      </c>
      <c r="H119" s="1">
        <f t="shared" si="5"/>
        <v>5</v>
      </c>
      <c r="I119" s="1" t="s">
        <v>25</v>
      </c>
      <c r="J119" s="1" t="s">
        <v>730</v>
      </c>
      <c r="K119" s="1" t="s">
        <v>731</v>
      </c>
      <c r="L119" s="1" t="s">
        <v>51</v>
      </c>
      <c r="M119" s="1" t="s">
        <v>29</v>
      </c>
      <c r="N119" s="1" t="s">
        <v>150</v>
      </c>
      <c r="O119" s="1" t="s">
        <v>31</v>
      </c>
      <c r="P119" s="1">
        <v>77095</v>
      </c>
      <c r="Q119" s="1" t="s">
        <v>32</v>
      </c>
      <c r="R119" s="1" t="s">
        <v>732</v>
      </c>
      <c r="S119" s="1" t="s">
        <v>64</v>
      </c>
      <c r="T119" s="1" t="s">
        <v>733</v>
      </c>
      <c r="U119" s="1" t="s">
        <v>734</v>
      </c>
      <c r="V119" s="3">
        <v>559.71</v>
      </c>
      <c r="W119" s="1" t="str">
        <f t="shared" si="9"/>
        <v>Slow Delivery</v>
      </c>
    </row>
    <row r="120" spans="1:23" x14ac:dyDescent="0.25">
      <c r="A120" s="1">
        <v>9034</v>
      </c>
      <c r="B120" s="2" t="s">
        <v>735</v>
      </c>
      <c r="C120" s="2">
        <v>42249</v>
      </c>
      <c r="D120" s="2">
        <v>42254</v>
      </c>
      <c r="E120" s="1">
        <f t="shared" si="6"/>
        <v>2015</v>
      </c>
      <c r="F120" s="2" t="str">
        <f t="shared" si="7"/>
        <v>Sep</v>
      </c>
      <c r="G120" s="1">
        <f t="shared" si="8"/>
        <v>9</v>
      </c>
      <c r="H120" s="1">
        <f t="shared" si="5"/>
        <v>5</v>
      </c>
      <c r="I120" s="1" t="s">
        <v>25</v>
      </c>
      <c r="J120" s="1" t="s">
        <v>736</v>
      </c>
      <c r="K120" s="1" t="s">
        <v>737</v>
      </c>
      <c r="L120" s="1" t="s">
        <v>28</v>
      </c>
      <c r="M120" s="1" t="s">
        <v>29</v>
      </c>
      <c r="N120" s="1" t="s">
        <v>738</v>
      </c>
      <c r="O120" s="1" t="s">
        <v>528</v>
      </c>
      <c r="P120" s="1">
        <v>72701</v>
      </c>
      <c r="Q120" s="1" t="s">
        <v>54</v>
      </c>
      <c r="R120" s="1" t="s">
        <v>739</v>
      </c>
      <c r="S120" s="1" t="s">
        <v>34</v>
      </c>
      <c r="T120" s="1" t="s">
        <v>109</v>
      </c>
      <c r="U120" s="1" t="s">
        <v>740</v>
      </c>
      <c r="V120" s="3">
        <v>1793.98</v>
      </c>
      <c r="W120" s="1" t="str">
        <f t="shared" si="9"/>
        <v>Slow Delivery</v>
      </c>
    </row>
    <row r="121" spans="1:23" x14ac:dyDescent="0.25">
      <c r="A121" s="1">
        <v>5430</v>
      </c>
      <c r="B121" s="2" t="s">
        <v>741</v>
      </c>
      <c r="C121" s="2">
        <v>42252</v>
      </c>
      <c r="D121" s="2">
        <v>42254</v>
      </c>
      <c r="E121" s="1">
        <f t="shared" si="6"/>
        <v>2015</v>
      </c>
      <c r="F121" s="2" t="str">
        <f t="shared" si="7"/>
        <v>Sep</v>
      </c>
      <c r="G121" s="1">
        <f t="shared" si="8"/>
        <v>9</v>
      </c>
      <c r="H121" s="1">
        <f t="shared" si="5"/>
        <v>2</v>
      </c>
      <c r="I121" s="1" t="s">
        <v>38</v>
      </c>
      <c r="J121" s="1" t="s">
        <v>742</v>
      </c>
      <c r="K121" s="1" t="s">
        <v>743</v>
      </c>
      <c r="L121" s="1" t="s">
        <v>28</v>
      </c>
      <c r="M121" s="1" t="s">
        <v>29</v>
      </c>
      <c r="N121" s="1" t="s">
        <v>744</v>
      </c>
      <c r="O121" s="1" t="s">
        <v>190</v>
      </c>
      <c r="P121" s="1">
        <v>33710</v>
      </c>
      <c r="Q121" s="1" t="s">
        <v>54</v>
      </c>
      <c r="R121" s="1" t="s">
        <v>745</v>
      </c>
      <c r="S121" s="1" t="s">
        <v>45</v>
      </c>
      <c r="T121" s="1" t="s">
        <v>46</v>
      </c>
      <c r="U121" s="1" t="s">
        <v>746</v>
      </c>
      <c r="V121" s="3">
        <v>31.984000000000002</v>
      </c>
      <c r="W121" s="1" t="str">
        <f t="shared" si="9"/>
        <v>Fast Delivery</v>
      </c>
    </row>
    <row r="122" spans="1:23" x14ac:dyDescent="0.25">
      <c r="A122" s="1">
        <v>8218</v>
      </c>
      <c r="B122" s="2" t="s">
        <v>747</v>
      </c>
      <c r="C122" s="2">
        <v>42280</v>
      </c>
      <c r="D122" s="2">
        <v>42284</v>
      </c>
      <c r="E122" s="1">
        <f t="shared" si="6"/>
        <v>2015</v>
      </c>
      <c r="F122" s="2" t="str">
        <f t="shared" si="7"/>
        <v>Oct</v>
      </c>
      <c r="G122" s="1">
        <f t="shared" si="8"/>
        <v>10</v>
      </c>
      <c r="H122" s="1">
        <f t="shared" si="5"/>
        <v>4</v>
      </c>
      <c r="I122" s="1" t="s">
        <v>25</v>
      </c>
      <c r="J122" s="1" t="s">
        <v>748</v>
      </c>
      <c r="K122" s="1" t="s">
        <v>749</v>
      </c>
      <c r="L122" s="1" t="s">
        <v>28</v>
      </c>
      <c r="M122" s="1" t="s">
        <v>29</v>
      </c>
      <c r="N122" s="1" t="s">
        <v>750</v>
      </c>
      <c r="O122" s="1" t="s">
        <v>31</v>
      </c>
      <c r="P122" s="1">
        <v>75217</v>
      </c>
      <c r="Q122" s="1" t="s">
        <v>32</v>
      </c>
      <c r="R122" s="1" t="s">
        <v>751</v>
      </c>
      <c r="S122" s="1" t="s">
        <v>34</v>
      </c>
      <c r="T122" s="1" t="s">
        <v>231</v>
      </c>
      <c r="U122" s="1" t="s">
        <v>752</v>
      </c>
      <c r="V122" s="3">
        <v>4.3440000000000003</v>
      </c>
      <c r="W122" s="1" t="str">
        <f t="shared" si="9"/>
        <v>Slow Delivery</v>
      </c>
    </row>
    <row r="123" spans="1:23" x14ac:dyDescent="0.25">
      <c r="A123" s="1">
        <v>806</v>
      </c>
      <c r="B123" s="2" t="s">
        <v>753</v>
      </c>
      <c r="C123" s="2">
        <v>42309</v>
      </c>
      <c r="D123" s="2">
        <v>42315</v>
      </c>
      <c r="E123" s="1">
        <f t="shared" si="6"/>
        <v>2015</v>
      </c>
      <c r="F123" s="2" t="str">
        <f t="shared" si="7"/>
        <v>Nov</v>
      </c>
      <c r="G123" s="1">
        <f t="shared" si="8"/>
        <v>11</v>
      </c>
      <c r="H123" s="1">
        <f t="shared" si="5"/>
        <v>6</v>
      </c>
      <c r="I123" s="1" t="s">
        <v>25</v>
      </c>
      <c r="J123" s="1" t="s">
        <v>754</v>
      </c>
      <c r="K123" s="1" t="s">
        <v>755</v>
      </c>
      <c r="L123" s="1" t="s">
        <v>28</v>
      </c>
      <c r="M123" s="1" t="s">
        <v>29</v>
      </c>
      <c r="N123" s="1" t="s">
        <v>326</v>
      </c>
      <c r="O123" s="1" t="s">
        <v>327</v>
      </c>
      <c r="P123" s="1">
        <v>80219</v>
      </c>
      <c r="Q123" s="1" t="s">
        <v>107</v>
      </c>
      <c r="R123" s="1" t="s">
        <v>756</v>
      </c>
      <c r="S123" s="1" t="s">
        <v>34</v>
      </c>
      <c r="T123" s="1" t="s">
        <v>35</v>
      </c>
      <c r="U123" s="1" t="s">
        <v>757</v>
      </c>
      <c r="V123" s="3">
        <v>43.176000000000002</v>
      </c>
      <c r="W123" s="1" t="str">
        <f t="shared" si="9"/>
        <v>Slow Delivery</v>
      </c>
    </row>
    <row r="124" spans="1:23" x14ac:dyDescent="0.25">
      <c r="A124" s="1">
        <v>6228</v>
      </c>
      <c r="B124" s="2" t="s">
        <v>758</v>
      </c>
      <c r="C124" s="2">
        <v>42310</v>
      </c>
      <c r="D124" s="2">
        <v>42315</v>
      </c>
      <c r="E124" s="1">
        <f t="shared" si="6"/>
        <v>2015</v>
      </c>
      <c r="F124" s="2" t="str">
        <f t="shared" si="7"/>
        <v>Nov</v>
      </c>
      <c r="G124" s="1">
        <f t="shared" si="8"/>
        <v>11</v>
      </c>
      <c r="H124" s="1">
        <f t="shared" si="5"/>
        <v>5</v>
      </c>
      <c r="I124" s="1" t="s">
        <v>25</v>
      </c>
      <c r="J124" s="1" t="s">
        <v>759</v>
      </c>
      <c r="K124" s="1" t="s">
        <v>760</v>
      </c>
      <c r="L124" s="1" t="s">
        <v>28</v>
      </c>
      <c r="M124" s="1" t="s">
        <v>29</v>
      </c>
      <c r="N124" s="1" t="s">
        <v>761</v>
      </c>
      <c r="O124" s="1" t="s">
        <v>31</v>
      </c>
      <c r="P124" s="1">
        <v>75061</v>
      </c>
      <c r="Q124" s="1" t="s">
        <v>32</v>
      </c>
      <c r="R124" s="1" t="s">
        <v>551</v>
      </c>
      <c r="S124" s="1" t="s">
        <v>64</v>
      </c>
      <c r="T124" s="1" t="s">
        <v>159</v>
      </c>
      <c r="U124" s="1" t="s">
        <v>552</v>
      </c>
      <c r="V124" s="3">
        <v>88.775999999999996</v>
      </c>
      <c r="W124" s="1" t="str">
        <f t="shared" si="9"/>
        <v>Slow Delivery</v>
      </c>
    </row>
    <row r="125" spans="1:23" x14ac:dyDescent="0.25">
      <c r="A125" s="1">
        <v>7577</v>
      </c>
      <c r="B125" s="2" t="s">
        <v>762</v>
      </c>
      <c r="C125" s="2">
        <v>42310</v>
      </c>
      <c r="D125" s="2">
        <v>42315</v>
      </c>
      <c r="E125" s="1">
        <f t="shared" si="6"/>
        <v>2015</v>
      </c>
      <c r="F125" s="2" t="str">
        <f t="shared" si="7"/>
        <v>Nov</v>
      </c>
      <c r="G125" s="1">
        <f t="shared" si="8"/>
        <v>11</v>
      </c>
      <c r="H125" s="1">
        <f t="shared" si="5"/>
        <v>5</v>
      </c>
      <c r="I125" s="1" t="s">
        <v>83</v>
      </c>
      <c r="J125" s="1" t="s">
        <v>763</v>
      </c>
      <c r="K125" s="1" t="s">
        <v>764</v>
      </c>
      <c r="L125" s="1" t="s">
        <v>51</v>
      </c>
      <c r="M125" s="1" t="s">
        <v>29</v>
      </c>
      <c r="N125" s="1" t="s">
        <v>488</v>
      </c>
      <c r="O125" s="1" t="s">
        <v>424</v>
      </c>
      <c r="P125" s="1">
        <v>98115</v>
      </c>
      <c r="Q125" s="1" t="s">
        <v>107</v>
      </c>
      <c r="R125" s="1" t="s">
        <v>765</v>
      </c>
      <c r="S125" s="1" t="s">
        <v>64</v>
      </c>
      <c r="T125" s="1" t="s">
        <v>65</v>
      </c>
      <c r="U125" s="1" t="s">
        <v>766</v>
      </c>
      <c r="V125" s="3">
        <v>41.94</v>
      </c>
      <c r="W125" s="1" t="str">
        <f t="shared" si="9"/>
        <v>Slow Delivery</v>
      </c>
    </row>
    <row r="126" spans="1:23" x14ac:dyDescent="0.25">
      <c r="A126" s="1">
        <v>4759</v>
      </c>
      <c r="B126" s="2" t="s">
        <v>767</v>
      </c>
      <c r="C126" s="2">
        <v>42311</v>
      </c>
      <c r="D126" s="2">
        <v>42315</v>
      </c>
      <c r="E126" s="1">
        <f t="shared" si="6"/>
        <v>2015</v>
      </c>
      <c r="F126" s="2" t="str">
        <f t="shared" si="7"/>
        <v>Nov</v>
      </c>
      <c r="G126" s="1">
        <f t="shared" si="8"/>
        <v>11</v>
      </c>
      <c r="H126" s="1">
        <f t="shared" si="5"/>
        <v>4</v>
      </c>
      <c r="I126" s="1" t="s">
        <v>25</v>
      </c>
      <c r="J126" s="1" t="s">
        <v>768</v>
      </c>
      <c r="K126" s="1" t="s">
        <v>769</v>
      </c>
      <c r="L126" s="1" t="s">
        <v>28</v>
      </c>
      <c r="M126" s="1" t="s">
        <v>29</v>
      </c>
      <c r="N126" s="1" t="s">
        <v>114</v>
      </c>
      <c r="O126" s="1" t="s">
        <v>115</v>
      </c>
      <c r="P126" s="1">
        <v>10009</v>
      </c>
      <c r="Q126" s="1" t="s">
        <v>43</v>
      </c>
      <c r="R126" s="1" t="s">
        <v>770</v>
      </c>
      <c r="S126" s="1" t="s">
        <v>64</v>
      </c>
      <c r="T126" s="1" t="s">
        <v>159</v>
      </c>
      <c r="U126" s="1" t="s">
        <v>771</v>
      </c>
      <c r="V126" s="3">
        <v>783.96</v>
      </c>
      <c r="W126" s="1" t="str">
        <f t="shared" si="9"/>
        <v>Slow Delivery</v>
      </c>
    </row>
    <row r="127" spans="1:23" x14ac:dyDescent="0.25">
      <c r="A127" s="1">
        <v>9078</v>
      </c>
      <c r="B127" s="2" t="s">
        <v>772</v>
      </c>
      <c r="C127" s="2">
        <v>42311</v>
      </c>
      <c r="D127" s="2">
        <v>42315</v>
      </c>
      <c r="E127" s="1">
        <f t="shared" si="6"/>
        <v>2015</v>
      </c>
      <c r="F127" s="2" t="str">
        <f t="shared" si="7"/>
        <v>Nov</v>
      </c>
      <c r="G127" s="1">
        <f t="shared" si="8"/>
        <v>11</v>
      </c>
      <c r="H127" s="1">
        <f t="shared" si="5"/>
        <v>4</v>
      </c>
      <c r="I127" s="1" t="s">
        <v>25</v>
      </c>
      <c r="J127" s="1" t="s">
        <v>773</v>
      </c>
      <c r="K127" s="1" t="s">
        <v>774</v>
      </c>
      <c r="L127" s="1" t="s">
        <v>51</v>
      </c>
      <c r="M127" s="1" t="s">
        <v>29</v>
      </c>
      <c r="N127" s="1" t="s">
        <v>775</v>
      </c>
      <c r="O127" s="1" t="s">
        <v>776</v>
      </c>
      <c r="P127" s="1">
        <v>68104</v>
      </c>
      <c r="Q127" s="1" t="s">
        <v>32</v>
      </c>
      <c r="R127" s="1" t="s">
        <v>777</v>
      </c>
      <c r="S127" s="1" t="s">
        <v>64</v>
      </c>
      <c r="T127" s="1" t="s">
        <v>65</v>
      </c>
      <c r="U127" s="1" t="s">
        <v>778</v>
      </c>
      <c r="V127" s="3">
        <v>89.97</v>
      </c>
      <c r="W127" s="1" t="str">
        <f t="shared" si="9"/>
        <v>Slow Delivery</v>
      </c>
    </row>
    <row r="128" spans="1:23" x14ac:dyDescent="0.25">
      <c r="A128" s="1">
        <v>3199</v>
      </c>
      <c r="B128" s="2" t="s">
        <v>779</v>
      </c>
      <c r="C128" s="2">
        <v>42339</v>
      </c>
      <c r="D128" s="2">
        <v>42345</v>
      </c>
      <c r="E128" s="1">
        <f t="shared" si="6"/>
        <v>2015</v>
      </c>
      <c r="F128" s="2" t="str">
        <f t="shared" si="7"/>
        <v>Dec</v>
      </c>
      <c r="G128" s="1">
        <f t="shared" si="8"/>
        <v>12</v>
      </c>
      <c r="H128" s="1">
        <f t="shared" si="5"/>
        <v>6</v>
      </c>
      <c r="I128" s="1" t="s">
        <v>25</v>
      </c>
      <c r="J128" s="1" t="s">
        <v>780</v>
      </c>
      <c r="K128" s="1" t="s">
        <v>781</v>
      </c>
      <c r="L128" s="1" t="s">
        <v>28</v>
      </c>
      <c r="M128" s="1" t="s">
        <v>29</v>
      </c>
      <c r="N128" s="1" t="s">
        <v>782</v>
      </c>
      <c r="O128" s="1" t="s">
        <v>320</v>
      </c>
      <c r="P128" s="1">
        <v>28540</v>
      </c>
      <c r="Q128" s="1" t="s">
        <v>54</v>
      </c>
      <c r="R128" s="1" t="s">
        <v>783</v>
      </c>
      <c r="S128" s="1" t="s">
        <v>64</v>
      </c>
      <c r="T128" s="1" t="s">
        <v>159</v>
      </c>
      <c r="U128" s="1" t="s">
        <v>784</v>
      </c>
      <c r="V128" s="3">
        <v>95.968000000000004</v>
      </c>
      <c r="W128" s="1" t="str">
        <f t="shared" si="9"/>
        <v>Slow Delivery</v>
      </c>
    </row>
    <row r="129" spans="1:23" x14ac:dyDescent="0.25">
      <c r="A129" s="1">
        <v>4876</v>
      </c>
      <c r="B129" s="2" t="s">
        <v>785</v>
      </c>
      <c r="C129" s="2">
        <v>42340</v>
      </c>
      <c r="D129" s="2">
        <v>42345</v>
      </c>
      <c r="E129" s="1">
        <f t="shared" si="6"/>
        <v>2015</v>
      </c>
      <c r="F129" s="2" t="str">
        <f t="shared" si="7"/>
        <v>Dec</v>
      </c>
      <c r="G129" s="1">
        <f t="shared" si="8"/>
        <v>12</v>
      </c>
      <c r="H129" s="1">
        <f t="shared" si="5"/>
        <v>5</v>
      </c>
      <c r="I129" s="1" t="s">
        <v>25</v>
      </c>
      <c r="J129" s="1" t="s">
        <v>786</v>
      </c>
      <c r="K129" s="1" t="s">
        <v>787</v>
      </c>
      <c r="L129" s="1" t="s">
        <v>51</v>
      </c>
      <c r="M129" s="1" t="s">
        <v>29</v>
      </c>
      <c r="N129" s="1" t="s">
        <v>71</v>
      </c>
      <c r="O129" s="1" t="s">
        <v>72</v>
      </c>
      <c r="P129" s="1">
        <v>43229</v>
      </c>
      <c r="Q129" s="1" t="s">
        <v>43</v>
      </c>
      <c r="R129" s="1" t="s">
        <v>788</v>
      </c>
      <c r="S129" s="1" t="s">
        <v>64</v>
      </c>
      <c r="T129" s="1" t="s">
        <v>65</v>
      </c>
      <c r="U129" s="1" t="s">
        <v>789</v>
      </c>
      <c r="V129" s="3">
        <v>119.8</v>
      </c>
      <c r="W129" s="1" t="str">
        <f t="shared" si="9"/>
        <v>Slow Delivery</v>
      </c>
    </row>
    <row r="130" spans="1:23" x14ac:dyDescent="0.25">
      <c r="A130" s="1">
        <v>6600</v>
      </c>
      <c r="B130" s="2" t="s">
        <v>790</v>
      </c>
      <c r="C130" s="2">
        <v>42340</v>
      </c>
      <c r="D130" s="2">
        <v>42345</v>
      </c>
      <c r="E130" s="1">
        <f t="shared" si="6"/>
        <v>2015</v>
      </c>
      <c r="F130" s="2" t="str">
        <f t="shared" si="7"/>
        <v>Dec</v>
      </c>
      <c r="G130" s="1">
        <f t="shared" si="8"/>
        <v>12</v>
      </c>
      <c r="H130" s="1">
        <f t="shared" ref="H130:H193" si="10">D130-C130</f>
        <v>5</v>
      </c>
      <c r="I130" s="1" t="s">
        <v>25</v>
      </c>
      <c r="J130" s="1" t="s">
        <v>791</v>
      </c>
      <c r="K130" s="1" t="s">
        <v>792</v>
      </c>
      <c r="L130" s="1" t="s">
        <v>51</v>
      </c>
      <c r="M130" s="1" t="s">
        <v>29</v>
      </c>
      <c r="N130" s="1" t="s">
        <v>793</v>
      </c>
      <c r="O130" s="1" t="s">
        <v>794</v>
      </c>
      <c r="P130" s="1">
        <v>20735</v>
      </c>
      <c r="Q130" s="1" t="s">
        <v>43</v>
      </c>
      <c r="R130" s="1" t="s">
        <v>795</v>
      </c>
      <c r="S130" s="1" t="s">
        <v>45</v>
      </c>
      <c r="T130" s="1" t="s">
        <v>46</v>
      </c>
      <c r="U130" s="1" t="s">
        <v>796</v>
      </c>
      <c r="V130" s="3">
        <v>60.72</v>
      </c>
      <c r="W130" s="1" t="str">
        <f t="shared" si="9"/>
        <v>Slow Delivery</v>
      </c>
    </row>
    <row r="131" spans="1:23" x14ac:dyDescent="0.25">
      <c r="A131" s="1">
        <v>5378</v>
      </c>
      <c r="B131" s="2" t="s">
        <v>797</v>
      </c>
      <c r="C131" s="2">
        <v>42343</v>
      </c>
      <c r="D131" s="2">
        <v>42345</v>
      </c>
      <c r="E131" s="1">
        <f t="shared" ref="E131:E194" si="11">YEAR(C131)</f>
        <v>2015</v>
      </c>
      <c r="F131" s="2" t="str">
        <f t="shared" ref="F131:F194" si="12">TEXT(C131,"mmm")</f>
        <v>Dec</v>
      </c>
      <c r="G131" s="1">
        <f t="shared" ref="G131:G194" si="13">MONTH(C131)</f>
        <v>12</v>
      </c>
      <c r="H131" s="1">
        <f t="shared" si="10"/>
        <v>2</v>
      </c>
      <c r="I131" s="1" t="s">
        <v>38</v>
      </c>
      <c r="J131" s="1" t="s">
        <v>798</v>
      </c>
      <c r="K131" s="1" t="s">
        <v>799</v>
      </c>
      <c r="L131" s="1" t="s">
        <v>51</v>
      </c>
      <c r="M131" s="1" t="s">
        <v>29</v>
      </c>
      <c r="N131" s="1" t="s">
        <v>410</v>
      </c>
      <c r="O131" s="1" t="s">
        <v>411</v>
      </c>
      <c r="P131" s="1">
        <v>19134</v>
      </c>
      <c r="Q131" s="1" t="s">
        <v>43</v>
      </c>
      <c r="R131" s="1" t="s">
        <v>800</v>
      </c>
      <c r="S131" s="1" t="s">
        <v>34</v>
      </c>
      <c r="T131" s="1" t="s">
        <v>426</v>
      </c>
      <c r="U131" s="1" t="s">
        <v>801</v>
      </c>
      <c r="V131" s="3">
        <v>348.488</v>
      </c>
      <c r="W131" s="1" t="str">
        <f t="shared" ref="W131:W194" si="14">IF(H131&lt;=3,"Fast Delivery","Slow Delivery")</f>
        <v>Fast Delivery</v>
      </c>
    </row>
    <row r="132" spans="1:23" x14ac:dyDescent="0.25">
      <c r="A132" s="1">
        <v>7715</v>
      </c>
      <c r="B132" s="2" t="s">
        <v>802</v>
      </c>
      <c r="C132" s="2">
        <v>42343</v>
      </c>
      <c r="D132" s="2">
        <v>42345</v>
      </c>
      <c r="E132" s="1">
        <f t="shared" si="11"/>
        <v>2015</v>
      </c>
      <c r="F132" s="2" t="str">
        <f t="shared" si="12"/>
        <v>Dec</v>
      </c>
      <c r="G132" s="1">
        <f t="shared" si="13"/>
        <v>12</v>
      </c>
      <c r="H132" s="1">
        <f t="shared" si="10"/>
        <v>2</v>
      </c>
      <c r="I132" s="1" t="s">
        <v>38</v>
      </c>
      <c r="J132" s="1" t="s">
        <v>803</v>
      </c>
      <c r="K132" s="1" t="s">
        <v>804</v>
      </c>
      <c r="L132" s="1" t="s">
        <v>28</v>
      </c>
      <c r="M132" s="1" t="s">
        <v>29</v>
      </c>
      <c r="N132" s="1" t="s">
        <v>132</v>
      </c>
      <c r="O132" s="1" t="s">
        <v>106</v>
      </c>
      <c r="P132" s="1">
        <v>90032</v>
      </c>
      <c r="Q132" s="1" t="s">
        <v>107</v>
      </c>
      <c r="R132" s="1" t="s">
        <v>805</v>
      </c>
      <c r="S132" s="1" t="s">
        <v>34</v>
      </c>
      <c r="T132" s="1" t="s">
        <v>74</v>
      </c>
      <c r="U132" s="1" t="s">
        <v>806</v>
      </c>
      <c r="V132" s="3">
        <v>250.26</v>
      </c>
      <c r="W132" s="1" t="str">
        <f t="shared" si="14"/>
        <v>Fast Delivery</v>
      </c>
    </row>
    <row r="133" spans="1:23" x14ac:dyDescent="0.25">
      <c r="A133" s="1">
        <v>9243</v>
      </c>
      <c r="B133" s="2" t="s">
        <v>807</v>
      </c>
      <c r="C133" s="2">
        <v>42194</v>
      </c>
      <c r="D133" s="2">
        <v>42199</v>
      </c>
      <c r="E133" s="1">
        <f t="shared" si="11"/>
        <v>2015</v>
      </c>
      <c r="F133" s="2" t="str">
        <f t="shared" si="12"/>
        <v>Jul</v>
      </c>
      <c r="G133" s="1">
        <f t="shared" si="13"/>
        <v>7</v>
      </c>
      <c r="H133" s="1">
        <f t="shared" si="10"/>
        <v>5</v>
      </c>
      <c r="I133" s="1" t="s">
        <v>25</v>
      </c>
      <c r="J133" s="1" t="s">
        <v>808</v>
      </c>
      <c r="K133" s="1" t="s">
        <v>809</v>
      </c>
      <c r="L133" s="1" t="s">
        <v>131</v>
      </c>
      <c r="M133" s="1" t="s">
        <v>29</v>
      </c>
      <c r="N133" s="1" t="s">
        <v>105</v>
      </c>
      <c r="O133" s="1" t="s">
        <v>106</v>
      </c>
      <c r="P133" s="1">
        <v>94122</v>
      </c>
      <c r="Q133" s="1" t="s">
        <v>107</v>
      </c>
      <c r="R133" s="1" t="s">
        <v>810</v>
      </c>
      <c r="S133" s="1" t="s">
        <v>34</v>
      </c>
      <c r="T133" s="1" t="s">
        <v>109</v>
      </c>
      <c r="U133" s="1" t="s">
        <v>811</v>
      </c>
      <c r="V133" s="3">
        <v>14.304</v>
      </c>
      <c r="W133" s="1" t="str">
        <f t="shared" si="14"/>
        <v>Slow Delivery</v>
      </c>
    </row>
    <row r="134" spans="1:23" x14ac:dyDescent="0.25">
      <c r="A134" s="1">
        <v>5801</v>
      </c>
      <c r="B134" s="2" t="s">
        <v>812</v>
      </c>
      <c r="C134" s="2">
        <v>42196</v>
      </c>
      <c r="D134" s="2">
        <v>42199</v>
      </c>
      <c r="E134" s="1">
        <f t="shared" si="11"/>
        <v>2015</v>
      </c>
      <c r="F134" s="2" t="str">
        <f t="shared" si="12"/>
        <v>Jul</v>
      </c>
      <c r="G134" s="1">
        <f t="shared" si="13"/>
        <v>7</v>
      </c>
      <c r="H134" s="1">
        <f t="shared" si="10"/>
        <v>3</v>
      </c>
      <c r="I134" s="1" t="s">
        <v>38</v>
      </c>
      <c r="J134" s="1" t="s">
        <v>813</v>
      </c>
      <c r="K134" s="1" t="s">
        <v>814</v>
      </c>
      <c r="L134" s="1" t="s">
        <v>28</v>
      </c>
      <c r="M134" s="1" t="s">
        <v>29</v>
      </c>
      <c r="N134" s="1" t="s">
        <v>286</v>
      </c>
      <c r="O134" s="1" t="s">
        <v>31</v>
      </c>
      <c r="P134" s="1">
        <v>79907</v>
      </c>
      <c r="Q134" s="1" t="s">
        <v>32</v>
      </c>
      <c r="R134" s="1" t="s">
        <v>815</v>
      </c>
      <c r="S134" s="1" t="s">
        <v>64</v>
      </c>
      <c r="T134" s="1" t="s">
        <v>159</v>
      </c>
      <c r="U134" s="1" t="s">
        <v>816</v>
      </c>
      <c r="V134" s="3">
        <v>575.96799999999996</v>
      </c>
      <c r="W134" s="1" t="str">
        <f t="shared" si="14"/>
        <v>Fast Delivery</v>
      </c>
    </row>
    <row r="135" spans="1:23" x14ac:dyDescent="0.25">
      <c r="A135" s="1">
        <v>3367</v>
      </c>
      <c r="B135" s="2" t="s">
        <v>817</v>
      </c>
      <c r="C135" s="2">
        <v>42194</v>
      </c>
      <c r="D135" s="2">
        <v>42200</v>
      </c>
      <c r="E135" s="1">
        <f t="shared" si="11"/>
        <v>2015</v>
      </c>
      <c r="F135" s="2" t="str">
        <f t="shared" si="12"/>
        <v>Jul</v>
      </c>
      <c r="G135" s="1">
        <f t="shared" si="13"/>
        <v>7</v>
      </c>
      <c r="H135" s="1">
        <f t="shared" si="10"/>
        <v>6</v>
      </c>
      <c r="I135" s="1" t="s">
        <v>25</v>
      </c>
      <c r="J135" s="1" t="s">
        <v>818</v>
      </c>
      <c r="K135" s="1" t="s">
        <v>819</v>
      </c>
      <c r="L135" s="1" t="s">
        <v>51</v>
      </c>
      <c r="M135" s="1" t="s">
        <v>29</v>
      </c>
      <c r="N135" s="1" t="s">
        <v>750</v>
      </c>
      <c r="O135" s="1" t="s">
        <v>31</v>
      </c>
      <c r="P135" s="1">
        <v>75217</v>
      </c>
      <c r="Q135" s="1" t="s">
        <v>32</v>
      </c>
      <c r="R135" s="1" t="s">
        <v>820</v>
      </c>
      <c r="S135" s="1" t="s">
        <v>34</v>
      </c>
      <c r="T135" s="1" t="s">
        <v>174</v>
      </c>
      <c r="U135" s="1" t="s">
        <v>821</v>
      </c>
      <c r="V135" s="3">
        <v>10.368</v>
      </c>
      <c r="W135" s="1" t="str">
        <f t="shared" si="14"/>
        <v>Slow Delivery</v>
      </c>
    </row>
    <row r="136" spans="1:23" x14ac:dyDescent="0.25">
      <c r="A136" s="1">
        <v>1029</v>
      </c>
      <c r="B136" s="2" t="s">
        <v>822</v>
      </c>
      <c r="C136" s="2">
        <v>42196</v>
      </c>
      <c r="D136" s="2">
        <v>42200</v>
      </c>
      <c r="E136" s="1">
        <f t="shared" si="11"/>
        <v>2015</v>
      </c>
      <c r="F136" s="2" t="str">
        <f t="shared" si="12"/>
        <v>Jul</v>
      </c>
      <c r="G136" s="1">
        <f t="shared" si="13"/>
        <v>7</v>
      </c>
      <c r="H136" s="1">
        <f t="shared" si="10"/>
        <v>4</v>
      </c>
      <c r="I136" s="1" t="s">
        <v>25</v>
      </c>
      <c r="J136" s="1" t="s">
        <v>823</v>
      </c>
      <c r="K136" s="1" t="s">
        <v>824</v>
      </c>
      <c r="L136" s="1" t="s">
        <v>51</v>
      </c>
      <c r="M136" s="1" t="s">
        <v>29</v>
      </c>
      <c r="N136" s="1" t="s">
        <v>825</v>
      </c>
      <c r="O136" s="1" t="s">
        <v>388</v>
      </c>
      <c r="P136" s="1">
        <v>7601</v>
      </c>
      <c r="Q136" s="1" t="s">
        <v>43</v>
      </c>
      <c r="R136" s="1" t="s">
        <v>826</v>
      </c>
      <c r="S136" s="1" t="s">
        <v>34</v>
      </c>
      <c r="T136" s="1" t="s">
        <v>174</v>
      </c>
      <c r="U136" s="1" t="s">
        <v>827</v>
      </c>
      <c r="V136" s="3">
        <v>177.2</v>
      </c>
      <c r="W136" s="1" t="str">
        <f t="shared" si="14"/>
        <v>Slow Delivery</v>
      </c>
    </row>
    <row r="137" spans="1:23" x14ac:dyDescent="0.25">
      <c r="A137" s="1">
        <v>6335</v>
      </c>
      <c r="B137" s="2" t="s">
        <v>828</v>
      </c>
      <c r="C137" s="2">
        <v>42196</v>
      </c>
      <c r="D137" s="2">
        <v>42200</v>
      </c>
      <c r="E137" s="1">
        <f t="shared" si="11"/>
        <v>2015</v>
      </c>
      <c r="F137" s="2" t="str">
        <f t="shared" si="12"/>
        <v>Jul</v>
      </c>
      <c r="G137" s="1">
        <f t="shared" si="13"/>
        <v>7</v>
      </c>
      <c r="H137" s="1">
        <f t="shared" si="10"/>
        <v>4</v>
      </c>
      <c r="I137" s="1" t="s">
        <v>25</v>
      </c>
      <c r="J137" s="1" t="s">
        <v>829</v>
      </c>
      <c r="K137" s="1" t="s">
        <v>830</v>
      </c>
      <c r="L137" s="1" t="s">
        <v>28</v>
      </c>
      <c r="M137" s="1" t="s">
        <v>29</v>
      </c>
      <c r="N137" s="1" t="s">
        <v>114</v>
      </c>
      <c r="O137" s="1" t="s">
        <v>115</v>
      </c>
      <c r="P137" s="1">
        <v>10011</v>
      </c>
      <c r="Q137" s="1" t="s">
        <v>43</v>
      </c>
      <c r="R137" s="1" t="s">
        <v>831</v>
      </c>
      <c r="S137" s="1" t="s">
        <v>34</v>
      </c>
      <c r="T137" s="1" t="s">
        <v>174</v>
      </c>
      <c r="U137" s="1" t="s">
        <v>832</v>
      </c>
      <c r="V137" s="3">
        <v>49.12</v>
      </c>
      <c r="W137" s="1" t="str">
        <f t="shared" si="14"/>
        <v>Slow Delivery</v>
      </c>
    </row>
    <row r="138" spans="1:23" x14ac:dyDescent="0.25">
      <c r="A138" s="1">
        <v>7399</v>
      </c>
      <c r="B138" s="2" t="s">
        <v>833</v>
      </c>
      <c r="C138" s="2">
        <v>42197</v>
      </c>
      <c r="D138" s="2">
        <v>42200</v>
      </c>
      <c r="E138" s="1">
        <f t="shared" si="11"/>
        <v>2015</v>
      </c>
      <c r="F138" s="2" t="str">
        <f t="shared" si="12"/>
        <v>Jul</v>
      </c>
      <c r="G138" s="1">
        <f t="shared" si="13"/>
        <v>7</v>
      </c>
      <c r="H138" s="1">
        <f t="shared" si="10"/>
        <v>3</v>
      </c>
      <c r="I138" s="1" t="s">
        <v>83</v>
      </c>
      <c r="J138" s="1" t="s">
        <v>834</v>
      </c>
      <c r="K138" s="1" t="s">
        <v>835</v>
      </c>
      <c r="L138" s="1" t="s">
        <v>28</v>
      </c>
      <c r="M138" s="1" t="s">
        <v>29</v>
      </c>
      <c r="N138" s="1" t="s">
        <v>221</v>
      </c>
      <c r="O138" s="1" t="s">
        <v>222</v>
      </c>
      <c r="P138" s="1">
        <v>60610</v>
      </c>
      <c r="Q138" s="1" t="s">
        <v>32</v>
      </c>
      <c r="R138" s="1" t="s">
        <v>836</v>
      </c>
      <c r="S138" s="1" t="s">
        <v>34</v>
      </c>
      <c r="T138" s="1" t="s">
        <v>174</v>
      </c>
      <c r="U138" s="1" t="s">
        <v>837</v>
      </c>
      <c r="V138" s="3">
        <v>35.856000000000002</v>
      </c>
      <c r="W138" s="1" t="str">
        <f t="shared" si="14"/>
        <v>Fast Delivery</v>
      </c>
    </row>
    <row r="139" spans="1:23" x14ac:dyDescent="0.25">
      <c r="A139" s="1">
        <v>1221</v>
      </c>
      <c r="B139" s="2" t="s">
        <v>838</v>
      </c>
      <c r="C139" s="2">
        <v>42197</v>
      </c>
      <c r="D139" s="2">
        <v>42201</v>
      </c>
      <c r="E139" s="1">
        <f t="shared" si="11"/>
        <v>2015</v>
      </c>
      <c r="F139" s="2" t="str">
        <f t="shared" si="12"/>
        <v>Jul</v>
      </c>
      <c r="G139" s="1">
        <f t="shared" si="13"/>
        <v>7</v>
      </c>
      <c r="H139" s="1">
        <f t="shared" si="10"/>
        <v>4</v>
      </c>
      <c r="I139" s="1" t="s">
        <v>25</v>
      </c>
      <c r="J139" s="1" t="s">
        <v>839</v>
      </c>
      <c r="K139" s="1" t="s">
        <v>840</v>
      </c>
      <c r="L139" s="1" t="s">
        <v>131</v>
      </c>
      <c r="M139" s="1" t="s">
        <v>29</v>
      </c>
      <c r="N139" s="1" t="s">
        <v>132</v>
      </c>
      <c r="O139" s="1" t="s">
        <v>106</v>
      </c>
      <c r="P139" s="1">
        <v>90036</v>
      </c>
      <c r="Q139" s="1" t="s">
        <v>107</v>
      </c>
      <c r="R139" s="1" t="s">
        <v>448</v>
      </c>
      <c r="S139" s="1" t="s">
        <v>34</v>
      </c>
      <c r="T139" s="1" t="s">
        <v>270</v>
      </c>
      <c r="U139" s="1" t="s">
        <v>449</v>
      </c>
      <c r="V139" s="3">
        <v>249.75</v>
      </c>
      <c r="W139" s="1" t="str">
        <f t="shared" si="14"/>
        <v>Slow Delivery</v>
      </c>
    </row>
    <row r="140" spans="1:23" x14ac:dyDescent="0.25">
      <c r="A140" s="1">
        <v>8314</v>
      </c>
      <c r="B140" s="2" t="s">
        <v>841</v>
      </c>
      <c r="C140" s="2">
        <v>42197</v>
      </c>
      <c r="D140" s="2">
        <v>42201</v>
      </c>
      <c r="E140" s="1">
        <f t="shared" si="11"/>
        <v>2015</v>
      </c>
      <c r="F140" s="2" t="str">
        <f t="shared" si="12"/>
        <v>Jul</v>
      </c>
      <c r="G140" s="1">
        <f t="shared" si="13"/>
        <v>7</v>
      </c>
      <c r="H140" s="1">
        <f t="shared" si="10"/>
        <v>4</v>
      </c>
      <c r="I140" s="1" t="s">
        <v>25</v>
      </c>
      <c r="J140" s="1" t="s">
        <v>842</v>
      </c>
      <c r="K140" s="1" t="s">
        <v>843</v>
      </c>
      <c r="L140" s="1" t="s">
        <v>131</v>
      </c>
      <c r="M140" s="1" t="s">
        <v>29</v>
      </c>
      <c r="N140" s="1" t="s">
        <v>844</v>
      </c>
      <c r="O140" s="1" t="s">
        <v>31</v>
      </c>
      <c r="P140" s="1">
        <v>77573</v>
      </c>
      <c r="Q140" s="1" t="s">
        <v>32</v>
      </c>
      <c r="R140" s="1" t="s">
        <v>845</v>
      </c>
      <c r="S140" s="1" t="s">
        <v>45</v>
      </c>
      <c r="T140" s="1" t="s">
        <v>89</v>
      </c>
      <c r="U140" s="1" t="s">
        <v>846</v>
      </c>
      <c r="V140" s="3">
        <v>512.35799999999995</v>
      </c>
      <c r="W140" s="1" t="str">
        <f t="shared" si="14"/>
        <v>Slow Delivery</v>
      </c>
    </row>
    <row r="141" spans="1:23" x14ac:dyDescent="0.25">
      <c r="A141" s="1">
        <v>338</v>
      </c>
      <c r="B141" s="2" t="s">
        <v>847</v>
      </c>
      <c r="C141" s="2">
        <v>42197</v>
      </c>
      <c r="D141" s="2">
        <v>42202</v>
      </c>
      <c r="E141" s="1">
        <f t="shared" si="11"/>
        <v>2015</v>
      </c>
      <c r="F141" s="2" t="str">
        <f t="shared" si="12"/>
        <v>Jul</v>
      </c>
      <c r="G141" s="1">
        <f t="shared" si="13"/>
        <v>7</v>
      </c>
      <c r="H141" s="1">
        <f t="shared" si="10"/>
        <v>5</v>
      </c>
      <c r="I141" s="1" t="s">
        <v>25</v>
      </c>
      <c r="J141" s="1" t="s">
        <v>848</v>
      </c>
      <c r="K141" s="1" t="s">
        <v>849</v>
      </c>
      <c r="L141" s="1" t="s">
        <v>51</v>
      </c>
      <c r="M141" s="1" t="s">
        <v>29</v>
      </c>
      <c r="N141" s="1" t="s">
        <v>105</v>
      </c>
      <c r="O141" s="1" t="s">
        <v>106</v>
      </c>
      <c r="P141" s="1">
        <v>94122</v>
      </c>
      <c r="Q141" s="1" t="s">
        <v>107</v>
      </c>
      <c r="R141" s="1" t="s">
        <v>850</v>
      </c>
      <c r="S141" s="1" t="s">
        <v>34</v>
      </c>
      <c r="T141" s="1" t="s">
        <v>109</v>
      </c>
      <c r="U141" s="1" t="s">
        <v>851</v>
      </c>
      <c r="V141" s="3">
        <v>7.7119999999999997</v>
      </c>
      <c r="W141" s="1" t="str">
        <f t="shared" si="14"/>
        <v>Slow Delivery</v>
      </c>
    </row>
    <row r="142" spans="1:23" x14ac:dyDescent="0.25">
      <c r="A142" s="1">
        <v>7624</v>
      </c>
      <c r="B142" s="2" t="s">
        <v>852</v>
      </c>
      <c r="C142" s="2">
        <v>42199</v>
      </c>
      <c r="D142" s="2">
        <v>42205</v>
      </c>
      <c r="E142" s="1">
        <f t="shared" si="11"/>
        <v>2015</v>
      </c>
      <c r="F142" s="2" t="str">
        <f t="shared" si="12"/>
        <v>Jul</v>
      </c>
      <c r="G142" s="1">
        <f t="shared" si="13"/>
        <v>7</v>
      </c>
      <c r="H142" s="1">
        <f t="shared" si="10"/>
        <v>6</v>
      </c>
      <c r="I142" s="1" t="s">
        <v>25</v>
      </c>
      <c r="J142" s="1" t="s">
        <v>853</v>
      </c>
      <c r="K142" s="1" t="s">
        <v>854</v>
      </c>
      <c r="L142" s="1" t="s">
        <v>131</v>
      </c>
      <c r="M142" s="1" t="s">
        <v>29</v>
      </c>
      <c r="N142" s="1" t="s">
        <v>855</v>
      </c>
      <c r="O142" s="1" t="s">
        <v>42</v>
      </c>
      <c r="P142" s="1">
        <v>19711</v>
      </c>
      <c r="Q142" s="1" t="s">
        <v>43</v>
      </c>
      <c r="R142" s="1" t="s">
        <v>856</v>
      </c>
      <c r="S142" s="1" t="s">
        <v>34</v>
      </c>
      <c r="T142" s="1" t="s">
        <v>74</v>
      </c>
      <c r="U142" s="1" t="s">
        <v>857</v>
      </c>
      <c r="V142" s="3">
        <v>39.479999999999997</v>
      </c>
      <c r="W142" s="1" t="str">
        <f t="shared" si="14"/>
        <v>Slow Delivery</v>
      </c>
    </row>
    <row r="143" spans="1:23" x14ac:dyDescent="0.25">
      <c r="A143" s="1">
        <v>740</v>
      </c>
      <c r="B143" s="2" t="s">
        <v>858</v>
      </c>
      <c r="C143" s="2">
        <v>42008</v>
      </c>
      <c r="D143" s="2">
        <v>42012</v>
      </c>
      <c r="E143" s="1">
        <f t="shared" si="11"/>
        <v>2015</v>
      </c>
      <c r="F143" s="2" t="str">
        <f t="shared" si="12"/>
        <v>Jan</v>
      </c>
      <c r="G143" s="1">
        <f t="shared" si="13"/>
        <v>1</v>
      </c>
      <c r="H143" s="1">
        <f t="shared" si="10"/>
        <v>4</v>
      </c>
      <c r="I143" s="1" t="s">
        <v>25</v>
      </c>
      <c r="J143" s="1" t="s">
        <v>859</v>
      </c>
      <c r="K143" s="1" t="s">
        <v>860</v>
      </c>
      <c r="L143" s="1" t="s">
        <v>131</v>
      </c>
      <c r="M143" s="1" t="s">
        <v>29</v>
      </c>
      <c r="N143" s="1" t="s">
        <v>861</v>
      </c>
      <c r="O143" s="1" t="s">
        <v>222</v>
      </c>
      <c r="P143" s="1">
        <v>60540</v>
      </c>
      <c r="Q143" s="1" t="s">
        <v>32</v>
      </c>
      <c r="R143" s="1" t="s">
        <v>862</v>
      </c>
      <c r="S143" s="1" t="s">
        <v>34</v>
      </c>
      <c r="T143" s="1" t="s">
        <v>56</v>
      </c>
      <c r="U143" s="1" t="s">
        <v>863</v>
      </c>
      <c r="V143" s="3">
        <v>11.784000000000001</v>
      </c>
      <c r="W143" s="1" t="str">
        <f t="shared" si="14"/>
        <v>Slow Delivery</v>
      </c>
    </row>
    <row r="144" spans="1:23" x14ac:dyDescent="0.25">
      <c r="A144" s="1">
        <v>5328</v>
      </c>
      <c r="B144" s="2" t="s">
        <v>864</v>
      </c>
      <c r="C144" s="2">
        <v>42010</v>
      </c>
      <c r="D144" s="2">
        <v>42012</v>
      </c>
      <c r="E144" s="1">
        <f t="shared" si="11"/>
        <v>2015</v>
      </c>
      <c r="F144" s="2" t="str">
        <f t="shared" si="12"/>
        <v>Jan</v>
      </c>
      <c r="G144" s="1">
        <f t="shared" si="13"/>
        <v>1</v>
      </c>
      <c r="H144" s="1">
        <f t="shared" si="10"/>
        <v>2</v>
      </c>
      <c r="I144" s="1" t="s">
        <v>83</v>
      </c>
      <c r="J144" s="1" t="s">
        <v>865</v>
      </c>
      <c r="K144" s="1" t="s">
        <v>866</v>
      </c>
      <c r="L144" s="1" t="s">
        <v>28</v>
      </c>
      <c r="M144" s="1" t="s">
        <v>29</v>
      </c>
      <c r="N144" s="1" t="s">
        <v>132</v>
      </c>
      <c r="O144" s="1" t="s">
        <v>106</v>
      </c>
      <c r="P144" s="1">
        <v>90049</v>
      </c>
      <c r="Q144" s="1" t="s">
        <v>107</v>
      </c>
      <c r="R144" s="1" t="s">
        <v>867</v>
      </c>
      <c r="S144" s="1" t="s">
        <v>34</v>
      </c>
      <c r="T144" s="1" t="s">
        <v>174</v>
      </c>
      <c r="U144" s="1" t="s">
        <v>868</v>
      </c>
      <c r="V144" s="3">
        <v>19.440000000000001</v>
      </c>
      <c r="W144" s="1" t="str">
        <f t="shared" si="14"/>
        <v>Fast Delivery</v>
      </c>
    </row>
    <row r="145" spans="1:23" x14ac:dyDescent="0.25">
      <c r="A145" s="1">
        <v>1544</v>
      </c>
      <c r="B145" s="2" t="s">
        <v>869</v>
      </c>
      <c r="C145" s="2">
        <v>42039</v>
      </c>
      <c r="D145" s="2">
        <v>42043</v>
      </c>
      <c r="E145" s="1">
        <f t="shared" si="11"/>
        <v>2015</v>
      </c>
      <c r="F145" s="2" t="str">
        <f t="shared" si="12"/>
        <v>Feb</v>
      </c>
      <c r="G145" s="1">
        <f t="shared" si="13"/>
        <v>2</v>
      </c>
      <c r="H145" s="1">
        <f t="shared" si="10"/>
        <v>4</v>
      </c>
      <c r="I145" s="1" t="s">
        <v>25</v>
      </c>
      <c r="J145" s="1" t="s">
        <v>870</v>
      </c>
      <c r="K145" s="1" t="s">
        <v>871</v>
      </c>
      <c r="L145" s="1" t="s">
        <v>131</v>
      </c>
      <c r="M145" s="1" t="s">
        <v>29</v>
      </c>
      <c r="N145" s="1" t="s">
        <v>478</v>
      </c>
      <c r="O145" s="1" t="s">
        <v>106</v>
      </c>
      <c r="P145" s="1">
        <v>92024</v>
      </c>
      <c r="Q145" s="1" t="s">
        <v>107</v>
      </c>
      <c r="R145" s="1" t="s">
        <v>872</v>
      </c>
      <c r="S145" s="1" t="s">
        <v>34</v>
      </c>
      <c r="T145" s="1" t="s">
        <v>109</v>
      </c>
      <c r="U145" s="1" t="s">
        <v>873</v>
      </c>
      <c r="V145" s="3">
        <v>82.896000000000001</v>
      </c>
      <c r="W145" s="1" t="str">
        <f t="shared" si="14"/>
        <v>Slow Delivery</v>
      </c>
    </row>
    <row r="146" spans="1:23" x14ac:dyDescent="0.25">
      <c r="A146" s="1">
        <v>8585</v>
      </c>
      <c r="B146" s="2" t="s">
        <v>874</v>
      </c>
      <c r="C146" s="2">
        <v>42039</v>
      </c>
      <c r="D146" s="2">
        <v>42043</v>
      </c>
      <c r="E146" s="1">
        <f t="shared" si="11"/>
        <v>2015</v>
      </c>
      <c r="F146" s="2" t="str">
        <f t="shared" si="12"/>
        <v>Feb</v>
      </c>
      <c r="G146" s="1">
        <f t="shared" si="13"/>
        <v>2</v>
      </c>
      <c r="H146" s="1">
        <f t="shared" si="10"/>
        <v>4</v>
      </c>
      <c r="I146" s="1" t="s">
        <v>83</v>
      </c>
      <c r="J146" s="1" t="s">
        <v>875</v>
      </c>
      <c r="K146" s="1" t="s">
        <v>876</v>
      </c>
      <c r="L146" s="1" t="s">
        <v>51</v>
      </c>
      <c r="M146" s="1" t="s">
        <v>29</v>
      </c>
      <c r="N146" s="1" t="s">
        <v>339</v>
      </c>
      <c r="O146" s="1" t="s">
        <v>106</v>
      </c>
      <c r="P146" s="1">
        <v>92025</v>
      </c>
      <c r="Q146" s="1" t="s">
        <v>107</v>
      </c>
      <c r="R146" s="1" t="s">
        <v>877</v>
      </c>
      <c r="S146" s="1" t="s">
        <v>34</v>
      </c>
      <c r="T146" s="1" t="s">
        <v>109</v>
      </c>
      <c r="U146" s="1" t="s">
        <v>878</v>
      </c>
      <c r="V146" s="3">
        <v>17.248000000000001</v>
      </c>
      <c r="W146" s="1" t="str">
        <f t="shared" si="14"/>
        <v>Slow Delivery</v>
      </c>
    </row>
    <row r="147" spans="1:23" x14ac:dyDescent="0.25">
      <c r="A147" s="1">
        <v>6058</v>
      </c>
      <c r="B147" s="2" t="s">
        <v>879</v>
      </c>
      <c r="C147" s="2">
        <v>42065</v>
      </c>
      <c r="D147" s="2">
        <v>42071</v>
      </c>
      <c r="E147" s="1">
        <f t="shared" si="11"/>
        <v>2015</v>
      </c>
      <c r="F147" s="2" t="str">
        <f t="shared" si="12"/>
        <v>Mar</v>
      </c>
      <c r="G147" s="1">
        <f t="shared" si="13"/>
        <v>3</v>
      </c>
      <c r="H147" s="1">
        <f t="shared" si="10"/>
        <v>6</v>
      </c>
      <c r="I147" s="1" t="s">
        <v>25</v>
      </c>
      <c r="J147" s="1" t="s">
        <v>880</v>
      </c>
      <c r="K147" s="1" t="s">
        <v>881</v>
      </c>
      <c r="L147" s="1" t="s">
        <v>131</v>
      </c>
      <c r="M147" s="1" t="s">
        <v>29</v>
      </c>
      <c r="N147" s="1" t="s">
        <v>114</v>
      </c>
      <c r="O147" s="1" t="s">
        <v>115</v>
      </c>
      <c r="P147" s="1">
        <v>10009</v>
      </c>
      <c r="Q147" s="1" t="s">
        <v>43</v>
      </c>
      <c r="R147" s="1" t="s">
        <v>882</v>
      </c>
      <c r="S147" s="1" t="s">
        <v>34</v>
      </c>
      <c r="T147" s="1" t="s">
        <v>426</v>
      </c>
      <c r="U147" s="1" t="s">
        <v>883</v>
      </c>
      <c r="V147" s="3">
        <v>11.36</v>
      </c>
      <c r="W147" s="1" t="str">
        <f t="shared" si="14"/>
        <v>Slow Delivery</v>
      </c>
    </row>
    <row r="148" spans="1:23" x14ac:dyDescent="0.25">
      <c r="A148" s="1">
        <v>1163</v>
      </c>
      <c r="B148" s="2" t="s">
        <v>884</v>
      </c>
      <c r="C148" s="2">
        <v>42066</v>
      </c>
      <c r="D148" s="2">
        <v>42071</v>
      </c>
      <c r="E148" s="1">
        <f t="shared" si="11"/>
        <v>2015</v>
      </c>
      <c r="F148" s="2" t="str">
        <f t="shared" si="12"/>
        <v>Mar</v>
      </c>
      <c r="G148" s="1">
        <f t="shared" si="13"/>
        <v>3</v>
      </c>
      <c r="H148" s="1">
        <f t="shared" si="10"/>
        <v>5</v>
      </c>
      <c r="I148" s="1" t="s">
        <v>25</v>
      </c>
      <c r="J148" s="1" t="s">
        <v>885</v>
      </c>
      <c r="K148" s="1" t="s">
        <v>886</v>
      </c>
      <c r="L148" s="1" t="s">
        <v>131</v>
      </c>
      <c r="M148" s="1" t="s">
        <v>29</v>
      </c>
      <c r="N148" s="1" t="s">
        <v>114</v>
      </c>
      <c r="O148" s="1" t="s">
        <v>115</v>
      </c>
      <c r="P148" s="1">
        <v>10035</v>
      </c>
      <c r="Q148" s="1" t="s">
        <v>43</v>
      </c>
      <c r="R148" s="1" t="s">
        <v>887</v>
      </c>
      <c r="S148" s="1" t="s">
        <v>64</v>
      </c>
      <c r="T148" s="1" t="s">
        <v>159</v>
      </c>
      <c r="U148" s="1" t="s">
        <v>888</v>
      </c>
      <c r="V148" s="3">
        <v>9.99</v>
      </c>
      <c r="W148" s="1" t="str">
        <f t="shared" si="14"/>
        <v>Slow Delivery</v>
      </c>
    </row>
    <row r="149" spans="1:23" x14ac:dyDescent="0.25">
      <c r="A149" s="1">
        <v>7247</v>
      </c>
      <c r="B149" s="2" t="s">
        <v>889</v>
      </c>
      <c r="C149" s="2">
        <v>42066</v>
      </c>
      <c r="D149" s="2">
        <v>42071</v>
      </c>
      <c r="E149" s="1">
        <f t="shared" si="11"/>
        <v>2015</v>
      </c>
      <c r="F149" s="2" t="str">
        <f t="shared" si="12"/>
        <v>Mar</v>
      </c>
      <c r="G149" s="1">
        <f t="shared" si="13"/>
        <v>3</v>
      </c>
      <c r="H149" s="1">
        <f t="shared" si="10"/>
        <v>5</v>
      </c>
      <c r="I149" s="1" t="s">
        <v>25</v>
      </c>
      <c r="J149" s="1" t="s">
        <v>890</v>
      </c>
      <c r="K149" s="1" t="s">
        <v>891</v>
      </c>
      <c r="L149" s="1" t="s">
        <v>51</v>
      </c>
      <c r="M149" s="1" t="s">
        <v>29</v>
      </c>
      <c r="N149" s="1" t="s">
        <v>71</v>
      </c>
      <c r="O149" s="1" t="s">
        <v>72</v>
      </c>
      <c r="P149" s="1">
        <v>43229</v>
      </c>
      <c r="Q149" s="1" t="s">
        <v>43</v>
      </c>
      <c r="R149" s="1" t="s">
        <v>892</v>
      </c>
      <c r="S149" s="1" t="s">
        <v>34</v>
      </c>
      <c r="T149" s="1" t="s">
        <v>56</v>
      </c>
      <c r="U149" s="1" t="s">
        <v>893</v>
      </c>
      <c r="V149" s="3">
        <v>15.12</v>
      </c>
      <c r="W149" s="1" t="str">
        <f t="shared" si="14"/>
        <v>Slow Delivery</v>
      </c>
    </row>
    <row r="150" spans="1:23" x14ac:dyDescent="0.25">
      <c r="A150" s="1">
        <v>8497</v>
      </c>
      <c r="B150" s="2" t="s">
        <v>894</v>
      </c>
      <c r="C150" s="2">
        <v>42068</v>
      </c>
      <c r="D150" s="2">
        <v>42071</v>
      </c>
      <c r="E150" s="1">
        <f t="shared" si="11"/>
        <v>2015</v>
      </c>
      <c r="F150" s="2" t="str">
        <f t="shared" si="12"/>
        <v>Mar</v>
      </c>
      <c r="G150" s="1">
        <f t="shared" si="13"/>
        <v>3</v>
      </c>
      <c r="H150" s="1">
        <f t="shared" si="10"/>
        <v>3</v>
      </c>
      <c r="I150" s="1" t="s">
        <v>83</v>
      </c>
      <c r="J150" s="1" t="s">
        <v>895</v>
      </c>
      <c r="K150" s="1" t="s">
        <v>896</v>
      </c>
      <c r="L150" s="1" t="s">
        <v>28</v>
      </c>
      <c r="M150" s="1" t="s">
        <v>29</v>
      </c>
      <c r="N150" s="1" t="s">
        <v>897</v>
      </c>
      <c r="O150" s="1" t="s">
        <v>115</v>
      </c>
      <c r="P150" s="1">
        <v>10701</v>
      </c>
      <c r="Q150" s="1" t="s">
        <v>43</v>
      </c>
      <c r="R150" s="1" t="s">
        <v>898</v>
      </c>
      <c r="S150" s="1" t="s">
        <v>34</v>
      </c>
      <c r="T150" s="1" t="s">
        <v>35</v>
      </c>
      <c r="U150" s="1" t="s">
        <v>899</v>
      </c>
      <c r="V150" s="3">
        <v>59.52</v>
      </c>
      <c r="W150" s="1" t="str">
        <f t="shared" si="14"/>
        <v>Fast Delivery</v>
      </c>
    </row>
    <row r="151" spans="1:23" x14ac:dyDescent="0.25">
      <c r="A151" s="1">
        <v>4962</v>
      </c>
      <c r="B151" s="2" t="s">
        <v>900</v>
      </c>
      <c r="C151" s="2">
        <v>42070</v>
      </c>
      <c r="D151" s="2">
        <v>42071</v>
      </c>
      <c r="E151" s="1">
        <f t="shared" si="11"/>
        <v>2015</v>
      </c>
      <c r="F151" s="2" t="str">
        <f t="shared" si="12"/>
        <v>Mar</v>
      </c>
      <c r="G151" s="1">
        <f t="shared" si="13"/>
        <v>3</v>
      </c>
      <c r="H151" s="1">
        <f t="shared" si="10"/>
        <v>1</v>
      </c>
      <c r="I151" s="1" t="s">
        <v>38</v>
      </c>
      <c r="J151" s="1" t="s">
        <v>901</v>
      </c>
      <c r="K151" s="1" t="s">
        <v>902</v>
      </c>
      <c r="L151" s="1" t="s">
        <v>28</v>
      </c>
      <c r="M151" s="1" t="s">
        <v>29</v>
      </c>
      <c r="N151" s="1" t="s">
        <v>488</v>
      </c>
      <c r="O151" s="1" t="s">
        <v>424</v>
      </c>
      <c r="P151" s="1">
        <v>98103</v>
      </c>
      <c r="Q151" s="1" t="s">
        <v>107</v>
      </c>
      <c r="R151" s="1" t="s">
        <v>903</v>
      </c>
      <c r="S151" s="1" t="s">
        <v>45</v>
      </c>
      <c r="T151" s="1" t="s">
        <v>89</v>
      </c>
      <c r="U151" s="1" t="s">
        <v>904</v>
      </c>
      <c r="V151" s="3">
        <v>48.712000000000003</v>
      </c>
      <c r="W151" s="1" t="str">
        <f t="shared" si="14"/>
        <v>Fast Delivery</v>
      </c>
    </row>
    <row r="152" spans="1:23" x14ac:dyDescent="0.25">
      <c r="A152" s="1">
        <v>5683</v>
      </c>
      <c r="B152" s="2" t="s">
        <v>905</v>
      </c>
      <c r="C152" s="2">
        <v>42096</v>
      </c>
      <c r="D152" s="2">
        <v>42102</v>
      </c>
      <c r="E152" s="1">
        <f t="shared" si="11"/>
        <v>2015</v>
      </c>
      <c r="F152" s="2" t="str">
        <f t="shared" si="12"/>
        <v>Apr</v>
      </c>
      <c r="G152" s="1">
        <f t="shared" si="13"/>
        <v>4</v>
      </c>
      <c r="H152" s="1">
        <f t="shared" si="10"/>
        <v>6</v>
      </c>
      <c r="I152" s="1" t="s">
        <v>25</v>
      </c>
      <c r="J152" s="1" t="s">
        <v>906</v>
      </c>
      <c r="K152" s="1" t="s">
        <v>907</v>
      </c>
      <c r="L152" s="1" t="s">
        <v>28</v>
      </c>
      <c r="M152" s="1" t="s">
        <v>29</v>
      </c>
      <c r="N152" s="1" t="s">
        <v>908</v>
      </c>
      <c r="O152" s="1" t="s">
        <v>62</v>
      </c>
      <c r="P152" s="1">
        <v>30605</v>
      </c>
      <c r="Q152" s="1" t="s">
        <v>54</v>
      </c>
      <c r="R152" s="1" t="s">
        <v>909</v>
      </c>
      <c r="S152" s="1" t="s">
        <v>34</v>
      </c>
      <c r="T152" s="1" t="s">
        <v>174</v>
      </c>
      <c r="U152" s="1" t="s">
        <v>910</v>
      </c>
      <c r="V152" s="3">
        <v>15.84</v>
      </c>
      <c r="W152" s="1" t="str">
        <f t="shared" si="14"/>
        <v>Slow Delivery</v>
      </c>
    </row>
    <row r="153" spans="1:23" x14ac:dyDescent="0.25">
      <c r="A153" s="1">
        <v>8920</v>
      </c>
      <c r="B153" s="2" t="s">
        <v>911</v>
      </c>
      <c r="C153" s="2">
        <v>42096</v>
      </c>
      <c r="D153" s="2">
        <v>42102</v>
      </c>
      <c r="E153" s="1">
        <f t="shared" si="11"/>
        <v>2015</v>
      </c>
      <c r="F153" s="2" t="str">
        <f t="shared" si="12"/>
        <v>Apr</v>
      </c>
      <c r="G153" s="1">
        <f t="shared" si="13"/>
        <v>4</v>
      </c>
      <c r="H153" s="1">
        <f t="shared" si="10"/>
        <v>6</v>
      </c>
      <c r="I153" s="1" t="s">
        <v>25</v>
      </c>
      <c r="J153" s="1" t="s">
        <v>912</v>
      </c>
      <c r="K153" s="1" t="s">
        <v>913</v>
      </c>
      <c r="L153" s="1" t="s">
        <v>51</v>
      </c>
      <c r="M153" s="1" t="s">
        <v>29</v>
      </c>
      <c r="N153" s="1" t="s">
        <v>914</v>
      </c>
      <c r="O153" s="1" t="s">
        <v>53</v>
      </c>
      <c r="P153" s="1">
        <v>23464</v>
      </c>
      <c r="Q153" s="1" t="s">
        <v>54</v>
      </c>
      <c r="R153" s="1" t="s">
        <v>915</v>
      </c>
      <c r="S153" s="1" t="s">
        <v>45</v>
      </c>
      <c r="T153" s="1" t="s">
        <v>46</v>
      </c>
      <c r="U153" s="1" t="s">
        <v>916</v>
      </c>
      <c r="V153" s="3">
        <v>177.68</v>
      </c>
      <c r="W153" s="1" t="str">
        <f t="shared" si="14"/>
        <v>Slow Delivery</v>
      </c>
    </row>
    <row r="154" spans="1:23" x14ac:dyDescent="0.25">
      <c r="A154" s="1">
        <v>5121</v>
      </c>
      <c r="B154" s="2" t="s">
        <v>917</v>
      </c>
      <c r="C154" s="2">
        <v>42098</v>
      </c>
      <c r="D154" s="2">
        <v>42102</v>
      </c>
      <c r="E154" s="1">
        <f t="shared" si="11"/>
        <v>2015</v>
      </c>
      <c r="F154" s="2" t="str">
        <f t="shared" si="12"/>
        <v>Apr</v>
      </c>
      <c r="G154" s="1">
        <f t="shared" si="13"/>
        <v>4</v>
      </c>
      <c r="H154" s="1">
        <f t="shared" si="10"/>
        <v>4</v>
      </c>
      <c r="I154" s="1" t="s">
        <v>25</v>
      </c>
      <c r="J154" s="1" t="s">
        <v>918</v>
      </c>
      <c r="K154" s="1" t="s">
        <v>919</v>
      </c>
      <c r="L154" s="1" t="s">
        <v>51</v>
      </c>
      <c r="M154" s="1" t="s">
        <v>29</v>
      </c>
      <c r="N154" s="1" t="s">
        <v>920</v>
      </c>
      <c r="O154" s="1" t="s">
        <v>921</v>
      </c>
      <c r="P154" s="1">
        <v>70506</v>
      </c>
      <c r="Q154" s="1" t="s">
        <v>54</v>
      </c>
      <c r="R154" s="1" t="s">
        <v>922</v>
      </c>
      <c r="S154" s="1" t="s">
        <v>34</v>
      </c>
      <c r="T154" s="1" t="s">
        <v>270</v>
      </c>
      <c r="U154" s="1" t="s">
        <v>923</v>
      </c>
      <c r="V154" s="3">
        <v>232.55</v>
      </c>
      <c r="W154" s="1" t="str">
        <f t="shared" si="14"/>
        <v>Slow Delivery</v>
      </c>
    </row>
    <row r="155" spans="1:23" x14ac:dyDescent="0.25">
      <c r="A155" s="1">
        <v>1405</v>
      </c>
      <c r="B155" s="2" t="s">
        <v>924</v>
      </c>
      <c r="C155" s="2">
        <v>42100</v>
      </c>
      <c r="D155" s="2">
        <v>42102</v>
      </c>
      <c r="E155" s="1">
        <f t="shared" si="11"/>
        <v>2015</v>
      </c>
      <c r="F155" s="2" t="str">
        <f t="shared" si="12"/>
        <v>Apr</v>
      </c>
      <c r="G155" s="1">
        <f t="shared" si="13"/>
        <v>4</v>
      </c>
      <c r="H155" s="1">
        <f t="shared" si="10"/>
        <v>2</v>
      </c>
      <c r="I155" s="1" t="s">
        <v>38</v>
      </c>
      <c r="J155" s="1" t="s">
        <v>925</v>
      </c>
      <c r="K155" s="1" t="s">
        <v>926</v>
      </c>
      <c r="L155" s="1" t="s">
        <v>131</v>
      </c>
      <c r="M155" s="1" t="s">
        <v>29</v>
      </c>
      <c r="N155" s="1" t="s">
        <v>410</v>
      </c>
      <c r="O155" s="1" t="s">
        <v>411</v>
      </c>
      <c r="P155" s="1">
        <v>19143</v>
      </c>
      <c r="Q155" s="1" t="s">
        <v>43</v>
      </c>
      <c r="R155" s="1" t="s">
        <v>927</v>
      </c>
      <c r="S155" s="1" t="s">
        <v>34</v>
      </c>
      <c r="T155" s="1" t="s">
        <v>638</v>
      </c>
      <c r="U155" s="1" t="s">
        <v>928</v>
      </c>
      <c r="V155" s="3">
        <v>10.304</v>
      </c>
      <c r="W155" s="1" t="str">
        <f t="shared" si="14"/>
        <v>Fast Delivery</v>
      </c>
    </row>
    <row r="156" spans="1:23" x14ac:dyDescent="0.25">
      <c r="A156" s="1">
        <v>1166</v>
      </c>
      <c r="B156" s="2" t="s">
        <v>929</v>
      </c>
      <c r="C156" s="2">
        <v>42128</v>
      </c>
      <c r="D156" s="2">
        <v>42132</v>
      </c>
      <c r="E156" s="1">
        <f t="shared" si="11"/>
        <v>2015</v>
      </c>
      <c r="F156" s="2" t="str">
        <f t="shared" si="12"/>
        <v>May</v>
      </c>
      <c r="G156" s="1">
        <f t="shared" si="13"/>
        <v>5</v>
      </c>
      <c r="H156" s="1">
        <f t="shared" si="10"/>
        <v>4</v>
      </c>
      <c r="I156" s="1" t="s">
        <v>25</v>
      </c>
      <c r="J156" s="1" t="s">
        <v>930</v>
      </c>
      <c r="K156" s="1" t="s">
        <v>931</v>
      </c>
      <c r="L156" s="1" t="s">
        <v>28</v>
      </c>
      <c r="M156" s="1" t="s">
        <v>29</v>
      </c>
      <c r="N156" s="1" t="s">
        <v>932</v>
      </c>
      <c r="O156" s="1" t="s">
        <v>172</v>
      </c>
      <c r="P156" s="1">
        <v>49201</v>
      </c>
      <c r="Q156" s="1" t="s">
        <v>32</v>
      </c>
      <c r="R156" s="1" t="s">
        <v>933</v>
      </c>
      <c r="S156" s="1" t="s">
        <v>34</v>
      </c>
      <c r="T156" s="1" t="s">
        <v>109</v>
      </c>
      <c r="U156" s="1" t="s">
        <v>934</v>
      </c>
      <c r="V156" s="3">
        <v>46.8</v>
      </c>
      <c r="W156" s="1" t="str">
        <f t="shared" si="14"/>
        <v>Slow Delivery</v>
      </c>
    </row>
    <row r="157" spans="1:23" x14ac:dyDescent="0.25">
      <c r="A157" s="1">
        <v>4560</v>
      </c>
      <c r="B157" s="2" t="s">
        <v>935</v>
      </c>
      <c r="C157" s="2">
        <v>42129</v>
      </c>
      <c r="D157" s="2">
        <v>42132</v>
      </c>
      <c r="E157" s="1">
        <f t="shared" si="11"/>
        <v>2015</v>
      </c>
      <c r="F157" s="2" t="str">
        <f t="shared" si="12"/>
        <v>May</v>
      </c>
      <c r="G157" s="1">
        <f t="shared" si="13"/>
        <v>5</v>
      </c>
      <c r="H157" s="1">
        <f t="shared" si="10"/>
        <v>3</v>
      </c>
      <c r="I157" s="1" t="s">
        <v>38</v>
      </c>
      <c r="J157" s="1" t="s">
        <v>936</v>
      </c>
      <c r="K157" s="1" t="s">
        <v>937</v>
      </c>
      <c r="L157" s="1" t="s">
        <v>28</v>
      </c>
      <c r="M157" s="1" t="s">
        <v>29</v>
      </c>
      <c r="N157" s="1" t="s">
        <v>938</v>
      </c>
      <c r="O157" s="1" t="s">
        <v>31</v>
      </c>
      <c r="P157" s="1">
        <v>78207</v>
      </c>
      <c r="Q157" s="1" t="s">
        <v>32</v>
      </c>
      <c r="R157" s="1" t="s">
        <v>88</v>
      </c>
      <c r="S157" s="1" t="s">
        <v>45</v>
      </c>
      <c r="T157" s="1" t="s">
        <v>89</v>
      </c>
      <c r="U157" s="1" t="s">
        <v>90</v>
      </c>
      <c r="V157" s="3">
        <v>127.869</v>
      </c>
      <c r="W157" s="1" t="str">
        <f t="shared" si="14"/>
        <v>Fast Delivery</v>
      </c>
    </row>
    <row r="158" spans="1:23" x14ac:dyDescent="0.25">
      <c r="A158" s="1">
        <v>686</v>
      </c>
      <c r="B158" s="2" t="s">
        <v>939</v>
      </c>
      <c r="C158" s="2">
        <v>42190</v>
      </c>
      <c r="D158" s="2">
        <v>42193</v>
      </c>
      <c r="E158" s="1">
        <f t="shared" si="11"/>
        <v>2015</v>
      </c>
      <c r="F158" s="2" t="str">
        <f t="shared" si="12"/>
        <v>Jul</v>
      </c>
      <c r="G158" s="1">
        <f t="shared" si="13"/>
        <v>7</v>
      </c>
      <c r="H158" s="1">
        <f t="shared" si="10"/>
        <v>3</v>
      </c>
      <c r="I158" s="1" t="s">
        <v>38</v>
      </c>
      <c r="J158" s="1" t="s">
        <v>940</v>
      </c>
      <c r="K158" s="1" t="s">
        <v>941</v>
      </c>
      <c r="L158" s="1" t="s">
        <v>28</v>
      </c>
      <c r="M158" s="1" t="s">
        <v>29</v>
      </c>
      <c r="N158" s="1" t="s">
        <v>932</v>
      </c>
      <c r="O158" s="1" t="s">
        <v>942</v>
      </c>
      <c r="P158" s="1">
        <v>39212</v>
      </c>
      <c r="Q158" s="1" t="s">
        <v>54</v>
      </c>
      <c r="R158" s="1" t="s">
        <v>943</v>
      </c>
      <c r="S158" s="1" t="s">
        <v>64</v>
      </c>
      <c r="T158" s="1" t="s">
        <v>65</v>
      </c>
      <c r="U158" s="1" t="s">
        <v>944</v>
      </c>
      <c r="V158" s="3">
        <v>479.97</v>
      </c>
      <c r="W158" s="1" t="str">
        <f t="shared" si="14"/>
        <v>Fast Delivery</v>
      </c>
    </row>
    <row r="159" spans="1:23" x14ac:dyDescent="0.25">
      <c r="A159" s="1">
        <v>5437</v>
      </c>
      <c r="B159" s="2" t="s">
        <v>945</v>
      </c>
      <c r="C159" s="2">
        <v>42190</v>
      </c>
      <c r="D159" s="2">
        <v>42193</v>
      </c>
      <c r="E159" s="1">
        <f t="shared" si="11"/>
        <v>2015</v>
      </c>
      <c r="F159" s="2" t="str">
        <f t="shared" si="12"/>
        <v>Jul</v>
      </c>
      <c r="G159" s="1">
        <f t="shared" si="13"/>
        <v>7</v>
      </c>
      <c r="H159" s="1">
        <f t="shared" si="10"/>
        <v>3</v>
      </c>
      <c r="I159" s="1" t="s">
        <v>38</v>
      </c>
      <c r="J159" s="1" t="s">
        <v>946</v>
      </c>
      <c r="K159" s="1" t="s">
        <v>947</v>
      </c>
      <c r="L159" s="1" t="s">
        <v>51</v>
      </c>
      <c r="M159" s="1" t="s">
        <v>29</v>
      </c>
      <c r="N159" s="1" t="s">
        <v>948</v>
      </c>
      <c r="O159" s="1" t="s">
        <v>190</v>
      </c>
      <c r="P159" s="1">
        <v>32137</v>
      </c>
      <c r="Q159" s="1" t="s">
        <v>54</v>
      </c>
      <c r="R159" s="1" t="s">
        <v>949</v>
      </c>
      <c r="S159" s="1" t="s">
        <v>45</v>
      </c>
      <c r="T159" s="1" t="s">
        <v>46</v>
      </c>
      <c r="U159" s="1" t="s">
        <v>950</v>
      </c>
      <c r="V159" s="3">
        <v>19.52</v>
      </c>
      <c r="W159" s="1" t="str">
        <f t="shared" si="14"/>
        <v>Fast Delivery</v>
      </c>
    </row>
    <row r="160" spans="1:23" x14ac:dyDescent="0.25">
      <c r="A160" s="1">
        <v>1550</v>
      </c>
      <c r="B160" s="2" t="s">
        <v>951</v>
      </c>
      <c r="C160" s="2">
        <v>42191</v>
      </c>
      <c r="D160" s="2">
        <v>42193</v>
      </c>
      <c r="E160" s="1">
        <f t="shared" si="11"/>
        <v>2015</v>
      </c>
      <c r="F160" s="2" t="str">
        <f t="shared" si="12"/>
        <v>Jul</v>
      </c>
      <c r="G160" s="1">
        <f t="shared" si="13"/>
        <v>7</v>
      </c>
      <c r="H160" s="1">
        <f t="shared" si="10"/>
        <v>2</v>
      </c>
      <c r="I160" s="1" t="s">
        <v>38</v>
      </c>
      <c r="J160" s="1" t="s">
        <v>952</v>
      </c>
      <c r="K160" s="1" t="s">
        <v>953</v>
      </c>
      <c r="L160" s="1" t="s">
        <v>28</v>
      </c>
      <c r="M160" s="1" t="s">
        <v>29</v>
      </c>
      <c r="N160" s="1" t="s">
        <v>114</v>
      </c>
      <c r="O160" s="1" t="s">
        <v>115</v>
      </c>
      <c r="P160" s="1">
        <v>10011</v>
      </c>
      <c r="Q160" s="1" t="s">
        <v>43</v>
      </c>
      <c r="R160" s="1" t="s">
        <v>954</v>
      </c>
      <c r="S160" s="1" t="s">
        <v>64</v>
      </c>
      <c r="T160" s="1" t="s">
        <v>145</v>
      </c>
      <c r="U160" s="1" t="s">
        <v>955</v>
      </c>
      <c r="V160" s="3">
        <v>559.99199999999996</v>
      </c>
      <c r="W160" s="1" t="str">
        <f t="shared" si="14"/>
        <v>Fast Delivery</v>
      </c>
    </row>
    <row r="161" spans="1:23" x14ac:dyDescent="0.25">
      <c r="A161" s="1">
        <v>6173</v>
      </c>
      <c r="B161" s="2" t="s">
        <v>956</v>
      </c>
      <c r="C161" s="2">
        <v>42218</v>
      </c>
      <c r="D161" s="2">
        <v>42224</v>
      </c>
      <c r="E161" s="1">
        <f t="shared" si="11"/>
        <v>2015</v>
      </c>
      <c r="F161" s="2" t="str">
        <f t="shared" si="12"/>
        <v>Aug</v>
      </c>
      <c r="G161" s="1">
        <f t="shared" si="13"/>
        <v>8</v>
      </c>
      <c r="H161" s="1">
        <f t="shared" si="10"/>
        <v>6</v>
      </c>
      <c r="I161" s="1" t="s">
        <v>25</v>
      </c>
      <c r="J161" s="1" t="s">
        <v>957</v>
      </c>
      <c r="K161" s="1" t="s">
        <v>958</v>
      </c>
      <c r="L161" s="1" t="s">
        <v>131</v>
      </c>
      <c r="M161" s="1" t="s">
        <v>29</v>
      </c>
      <c r="N161" s="1" t="s">
        <v>52</v>
      </c>
      <c r="O161" s="1" t="s">
        <v>87</v>
      </c>
      <c r="P161" s="1">
        <v>65807</v>
      </c>
      <c r="Q161" s="1" t="s">
        <v>32</v>
      </c>
      <c r="R161" s="1" t="s">
        <v>959</v>
      </c>
      <c r="S161" s="1" t="s">
        <v>34</v>
      </c>
      <c r="T161" s="1" t="s">
        <v>109</v>
      </c>
      <c r="U161" s="1" t="s">
        <v>960</v>
      </c>
      <c r="V161" s="3">
        <v>26.7</v>
      </c>
      <c r="W161" s="1" t="str">
        <f t="shared" si="14"/>
        <v>Slow Delivery</v>
      </c>
    </row>
    <row r="162" spans="1:23" x14ac:dyDescent="0.25">
      <c r="A162" s="1">
        <v>856</v>
      </c>
      <c r="B162" s="2" t="s">
        <v>961</v>
      </c>
      <c r="C162" s="2">
        <v>42219</v>
      </c>
      <c r="D162" s="2">
        <v>42224</v>
      </c>
      <c r="E162" s="1">
        <f t="shared" si="11"/>
        <v>2015</v>
      </c>
      <c r="F162" s="2" t="str">
        <f t="shared" si="12"/>
        <v>Aug</v>
      </c>
      <c r="G162" s="1">
        <f t="shared" si="13"/>
        <v>8</v>
      </c>
      <c r="H162" s="1">
        <f t="shared" si="10"/>
        <v>5</v>
      </c>
      <c r="I162" s="1" t="s">
        <v>25</v>
      </c>
      <c r="J162" s="1" t="s">
        <v>962</v>
      </c>
      <c r="K162" s="1" t="s">
        <v>963</v>
      </c>
      <c r="L162" s="1" t="s">
        <v>28</v>
      </c>
      <c r="M162" s="1" t="s">
        <v>29</v>
      </c>
      <c r="N162" s="1" t="s">
        <v>114</v>
      </c>
      <c r="O162" s="1" t="s">
        <v>115</v>
      </c>
      <c r="P162" s="1">
        <v>10035</v>
      </c>
      <c r="Q162" s="1" t="s">
        <v>43</v>
      </c>
      <c r="R162" s="1" t="s">
        <v>964</v>
      </c>
      <c r="S162" s="1" t="s">
        <v>34</v>
      </c>
      <c r="T162" s="1" t="s">
        <v>174</v>
      </c>
      <c r="U162" s="1" t="s">
        <v>965</v>
      </c>
      <c r="V162" s="3">
        <v>39.96</v>
      </c>
      <c r="W162" s="1" t="str">
        <f t="shared" si="14"/>
        <v>Slow Delivery</v>
      </c>
    </row>
    <row r="163" spans="1:23" x14ac:dyDescent="0.25">
      <c r="A163" s="1">
        <v>9157</v>
      </c>
      <c r="B163" s="2" t="s">
        <v>966</v>
      </c>
      <c r="C163" s="2">
        <v>42220</v>
      </c>
      <c r="D163" s="2">
        <v>42224</v>
      </c>
      <c r="E163" s="1">
        <f t="shared" si="11"/>
        <v>2015</v>
      </c>
      <c r="F163" s="2" t="str">
        <f t="shared" si="12"/>
        <v>Aug</v>
      </c>
      <c r="G163" s="1">
        <f t="shared" si="13"/>
        <v>8</v>
      </c>
      <c r="H163" s="1">
        <f t="shared" si="10"/>
        <v>4</v>
      </c>
      <c r="I163" s="1" t="s">
        <v>25</v>
      </c>
      <c r="J163" s="1" t="s">
        <v>967</v>
      </c>
      <c r="K163" s="1" t="s">
        <v>968</v>
      </c>
      <c r="L163" s="1" t="s">
        <v>51</v>
      </c>
      <c r="M163" s="1" t="s">
        <v>29</v>
      </c>
      <c r="N163" s="1" t="s">
        <v>969</v>
      </c>
      <c r="O163" s="1" t="s">
        <v>970</v>
      </c>
      <c r="P163" s="1">
        <v>4401</v>
      </c>
      <c r="Q163" s="1" t="s">
        <v>43</v>
      </c>
      <c r="R163" s="1" t="s">
        <v>971</v>
      </c>
      <c r="S163" s="1" t="s">
        <v>34</v>
      </c>
      <c r="T163" s="1" t="s">
        <v>74</v>
      </c>
      <c r="U163" s="1" t="s">
        <v>972</v>
      </c>
      <c r="V163" s="3">
        <v>101.96</v>
      </c>
      <c r="W163" s="1" t="str">
        <f t="shared" si="14"/>
        <v>Slow Delivery</v>
      </c>
    </row>
    <row r="164" spans="1:23" x14ac:dyDescent="0.25">
      <c r="A164" s="1">
        <v>9140</v>
      </c>
      <c r="B164" s="2" t="s">
        <v>973</v>
      </c>
      <c r="C164" s="2">
        <v>42249</v>
      </c>
      <c r="D164" s="2">
        <v>42255</v>
      </c>
      <c r="E164" s="1">
        <f t="shared" si="11"/>
        <v>2015</v>
      </c>
      <c r="F164" s="2" t="str">
        <f t="shared" si="12"/>
        <v>Sep</v>
      </c>
      <c r="G164" s="1">
        <f t="shared" si="13"/>
        <v>9</v>
      </c>
      <c r="H164" s="1">
        <f t="shared" si="10"/>
        <v>6</v>
      </c>
      <c r="I164" s="1" t="s">
        <v>25</v>
      </c>
      <c r="J164" s="1" t="s">
        <v>974</v>
      </c>
      <c r="K164" s="1" t="s">
        <v>975</v>
      </c>
      <c r="L164" s="1" t="s">
        <v>28</v>
      </c>
      <c r="M164" s="1" t="s">
        <v>29</v>
      </c>
      <c r="N164" s="1" t="s">
        <v>976</v>
      </c>
      <c r="O164" s="1" t="s">
        <v>222</v>
      </c>
      <c r="P164" s="1">
        <v>60089</v>
      </c>
      <c r="Q164" s="1" t="s">
        <v>32</v>
      </c>
      <c r="R164" s="1" t="s">
        <v>977</v>
      </c>
      <c r="S164" s="1" t="s">
        <v>64</v>
      </c>
      <c r="T164" s="1" t="s">
        <v>65</v>
      </c>
      <c r="U164" s="1" t="s">
        <v>978</v>
      </c>
      <c r="V164" s="3">
        <v>475.94400000000002</v>
      </c>
      <c r="W164" s="1" t="str">
        <f t="shared" si="14"/>
        <v>Slow Delivery</v>
      </c>
    </row>
    <row r="165" spans="1:23" x14ac:dyDescent="0.25">
      <c r="A165" s="1">
        <v>1351</v>
      </c>
      <c r="B165" s="2" t="s">
        <v>979</v>
      </c>
      <c r="C165" s="2">
        <v>42280</v>
      </c>
      <c r="D165" s="2">
        <v>42285</v>
      </c>
      <c r="E165" s="1">
        <f t="shared" si="11"/>
        <v>2015</v>
      </c>
      <c r="F165" s="2" t="str">
        <f t="shared" si="12"/>
        <v>Oct</v>
      </c>
      <c r="G165" s="1">
        <f t="shared" si="13"/>
        <v>10</v>
      </c>
      <c r="H165" s="1">
        <f t="shared" si="10"/>
        <v>5</v>
      </c>
      <c r="I165" s="1" t="s">
        <v>83</v>
      </c>
      <c r="J165" s="1" t="s">
        <v>980</v>
      </c>
      <c r="K165" s="1" t="s">
        <v>981</v>
      </c>
      <c r="L165" s="1" t="s">
        <v>28</v>
      </c>
      <c r="M165" s="1" t="s">
        <v>29</v>
      </c>
      <c r="N165" s="1" t="s">
        <v>982</v>
      </c>
      <c r="O165" s="1" t="s">
        <v>222</v>
      </c>
      <c r="P165" s="1">
        <v>60201</v>
      </c>
      <c r="Q165" s="1" t="s">
        <v>32</v>
      </c>
      <c r="R165" s="1" t="s">
        <v>983</v>
      </c>
      <c r="S165" s="1" t="s">
        <v>45</v>
      </c>
      <c r="T165" s="1" t="s">
        <v>89</v>
      </c>
      <c r="U165" s="1" t="s">
        <v>984</v>
      </c>
      <c r="V165" s="3">
        <v>258.279</v>
      </c>
      <c r="W165" s="1" t="str">
        <f t="shared" si="14"/>
        <v>Slow Delivery</v>
      </c>
    </row>
    <row r="166" spans="1:23" x14ac:dyDescent="0.25">
      <c r="A166" s="1">
        <v>2275</v>
      </c>
      <c r="B166" s="2" t="s">
        <v>985</v>
      </c>
      <c r="C166" s="2">
        <v>42280</v>
      </c>
      <c r="D166" s="2">
        <v>42285</v>
      </c>
      <c r="E166" s="1">
        <f t="shared" si="11"/>
        <v>2015</v>
      </c>
      <c r="F166" s="2" t="str">
        <f t="shared" si="12"/>
        <v>Oct</v>
      </c>
      <c r="G166" s="1">
        <f t="shared" si="13"/>
        <v>10</v>
      </c>
      <c r="H166" s="1">
        <f t="shared" si="10"/>
        <v>5</v>
      </c>
      <c r="I166" s="1" t="s">
        <v>83</v>
      </c>
      <c r="J166" s="1" t="s">
        <v>986</v>
      </c>
      <c r="K166" s="1" t="s">
        <v>987</v>
      </c>
      <c r="L166" s="1" t="s">
        <v>51</v>
      </c>
      <c r="M166" s="1" t="s">
        <v>29</v>
      </c>
      <c r="N166" s="1" t="s">
        <v>132</v>
      </c>
      <c r="O166" s="1" t="s">
        <v>106</v>
      </c>
      <c r="P166" s="1">
        <v>90036</v>
      </c>
      <c r="Q166" s="1" t="s">
        <v>107</v>
      </c>
      <c r="R166" s="1" t="s">
        <v>988</v>
      </c>
      <c r="S166" s="1" t="s">
        <v>45</v>
      </c>
      <c r="T166" s="1" t="s">
        <v>329</v>
      </c>
      <c r="U166" s="1" t="s">
        <v>989</v>
      </c>
      <c r="V166" s="3">
        <v>143.43199999999999</v>
      </c>
      <c r="W166" s="1" t="str">
        <f t="shared" si="14"/>
        <v>Slow Delivery</v>
      </c>
    </row>
    <row r="167" spans="1:23" x14ac:dyDescent="0.25">
      <c r="A167" s="1">
        <v>2724</v>
      </c>
      <c r="B167" s="2" t="s">
        <v>990</v>
      </c>
      <c r="C167" s="2">
        <v>42281</v>
      </c>
      <c r="D167" s="2">
        <v>42285</v>
      </c>
      <c r="E167" s="1">
        <f t="shared" si="11"/>
        <v>2015</v>
      </c>
      <c r="F167" s="2" t="str">
        <f t="shared" si="12"/>
        <v>Oct</v>
      </c>
      <c r="G167" s="1">
        <f t="shared" si="13"/>
        <v>10</v>
      </c>
      <c r="H167" s="1">
        <f t="shared" si="10"/>
        <v>4</v>
      </c>
      <c r="I167" s="1" t="s">
        <v>25</v>
      </c>
      <c r="J167" s="1" t="s">
        <v>991</v>
      </c>
      <c r="K167" s="1" t="s">
        <v>992</v>
      </c>
      <c r="L167" s="1" t="s">
        <v>28</v>
      </c>
      <c r="M167" s="1" t="s">
        <v>29</v>
      </c>
      <c r="N167" s="1" t="s">
        <v>499</v>
      </c>
      <c r="O167" s="1" t="s">
        <v>106</v>
      </c>
      <c r="P167" s="1">
        <v>94591</v>
      </c>
      <c r="Q167" s="1" t="s">
        <v>107</v>
      </c>
      <c r="R167" s="1" t="s">
        <v>993</v>
      </c>
      <c r="S167" s="1" t="s">
        <v>34</v>
      </c>
      <c r="T167" s="1" t="s">
        <v>56</v>
      </c>
      <c r="U167" s="1" t="s">
        <v>994</v>
      </c>
      <c r="V167" s="3">
        <v>14.45</v>
      </c>
      <c r="W167" s="1" t="str">
        <f t="shared" si="14"/>
        <v>Slow Delivery</v>
      </c>
    </row>
    <row r="168" spans="1:23" x14ac:dyDescent="0.25">
      <c r="A168" s="1">
        <v>5418</v>
      </c>
      <c r="B168" s="2" t="s">
        <v>995</v>
      </c>
      <c r="C168" s="2">
        <v>42283</v>
      </c>
      <c r="D168" s="2">
        <v>42285</v>
      </c>
      <c r="E168" s="1">
        <f t="shared" si="11"/>
        <v>2015</v>
      </c>
      <c r="F168" s="2" t="str">
        <f t="shared" si="12"/>
        <v>Oct</v>
      </c>
      <c r="G168" s="1">
        <f t="shared" si="13"/>
        <v>10</v>
      </c>
      <c r="H168" s="1">
        <f t="shared" si="10"/>
        <v>2</v>
      </c>
      <c r="I168" s="1" t="s">
        <v>83</v>
      </c>
      <c r="J168" s="1" t="s">
        <v>996</v>
      </c>
      <c r="K168" s="1" t="s">
        <v>997</v>
      </c>
      <c r="L168" s="1" t="s">
        <v>51</v>
      </c>
      <c r="M168" s="1" t="s">
        <v>29</v>
      </c>
      <c r="N168" s="1" t="s">
        <v>775</v>
      </c>
      <c r="O168" s="1" t="s">
        <v>776</v>
      </c>
      <c r="P168" s="1">
        <v>68104</v>
      </c>
      <c r="Q168" s="1" t="s">
        <v>32</v>
      </c>
      <c r="R168" s="1" t="s">
        <v>213</v>
      </c>
      <c r="S168" s="1" t="s">
        <v>34</v>
      </c>
      <c r="T168" s="1" t="s">
        <v>109</v>
      </c>
      <c r="U168" s="1" t="s">
        <v>214</v>
      </c>
      <c r="V168" s="3">
        <v>15.36</v>
      </c>
      <c r="W168" s="1" t="str">
        <f t="shared" si="14"/>
        <v>Fast Delivery</v>
      </c>
    </row>
    <row r="169" spans="1:23" x14ac:dyDescent="0.25">
      <c r="A169" s="1">
        <v>7677</v>
      </c>
      <c r="B169" s="2" t="s">
        <v>998</v>
      </c>
      <c r="C169" s="2">
        <v>42285</v>
      </c>
      <c r="D169" s="2">
        <v>42285</v>
      </c>
      <c r="E169" s="1">
        <f t="shared" si="11"/>
        <v>2015</v>
      </c>
      <c r="F169" s="2" t="str">
        <f t="shared" si="12"/>
        <v>Oct</v>
      </c>
      <c r="G169" s="1">
        <f t="shared" si="13"/>
        <v>10</v>
      </c>
      <c r="H169" s="1">
        <f t="shared" si="10"/>
        <v>0</v>
      </c>
      <c r="I169" s="1" t="s">
        <v>68</v>
      </c>
      <c r="J169" s="1" t="s">
        <v>999</v>
      </c>
      <c r="K169" s="1" t="s">
        <v>1000</v>
      </c>
      <c r="L169" s="1" t="s">
        <v>28</v>
      </c>
      <c r="M169" s="1" t="s">
        <v>29</v>
      </c>
      <c r="N169" s="1" t="s">
        <v>319</v>
      </c>
      <c r="O169" s="1" t="s">
        <v>320</v>
      </c>
      <c r="P169" s="1">
        <v>28205</v>
      </c>
      <c r="Q169" s="1" t="s">
        <v>54</v>
      </c>
      <c r="R169" s="1" t="s">
        <v>1001</v>
      </c>
      <c r="S169" s="1" t="s">
        <v>64</v>
      </c>
      <c r="T169" s="1" t="s">
        <v>65</v>
      </c>
      <c r="U169" s="1" t="s">
        <v>1002</v>
      </c>
      <c r="V169" s="3">
        <v>23.472000000000001</v>
      </c>
      <c r="W169" s="1" t="str">
        <f t="shared" si="14"/>
        <v>Fast Delivery</v>
      </c>
    </row>
    <row r="170" spans="1:23" x14ac:dyDescent="0.25">
      <c r="A170" s="1">
        <v>4159</v>
      </c>
      <c r="B170" s="2" t="s">
        <v>1003</v>
      </c>
      <c r="C170" s="2">
        <v>42309</v>
      </c>
      <c r="D170" s="2">
        <v>42316</v>
      </c>
      <c r="E170" s="1">
        <f t="shared" si="11"/>
        <v>2015</v>
      </c>
      <c r="F170" s="2" t="str">
        <f t="shared" si="12"/>
        <v>Nov</v>
      </c>
      <c r="G170" s="1">
        <f t="shared" si="13"/>
        <v>11</v>
      </c>
      <c r="H170" s="1">
        <f t="shared" si="10"/>
        <v>7</v>
      </c>
      <c r="I170" s="1" t="s">
        <v>25</v>
      </c>
      <c r="J170" s="1" t="s">
        <v>1004</v>
      </c>
      <c r="K170" s="1" t="s">
        <v>1005</v>
      </c>
      <c r="L170" s="1" t="s">
        <v>51</v>
      </c>
      <c r="M170" s="1" t="s">
        <v>29</v>
      </c>
      <c r="N170" s="1" t="s">
        <v>221</v>
      </c>
      <c r="O170" s="1" t="s">
        <v>222</v>
      </c>
      <c r="P170" s="1">
        <v>60610</v>
      </c>
      <c r="Q170" s="1" t="s">
        <v>32</v>
      </c>
      <c r="R170" s="1" t="s">
        <v>1006</v>
      </c>
      <c r="S170" s="1" t="s">
        <v>34</v>
      </c>
      <c r="T170" s="1" t="s">
        <v>174</v>
      </c>
      <c r="U170" s="1" t="s">
        <v>1007</v>
      </c>
      <c r="V170" s="3">
        <v>15.696</v>
      </c>
      <c r="W170" s="1" t="str">
        <f t="shared" si="14"/>
        <v>Slow Delivery</v>
      </c>
    </row>
    <row r="171" spans="1:23" x14ac:dyDescent="0.25">
      <c r="A171" s="1">
        <v>4828</v>
      </c>
      <c r="B171" s="2" t="s">
        <v>1008</v>
      </c>
      <c r="C171" s="2">
        <v>42309</v>
      </c>
      <c r="D171" s="2">
        <v>42316</v>
      </c>
      <c r="E171" s="1">
        <f t="shared" si="11"/>
        <v>2015</v>
      </c>
      <c r="F171" s="2" t="str">
        <f t="shared" si="12"/>
        <v>Nov</v>
      </c>
      <c r="G171" s="1">
        <f t="shared" si="13"/>
        <v>11</v>
      </c>
      <c r="H171" s="1">
        <f t="shared" si="10"/>
        <v>7</v>
      </c>
      <c r="I171" s="1" t="s">
        <v>25</v>
      </c>
      <c r="J171" s="1" t="s">
        <v>1009</v>
      </c>
      <c r="K171" s="1" t="s">
        <v>1010</v>
      </c>
      <c r="L171" s="1" t="s">
        <v>51</v>
      </c>
      <c r="M171" s="1" t="s">
        <v>29</v>
      </c>
      <c r="N171" s="1" t="s">
        <v>164</v>
      </c>
      <c r="O171" s="1" t="s">
        <v>165</v>
      </c>
      <c r="P171" s="1">
        <v>40475</v>
      </c>
      <c r="Q171" s="1" t="s">
        <v>54</v>
      </c>
      <c r="R171" s="1" t="s">
        <v>1011</v>
      </c>
      <c r="S171" s="1" t="s">
        <v>34</v>
      </c>
      <c r="T171" s="1" t="s">
        <v>270</v>
      </c>
      <c r="U171" s="1" t="s">
        <v>1012</v>
      </c>
      <c r="V171" s="3">
        <v>69.52</v>
      </c>
      <c r="W171" s="1" t="str">
        <f t="shared" si="14"/>
        <v>Slow Delivery</v>
      </c>
    </row>
    <row r="172" spans="1:23" x14ac:dyDescent="0.25">
      <c r="A172" s="1">
        <v>5896</v>
      </c>
      <c r="B172" s="2" t="s">
        <v>1013</v>
      </c>
      <c r="C172" s="2">
        <v>42309</v>
      </c>
      <c r="D172" s="2">
        <v>42316</v>
      </c>
      <c r="E172" s="1">
        <f t="shared" si="11"/>
        <v>2015</v>
      </c>
      <c r="F172" s="2" t="str">
        <f t="shared" si="12"/>
        <v>Nov</v>
      </c>
      <c r="G172" s="1">
        <f t="shared" si="13"/>
        <v>11</v>
      </c>
      <c r="H172" s="1">
        <f t="shared" si="10"/>
        <v>7</v>
      </c>
      <c r="I172" s="1" t="s">
        <v>25</v>
      </c>
      <c r="J172" s="1" t="s">
        <v>1014</v>
      </c>
      <c r="K172" s="1" t="s">
        <v>1015</v>
      </c>
      <c r="L172" s="1" t="s">
        <v>131</v>
      </c>
      <c r="M172" s="1" t="s">
        <v>29</v>
      </c>
      <c r="N172" s="1" t="s">
        <v>132</v>
      </c>
      <c r="O172" s="1" t="s">
        <v>106</v>
      </c>
      <c r="P172" s="1">
        <v>90049</v>
      </c>
      <c r="Q172" s="1" t="s">
        <v>107</v>
      </c>
      <c r="R172" s="1" t="s">
        <v>1016</v>
      </c>
      <c r="S172" s="1" t="s">
        <v>34</v>
      </c>
      <c r="T172" s="1" t="s">
        <v>56</v>
      </c>
      <c r="U172" s="1" t="s">
        <v>1017</v>
      </c>
      <c r="V172" s="3">
        <v>44.4</v>
      </c>
      <c r="W172" s="1" t="str">
        <f t="shared" si="14"/>
        <v>Slow Delivery</v>
      </c>
    </row>
    <row r="173" spans="1:23" x14ac:dyDescent="0.25">
      <c r="A173" s="1">
        <v>3991</v>
      </c>
      <c r="B173" s="2" t="s">
        <v>1018</v>
      </c>
      <c r="C173" s="2">
        <v>42311</v>
      </c>
      <c r="D173" s="2">
        <v>42316</v>
      </c>
      <c r="E173" s="1">
        <f t="shared" si="11"/>
        <v>2015</v>
      </c>
      <c r="F173" s="2" t="str">
        <f t="shared" si="12"/>
        <v>Nov</v>
      </c>
      <c r="G173" s="1">
        <f t="shared" si="13"/>
        <v>11</v>
      </c>
      <c r="H173" s="1">
        <f t="shared" si="10"/>
        <v>5</v>
      </c>
      <c r="I173" s="1" t="s">
        <v>25</v>
      </c>
      <c r="J173" s="1" t="s">
        <v>1019</v>
      </c>
      <c r="K173" s="1" t="s">
        <v>1020</v>
      </c>
      <c r="L173" s="1" t="s">
        <v>28</v>
      </c>
      <c r="M173" s="1" t="s">
        <v>29</v>
      </c>
      <c r="N173" s="1" t="s">
        <v>1021</v>
      </c>
      <c r="O173" s="1" t="s">
        <v>411</v>
      </c>
      <c r="P173" s="1">
        <v>17602</v>
      </c>
      <c r="Q173" s="1" t="s">
        <v>43</v>
      </c>
      <c r="R173" s="1" t="s">
        <v>1022</v>
      </c>
      <c r="S173" s="1" t="s">
        <v>34</v>
      </c>
      <c r="T173" s="1" t="s">
        <v>638</v>
      </c>
      <c r="U173" s="1" t="s">
        <v>1023</v>
      </c>
      <c r="V173" s="3">
        <v>286.34399999999999</v>
      </c>
      <c r="W173" s="1" t="str">
        <f t="shared" si="14"/>
        <v>Slow Delivery</v>
      </c>
    </row>
    <row r="174" spans="1:23" x14ac:dyDescent="0.25">
      <c r="A174" s="1">
        <v>6266</v>
      </c>
      <c r="B174" s="2" t="s">
        <v>1024</v>
      </c>
      <c r="C174" s="2">
        <v>42311</v>
      </c>
      <c r="D174" s="2">
        <v>42316</v>
      </c>
      <c r="E174" s="1">
        <f t="shared" si="11"/>
        <v>2015</v>
      </c>
      <c r="F174" s="2" t="str">
        <f t="shared" si="12"/>
        <v>Nov</v>
      </c>
      <c r="G174" s="1">
        <f t="shared" si="13"/>
        <v>11</v>
      </c>
      <c r="H174" s="1">
        <f t="shared" si="10"/>
        <v>5</v>
      </c>
      <c r="I174" s="1" t="s">
        <v>25</v>
      </c>
      <c r="J174" s="1" t="s">
        <v>1025</v>
      </c>
      <c r="K174" s="1" t="s">
        <v>1026</v>
      </c>
      <c r="L174" s="1" t="s">
        <v>28</v>
      </c>
      <c r="M174" s="1" t="s">
        <v>29</v>
      </c>
      <c r="N174" s="1" t="s">
        <v>1027</v>
      </c>
      <c r="O174" s="1" t="s">
        <v>1028</v>
      </c>
      <c r="P174" s="1">
        <v>37211</v>
      </c>
      <c r="Q174" s="1" t="s">
        <v>54</v>
      </c>
      <c r="R174" s="1" t="s">
        <v>1029</v>
      </c>
      <c r="S174" s="1" t="s">
        <v>34</v>
      </c>
      <c r="T174" s="1" t="s">
        <v>174</v>
      </c>
      <c r="U174" s="1" t="s">
        <v>1030</v>
      </c>
      <c r="V174" s="3">
        <v>3.488</v>
      </c>
      <c r="W174" s="1" t="str">
        <f t="shared" si="14"/>
        <v>Slow Delivery</v>
      </c>
    </row>
    <row r="175" spans="1:23" x14ac:dyDescent="0.25">
      <c r="A175" s="1">
        <v>2743</v>
      </c>
      <c r="B175" s="2" t="s">
        <v>1031</v>
      </c>
      <c r="C175" s="2">
        <v>42312</v>
      </c>
      <c r="D175" s="2">
        <v>42316</v>
      </c>
      <c r="E175" s="1">
        <f t="shared" si="11"/>
        <v>2015</v>
      </c>
      <c r="F175" s="2" t="str">
        <f t="shared" si="12"/>
        <v>Nov</v>
      </c>
      <c r="G175" s="1">
        <f t="shared" si="13"/>
        <v>11</v>
      </c>
      <c r="H175" s="1">
        <f t="shared" si="10"/>
        <v>4</v>
      </c>
      <c r="I175" s="1" t="s">
        <v>25</v>
      </c>
      <c r="J175" s="1" t="s">
        <v>1032</v>
      </c>
      <c r="K175" s="1" t="s">
        <v>1033</v>
      </c>
      <c r="L175" s="1" t="s">
        <v>28</v>
      </c>
      <c r="M175" s="1" t="s">
        <v>29</v>
      </c>
      <c r="N175" s="1" t="s">
        <v>478</v>
      </c>
      <c r="O175" s="1" t="s">
        <v>106</v>
      </c>
      <c r="P175" s="1">
        <v>92037</v>
      </c>
      <c r="Q175" s="1" t="s">
        <v>107</v>
      </c>
      <c r="R175" s="1" t="s">
        <v>1034</v>
      </c>
      <c r="S175" s="1" t="s">
        <v>45</v>
      </c>
      <c r="T175" s="1" t="s">
        <v>46</v>
      </c>
      <c r="U175" s="1" t="s">
        <v>1035</v>
      </c>
      <c r="V175" s="3">
        <v>35.340000000000003</v>
      </c>
      <c r="W175" s="1" t="str">
        <f t="shared" si="14"/>
        <v>Slow Delivery</v>
      </c>
    </row>
    <row r="176" spans="1:23" x14ac:dyDescent="0.25">
      <c r="A176" s="1">
        <v>2716</v>
      </c>
      <c r="B176" s="2" t="s">
        <v>1036</v>
      </c>
      <c r="C176" s="2">
        <v>42342</v>
      </c>
      <c r="D176" s="2">
        <v>42346</v>
      </c>
      <c r="E176" s="1">
        <f t="shared" si="11"/>
        <v>2015</v>
      </c>
      <c r="F176" s="2" t="str">
        <f t="shared" si="12"/>
        <v>Dec</v>
      </c>
      <c r="G176" s="1">
        <f t="shared" si="13"/>
        <v>12</v>
      </c>
      <c r="H176" s="1">
        <f t="shared" si="10"/>
        <v>4</v>
      </c>
      <c r="I176" s="1" t="s">
        <v>25</v>
      </c>
      <c r="J176" s="1" t="s">
        <v>1037</v>
      </c>
      <c r="K176" s="1" t="s">
        <v>1038</v>
      </c>
      <c r="L176" s="1" t="s">
        <v>51</v>
      </c>
      <c r="M176" s="1" t="s">
        <v>29</v>
      </c>
      <c r="N176" s="1" t="s">
        <v>114</v>
      </c>
      <c r="O176" s="1" t="s">
        <v>115</v>
      </c>
      <c r="P176" s="1">
        <v>10024</v>
      </c>
      <c r="Q176" s="1" t="s">
        <v>43</v>
      </c>
      <c r="R176" s="1" t="s">
        <v>1039</v>
      </c>
      <c r="S176" s="1" t="s">
        <v>64</v>
      </c>
      <c r="T176" s="1" t="s">
        <v>159</v>
      </c>
      <c r="U176" s="1" t="s">
        <v>1040</v>
      </c>
      <c r="V176" s="3">
        <v>129.97999999999999</v>
      </c>
      <c r="W176" s="1" t="str">
        <f t="shared" si="14"/>
        <v>Slow Delivery</v>
      </c>
    </row>
    <row r="177" spans="1:23" x14ac:dyDescent="0.25">
      <c r="A177" s="1">
        <v>2720</v>
      </c>
      <c r="B177" s="2" t="s">
        <v>1041</v>
      </c>
      <c r="C177" s="2">
        <v>42344</v>
      </c>
      <c r="D177" s="2">
        <v>42346</v>
      </c>
      <c r="E177" s="1">
        <f t="shared" si="11"/>
        <v>2015</v>
      </c>
      <c r="F177" s="2" t="str">
        <f t="shared" si="12"/>
        <v>Dec</v>
      </c>
      <c r="G177" s="1">
        <f t="shared" si="13"/>
        <v>12</v>
      </c>
      <c r="H177" s="1">
        <f t="shared" si="10"/>
        <v>2</v>
      </c>
      <c r="I177" s="1" t="s">
        <v>83</v>
      </c>
      <c r="J177" s="1" t="s">
        <v>1042</v>
      </c>
      <c r="K177" s="1" t="s">
        <v>1043</v>
      </c>
      <c r="L177" s="1" t="s">
        <v>28</v>
      </c>
      <c r="M177" s="1" t="s">
        <v>29</v>
      </c>
      <c r="N177" s="1" t="s">
        <v>150</v>
      </c>
      <c r="O177" s="1" t="s">
        <v>31</v>
      </c>
      <c r="P177" s="1">
        <v>77095</v>
      </c>
      <c r="Q177" s="1" t="s">
        <v>32</v>
      </c>
      <c r="R177" s="1" t="s">
        <v>1044</v>
      </c>
      <c r="S177" s="1" t="s">
        <v>45</v>
      </c>
      <c r="T177" s="1" t="s">
        <v>46</v>
      </c>
      <c r="U177" s="1" t="s">
        <v>1045</v>
      </c>
      <c r="V177" s="3">
        <v>23.975999999999999</v>
      </c>
      <c r="W177" s="1" t="str">
        <f t="shared" si="14"/>
        <v>Fast Delivery</v>
      </c>
    </row>
    <row r="178" spans="1:23" x14ac:dyDescent="0.25">
      <c r="A178" s="1">
        <v>7066</v>
      </c>
      <c r="B178" s="2" t="s">
        <v>1046</v>
      </c>
      <c r="C178" s="2">
        <v>42344</v>
      </c>
      <c r="D178" s="2">
        <v>42346</v>
      </c>
      <c r="E178" s="1">
        <f t="shared" si="11"/>
        <v>2015</v>
      </c>
      <c r="F178" s="2" t="str">
        <f t="shared" si="12"/>
        <v>Dec</v>
      </c>
      <c r="G178" s="1">
        <f t="shared" si="13"/>
        <v>12</v>
      </c>
      <c r="H178" s="1">
        <f t="shared" si="10"/>
        <v>2</v>
      </c>
      <c r="I178" s="1" t="s">
        <v>38</v>
      </c>
      <c r="J178" s="1" t="s">
        <v>1047</v>
      </c>
      <c r="K178" s="1" t="s">
        <v>1048</v>
      </c>
      <c r="L178" s="1" t="s">
        <v>51</v>
      </c>
      <c r="M178" s="1" t="s">
        <v>29</v>
      </c>
      <c r="N178" s="1" t="s">
        <v>132</v>
      </c>
      <c r="O178" s="1" t="s">
        <v>106</v>
      </c>
      <c r="P178" s="1">
        <v>90008</v>
      </c>
      <c r="Q178" s="1" t="s">
        <v>107</v>
      </c>
      <c r="R178" s="1" t="s">
        <v>1049</v>
      </c>
      <c r="S178" s="1" t="s">
        <v>34</v>
      </c>
      <c r="T178" s="1" t="s">
        <v>270</v>
      </c>
      <c r="U178" s="1" t="s">
        <v>1050</v>
      </c>
      <c r="V178" s="3">
        <v>1261.33</v>
      </c>
      <c r="W178" s="1" t="str">
        <f t="shared" si="14"/>
        <v>Fast Delivery</v>
      </c>
    </row>
    <row r="179" spans="1:23" x14ac:dyDescent="0.25">
      <c r="A179" s="1">
        <v>8945</v>
      </c>
      <c r="B179" s="2" t="s">
        <v>1051</v>
      </c>
      <c r="C179" s="2">
        <v>42345</v>
      </c>
      <c r="D179" s="2">
        <v>42346</v>
      </c>
      <c r="E179" s="1">
        <f t="shared" si="11"/>
        <v>2015</v>
      </c>
      <c r="F179" s="2" t="str">
        <f t="shared" si="12"/>
        <v>Dec</v>
      </c>
      <c r="G179" s="1">
        <f t="shared" si="13"/>
        <v>12</v>
      </c>
      <c r="H179" s="1">
        <f t="shared" si="10"/>
        <v>1</v>
      </c>
      <c r="I179" s="1" t="s">
        <v>38</v>
      </c>
      <c r="J179" s="1" t="s">
        <v>1052</v>
      </c>
      <c r="K179" s="1" t="s">
        <v>1053</v>
      </c>
      <c r="L179" s="1" t="s">
        <v>131</v>
      </c>
      <c r="M179" s="1" t="s">
        <v>29</v>
      </c>
      <c r="N179" s="1" t="s">
        <v>105</v>
      </c>
      <c r="O179" s="1" t="s">
        <v>106</v>
      </c>
      <c r="P179" s="1">
        <v>94109</v>
      </c>
      <c r="Q179" s="1" t="s">
        <v>107</v>
      </c>
      <c r="R179" s="1" t="s">
        <v>1054</v>
      </c>
      <c r="S179" s="1" t="s">
        <v>34</v>
      </c>
      <c r="T179" s="1" t="s">
        <v>174</v>
      </c>
      <c r="U179" s="1" t="s">
        <v>1055</v>
      </c>
      <c r="V179" s="3">
        <v>164.88</v>
      </c>
      <c r="W179" s="1" t="str">
        <f t="shared" si="14"/>
        <v>Fast Delivery</v>
      </c>
    </row>
    <row r="180" spans="1:23" x14ac:dyDescent="0.25">
      <c r="A180" s="1">
        <v>3392</v>
      </c>
      <c r="B180" s="2" t="s">
        <v>1056</v>
      </c>
      <c r="C180" s="2">
        <v>42225</v>
      </c>
      <c r="D180" s="2">
        <v>42229</v>
      </c>
      <c r="E180" s="1">
        <f t="shared" si="11"/>
        <v>2015</v>
      </c>
      <c r="F180" s="2" t="str">
        <f t="shared" si="12"/>
        <v>Aug</v>
      </c>
      <c r="G180" s="1">
        <f t="shared" si="13"/>
        <v>8</v>
      </c>
      <c r="H180" s="1">
        <f t="shared" si="10"/>
        <v>4</v>
      </c>
      <c r="I180" s="1" t="s">
        <v>25</v>
      </c>
      <c r="J180" s="1" t="s">
        <v>1057</v>
      </c>
      <c r="K180" s="1" t="s">
        <v>1058</v>
      </c>
      <c r="L180" s="1" t="s">
        <v>131</v>
      </c>
      <c r="M180" s="1" t="s">
        <v>29</v>
      </c>
      <c r="N180" s="1" t="s">
        <v>488</v>
      </c>
      <c r="O180" s="1" t="s">
        <v>424</v>
      </c>
      <c r="P180" s="1">
        <v>98103</v>
      </c>
      <c r="Q180" s="1" t="s">
        <v>107</v>
      </c>
      <c r="R180" s="1" t="s">
        <v>1059</v>
      </c>
      <c r="S180" s="1" t="s">
        <v>64</v>
      </c>
      <c r="T180" s="1" t="s">
        <v>159</v>
      </c>
      <c r="U180" s="1" t="s">
        <v>1060</v>
      </c>
      <c r="V180" s="3">
        <v>1091.1679999999999</v>
      </c>
      <c r="W180" s="1" t="str">
        <f t="shared" si="14"/>
        <v>Slow Delivery</v>
      </c>
    </row>
    <row r="181" spans="1:23" x14ac:dyDescent="0.25">
      <c r="A181" s="1">
        <v>3629</v>
      </c>
      <c r="B181" s="2" t="s">
        <v>1061</v>
      </c>
      <c r="C181" s="2">
        <v>42225</v>
      </c>
      <c r="D181" s="2">
        <v>42229</v>
      </c>
      <c r="E181" s="1">
        <f t="shared" si="11"/>
        <v>2015</v>
      </c>
      <c r="F181" s="2" t="str">
        <f t="shared" si="12"/>
        <v>Aug</v>
      </c>
      <c r="G181" s="1">
        <f t="shared" si="13"/>
        <v>8</v>
      </c>
      <c r="H181" s="1">
        <f t="shared" si="10"/>
        <v>4</v>
      </c>
      <c r="I181" s="1" t="s">
        <v>25</v>
      </c>
      <c r="J181" s="1" t="s">
        <v>1062</v>
      </c>
      <c r="K181" s="1" t="s">
        <v>1063</v>
      </c>
      <c r="L181" s="1" t="s">
        <v>28</v>
      </c>
      <c r="M181" s="1" t="s">
        <v>29</v>
      </c>
      <c r="N181" s="1" t="s">
        <v>488</v>
      </c>
      <c r="O181" s="1" t="s">
        <v>424</v>
      </c>
      <c r="P181" s="1">
        <v>98103</v>
      </c>
      <c r="Q181" s="1" t="s">
        <v>107</v>
      </c>
      <c r="R181" s="1" t="s">
        <v>1064</v>
      </c>
      <c r="S181" s="1" t="s">
        <v>34</v>
      </c>
      <c r="T181" s="1" t="s">
        <v>109</v>
      </c>
      <c r="U181" s="1" t="s">
        <v>1065</v>
      </c>
      <c r="V181" s="3">
        <v>2060.7440000000001</v>
      </c>
      <c r="W181" s="1" t="str">
        <f t="shared" si="14"/>
        <v>Slow Delivery</v>
      </c>
    </row>
    <row r="182" spans="1:23" x14ac:dyDescent="0.25">
      <c r="A182" s="1">
        <v>1466</v>
      </c>
      <c r="B182" s="2" t="s">
        <v>1066</v>
      </c>
      <c r="C182" s="2">
        <v>42224</v>
      </c>
      <c r="D182" s="2">
        <v>42230</v>
      </c>
      <c r="E182" s="1">
        <f t="shared" si="11"/>
        <v>2015</v>
      </c>
      <c r="F182" s="2" t="str">
        <f t="shared" si="12"/>
        <v>Aug</v>
      </c>
      <c r="G182" s="1">
        <f t="shared" si="13"/>
        <v>8</v>
      </c>
      <c r="H182" s="1">
        <f t="shared" si="10"/>
        <v>6</v>
      </c>
      <c r="I182" s="1" t="s">
        <v>25</v>
      </c>
      <c r="J182" s="1" t="s">
        <v>1067</v>
      </c>
      <c r="K182" s="1" t="s">
        <v>1068</v>
      </c>
      <c r="L182" s="1" t="s">
        <v>28</v>
      </c>
      <c r="M182" s="1" t="s">
        <v>29</v>
      </c>
      <c r="N182" s="1" t="s">
        <v>242</v>
      </c>
      <c r="O182" s="1" t="s">
        <v>229</v>
      </c>
      <c r="P182" s="1">
        <v>85301</v>
      </c>
      <c r="Q182" s="1" t="s">
        <v>107</v>
      </c>
      <c r="R182" s="1" t="s">
        <v>1069</v>
      </c>
      <c r="S182" s="1" t="s">
        <v>45</v>
      </c>
      <c r="T182" s="1" t="s">
        <v>46</v>
      </c>
      <c r="U182" s="1" t="s">
        <v>1070</v>
      </c>
      <c r="V182" s="3">
        <v>121.376</v>
      </c>
      <c r="W182" s="1" t="str">
        <f t="shared" si="14"/>
        <v>Slow Delivery</v>
      </c>
    </row>
    <row r="183" spans="1:23" x14ac:dyDescent="0.25">
      <c r="A183" s="1">
        <v>7070</v>
      </c>
      <c r="B183" s="2" t="s">
        <v>1071</v>
      </c>
      <c r="C183" s="2">
        <v>42225</v>
      </c>
      <c r="D183" s="2">
        <v>42230</v>
      </c>
      <c r="E183" s="1">
        <f t="shared" si="11"/>
        <v>2015</v>
      </c>
      <c r="F183" s="2" t="str">
        <f t="shared" si="12"/>
        <v>Aug</v>
      </c>
      <c r="G183" s="1">
        <f t="shared" si="13"/>
        <v>8</v>
      </c>
      <c r="H183" s="1">
        <f t="shared" si="10"/>
        <v>5</v>
      </c>
      <c r="I183" s="1" t="s">
        <v>25</v>
      </c>
      <c r="J183" s="1" t="s">
        <v>1072</v>
      </c>
      <c r="K183" s="1" t="s">
        <v>1073</v>
      </c>
      <c r="L183" s="1" t="s">
        <v>28</v>
      </c>
      <c r="M183" s="1" t="s">
        <v>29</v>
      </c>
      <c r="N183" s="1" t="s">
        <v>1074</v>
      </c>
      <c r="O183" s="1" t="s">
        <v>106</v>
      </c>
      <c r="P183" s="1">
        <v>93727</v>
      </c>
      <c r="Q183" s="1" t="s">
        <v>107</v>
      </c>
      <c r="R183" s="1" t="s">
        <v>1075</v>
      </c>
      <c r="S183" s="1" t="s">
        <v>34</v>
      </c>
      <c r="T183" s="1" t="s">
        <v>174</v>
      </c>
      <c r="U183" s="1" t="s">
        <v>1076</v>
      </c>
      <c r="V183" s="3">
        <v>5.98</v>
      </c>
      <c r="W183" s="1" t="str">
        <f t="shared" si="14"/>
        <v>Slow Delivery</v>
      </c>
    </row>
    <row r="184" spans="1:23" x14ac:dyDescent="0.25">
      <c r="A184" s="1">
        <v>595</v>
      </c>
      <c r="B184" s="2" t="s">
        <v>1077</v>
      </c>
      <c r="C184" s="2">
        <v>42224</v>
      </c>
      <c r="D184" s="2">
        <v>42231</v>
      </c>
      <c r="E184" s="1">
        <f t="shared" si="11"/>
        <v>2015</v>
      </c>
      <c r="F184" s="2" t="str">
        <f t="shared" si="12"/>
        <v>Aug</v>
      </c>
      <c r="G184" s="1">
        <f t="shared" si="13"/>
        <v>8</v>
      </c>
      <c r="H184" s="1">
        <f t="shared" si="10"/>
        <v>7</v>
      </c>
      <c r="I184" s="1" t="s">
        <v>25</v>
      </c>
      <c r="J184" s="1" t="s">
        <v>1078</v>
      </c>
      <c r="K184" s="1" t="s">
        <v>1079</v>
      </c>
      <c r="L184" s="1" t="s">
        <v>28</v>
      </c>
      <c r="M184" s="1" t="s">
        <v>29</v>
      </c>
      <c r="N184" s="1" t="s">
        <v>478</v>
      </c>
      <c r="O184" s="1" t="s">
        <v>106</v>
      </c>
      <c r="P184" s="1">
        <v>92024</v>
      </c>
      <c r="Q184" s="1" t="s">
        <v>107</v>
      </c>
      <c r="R184" s="1" t="s">
        <v>389</v>
      </c>
      <c r="S184" s="1" t="s">
        <v>34</v>
      </c>
      <c r="T184" s="1" t="s">
        <v>74</v>
      </c>
      <c r="U184" s="1" t="s">
        <v>390</v>
      </c>
      <c r="V184" s="3">
        <v>76.12</v>
      </c>
      <c r="W184" s="1" t="str">
        <f t="shared" si="14"/>
        <v>Slow Delivery</v>
      </c>
    </row>
    <row r="185" spans="1:23" x14ac:dyDescent="0.25">
      <c r="A185" s="1">
        <v>1741</v>
      </c>
      <c r="B185" s="2" t="s">
        <v>1080</v>
      </c>
      <c r="C185" s="2">
        <v>42225</v>
      </c>
      <c r="D185" s="2">
        <v>42232</v>
      </c>
      <c r="E185" s="1">
        <f t="shared" si="11"/>
        <v>2015</v>
      </c>
      <c r="F185" s="2" t="str">
        <f t="shared" si="12"/>
        <v>Aug</v>
      </c>
      <c r="G185" s="1">
        <f t="shared" si="13"/>
        <v>8</v>
      </c>
      <c r="H185" s="1">
        <f t="shared" si="10"/>
        <v>7</v>
      </c>
      <c r="I185" s="1" t="s">
        <v>25</v>
      </c>
      <c r="J185" s="1" t="s">
        <v>1081</v>
      </c>
      <c r="K185" s="1" t="s">
        <v>1082</v>
      </c>
      <c r="L185" s="1" t="s">
        <v>131</v>
      </c>
      <c r="M185" s="1" t="s">
        <v>29</v>
      </c>
      <c r="N185" s="1" t="s">
        <v>478</v>
      </c>
      <c r="O185" s="1" t="s">
        <v>106</v>
      </c>
      <c r="P185" s="1">
        <v>92037</v>
      </c>
      <c r="Q185" s="1" t="s">
        <v>107</v>
      </c>
      <c r="R185" s="1" t="s">
        <v>1083</v>
      </c>
      <c r="S185" s="1" t="s">
        <v>34</v>
      </c>
      <c r="T185" s="1" t="s">
        <v>56</v>
      </c>
      <c r="U185" s="1" t="s">
        <v>1084</v>
      </c>
      <c r="V185" s="3">
        <v>20.88</v>
      </c>
      <c r="W185" s="1" t="str">
        <f t="shared" si="14"/>
        <v>Slow Delivery</v>
      </c>
    </row>
    <row r="186" spans="1:23" x14ac:dyDescent="0.25">
      <c r="A186" s="1">
        <v>3230</v>
      </c>
      <c r="B186" s="2" t="s">
        <v>1085</v>
      </c>
      <c r="C186" s="2">
        <v>42227</v>
      </c>
      <c r="D186" s="2">
        <v>42232</v>
      </c>
      <c r="E186" s="1">
        <f t="shared" si="11"/>
        <v>2015</v>
      </c>
      <c r="F186" s="2" t="str">
        <f t="shared" si="12"/>
        <v>Aug</v>
      </c>
      <c r="G186" s="1">
        <f t="shared" si="13"/>
        <v>8</v>
      </c>
      <c r="H186" s="1">
        <f t="shared" si="10"/>
        <v>5</v>
      </c>
      <c r="I186" s="1" t="s">
        <v>25</v>
      </c>
      <c r="J186" s="1" t="s">
        <v>1086</v>
      </c>
      <c r="K186" s="1" t="s">
        <v>1087</v>
      </c>
      <c r="L186" s="1" t="s">
        <v>28</v>
      </c>
      <c r="M186" s="1" t="s">
        <v>29</v>
      </c>
      <c r="N186" s="1" t="s">
        <v>114</v>
      </c>
      <c r="O186" s="1" t="s">
        <v>115</v>
      </c>
      <c r="P186" s="1">
        <v>10035</v>
      </c>
      <c r="Q186" s="1" t="s">
        <v>43</v>
      </c>
      <c r="R186" s="1" t="s">
        <v>1088</v>
      </c>
      <c r="S186" s="1" t="s">
        <v>34</v>
      </c>
      <c r="T186" s="1" t="s">
        <v>270</v>
      </c>
      <c r="U186" s="1" t="s">
        <v>1089</v>
      </c>
      <c r="V186" s="3">
        <v>375.34</v>
      </c>
      <c r="W186" s="1" t="str">
        <f t="shared" si="14"/>
        <v>Slow Delivery</v>
      </c>
    </row>
    <row r="187" spans="1:23" x14ac:dyDescent="0.25">
      <c r="A187" s="1">
        <v>6769</v>
      </c>
      <c r="B187" s="2" t="s">
        <v>1090</v>
      </c>
      <c r="C187" s="2">
        <v>42228</v>
      </c>
      <c r="D187" s="2">
        <v>42232</v>
      </c>
      <c r="E187" s="1">
        <f t="shared" si="11"/>
        <v>2015</v>
      </c>
      <c r="F187" s="2" t="str">
        <f t="shared" si="12"/>
        <v>Aug</v>
      </c>
      <c r="G187" s="1">
        <f t="shared" si="13"/>
        <v>8</v>
      </c>
      <c r="H187" s="1">
        <f t="shared" si="10"/>
        <v>4</v>
      </c>
      <c r="I187" s="1" t="s">
        <v>25</v>
      </c>
      <c r="J187" s="1" t="s">
        <v>1091</v>
      </c>
      <c r="K187" s="1" t="s">
        <v>1092</v>
      </c>
      <c r="L187" s="1" t="s">
        <v>51</v>
      </c>
      <c r="M187" s="1" t="s">
        <v>29</v>
      </c>
      <c r="N187" s="1" t="s">
        <v>521</v>
      </c>
      <c r="O187" s="1" t="s">
        <v>388</v>
      </c>
      <c r="P187" s="1">
        <v>8701</v>
      </c>
      <c r="Q187" s="1" t="s">
        <v>43</v>
      </c>
      <c r="R187" s="1" t="s">
        <v>1093</v>
      </c>
      <c r="S187" s="1" t="s">
        <v>34</v>
      </c>
      <c r="T187" s="1" t="s">
        <v>109</v>
      </c>
      <c r="U187" s="1" t="s">
        <v>1094</v>
      </c>
      <c r="V187" s="3">
        <v>196.21</v>
      </c>
      <c r="W187" s="1" t="str">
        <f t="shared" si="14"/>
        <v>Slow Delivery</v>
      </c>
    </row>
    <row r="188" spans="1:23" x14ac:dyDescent="0.25">
      <c r="A188" s="1">
        <v>8244</v>
      </c>
      <c r="B188" s="2" t="s">
        <v>1095</v>
      </c>
      <c r="C188" s="2">
        <v>42228</v>
      </c>
      <c r="D188" s="2">
        <v>42232</v>
      </c>
      <c r="E188" s="1">
        <f t="shared" si="11"/>
        <v>2015</v>
      </c>
      <c r="F188" s="2" t="str">
        <f t="shared" si="12"/>
        <v>Aug</v>
      </c>
      <c r="G188" s="1">
        <f t="shared" si="13"/>
        <v>8</v>
      </c>
      <c r="H188" s="1">
        <f t="shared" si="10"/>
        <v>4</v>
      </c>
      <c r="I188" s="1" t="s">
        <v>25</v>
      </c>
      <c r="J188" s="1" t="s">
        <v>1096</v>
      </c>
      <c r="K188" s="1" t="s">
        <v>1097</v>
      </c>
      <c r="L188" s="1" t="s">
        <v>28</v>
      </c>
      <c r="M188" s="1" t="s">
        <v>29</v>
      </c>
      <c r="N188" s="1" t="s">
        <v>105</v>
      </c>
      <c r="O188" s="1" t="s">
        <v>106</v>
      </c>
      <c r="P188" s="1">
        <v>94122</v>
      </c>
      <c r="Q188" s="1" t="s">
        <v>107</v>
      </c>
      <c r="R188" s="1" t="s">
        <v>1098</v>
      </c>
      <c r="S188" s="1" t="s">
        <v>64</v>
      </c>
      <c r="T188" s="1" t="s">
        <v>159</v>
      </c>
      <c r="U188" s="1" t="s">
        <v>1099</v>
      </c>
      <c r="V188" s="3">
        <v>806.33600000000001</v>
      </c>
      <c r="W188" s="1" t="str">
        <f t="shared" si="14"/>
        <v>Slow Delivery</v>
      </c>
    </row>
    <row r="189" spans="1:23" x14ac:dyDescent="0.25">
      <c r="A189" s="1">
        <v>8287</v>
      </c>
      <c r="B189" s="2" t="s">
        <v>1100</v>
      </c>
      <c r="C189" s="2">
        <v>42228</v>
      </c>
      <c r="D189" s="2">
        <v>42232</v>
      </c>
      <c r="E189" s="1">
        <f t="shared" si="11"/>
        <v>2015</v>
      </c>
      <c r="F189" s="2" t="str">
        <f t="shared" si="12"/>
        <v>Aug</v>
      </c>
      <c r="G189" s="1">
        <f t="shared" si="13"/>
        <v>8</v>
      </c>
      <c r="H189" s="1">
        <f t="shared" si="10"/>
        <v>4</v>
      </c>
      <c r="I189" s="1" t="s">
        <v>25</v>
      </c>
      <c r="J189" s="1" t="s">
        <v>1101</v>
      </c>
      <c r="K189" s="1" t="s">
        <v>1102</v>
      </c>
      <c r="L189" s="1" t="s">
        <v>131</v>
      </c>
      <c r="M189" s="1" t="s">
        <v>29</v>
      </c>
      <c r="N189" s="1" t="s">
        <v>236</v>
      </c>
      <c r="O189" s="1" t="s">
        <v>190</v>
      </c>
      <c r="P189" s="1">
        <v>33180</v>
      </c>
      <c r="Q189" s="1" t="s">
        <v>54</v>
      </c>
      <c r="R189" s="1" t="s">
        <v>1103</v>
      </c>
      <c r="S189" s="1" t="s">
        <v>34</v>
      </c>
      <c r="T189" s="1" t="s">
        <v>174</v>
      </c>
      <c r="U189" s="1" t="s">
        <v>1104</v>
      </c>
      <c r="V189" s="3">
        <v>31.103999999999999</v>
      </c>
      <c r="W189" s="1" t="str">
        <f t="shared" si="14"/>
        <v>Slow Delivery</v>
      </c>
    </row>
    <row r="190" spans="1:23" x14ac:dyDescent="0.25">
      <c r="A190" s="1">
        <v>9138</v>
      </c>
      <c r="B190" s="2" t="s">
        <v>1105</v>
      </c>
      <c r="C190" s="2">
        <v>42037</v>
      </c>
      <c r="D190" s="2">
        <v>42044</v>
      </c>
      <c r="E190" s="1">
        <f t="shared" si="11"/>
        <v>2015</v>
      </c>
      <c r="F190" s="2" t="str">
        <f t="shared" si="12"/>
        <v>Feb</v>
      </c>
      <c r="G190" s="1">
        <f t="shared" si="13"/>
        <v>2</v>
      </c>
      <c r="H190" s="1">
        <f t="shared" si="10"/>
        <v>7</v>
      </c>
      <c r="I190" s="1" t="s">
        <v>25</v>
      </c>
      <c r="J190" s="1" t="s">
        <v>1106</v>
      </c>
      <c r="K190" s="1" t="s">
        <v>1107</v>
      </c>
      <c r="L190" s="1" t="s">
        <v>28</v>
      </c>
      <c r="M190" s="1" t="s">
        <v>29</v>
      </c>
      <c r="N190" s="1" t="s">
        <v>744</v>
      </c>
      <c r="O190" s="1" t="s">
        <v>190</v>
      </c>
      <c r="P190" s="1">
        <v>33710</v>
      </c>
      <c r="Q190" s="1" t="s">
        <v>54</v>
      </c>
      <c r="R190" s="1" t="s">
        <v>1108</v>
      </c>
      <c r="S190" s="1" t="s">
        <v>34</v>
      </c>
      <c r="T190" s="1" t="s">
        <v>109</v>
      </c>
      <c r="U190" s="1" t="s">
        <v>1109</v>
      </c>
      <c r="V190" s="3">
        <v>18.335999999999999</v>
      </c>
      <c r="W190" s="1" t="str">
        <f t="shared" si="14"/>
        <v>Slow Delivery</v>
      </c>
    </row>
    <row r="191" spans="1:23" x14ac:dyDescent="0.25">
      <c r="A191" s="1">
        <v>1998</v>
      </c>
      <c r="B191" s="2" t="s">
        <v>1110</v>
      </c>
      <c r="C191" s="2">
        <v>42041</v>
      </c>
      <c r="D191" s="2">
        <v>42044</v>
      </c>
      <c r="E191" s="1">
        <f t="shared" si="11"/>
        <v>2015</v>
      </c>
      <c r="F191" s="2" t="str">
        <f t="shared" si="12"/>
        <v>Feb</v>
      </c>
      <c r="G191" s="1">
        <f t="shared" si="13"/>
        <v>2</v>
      </c>
      <c r="H191" s="1">
        <f t="shared" si="10"/>
        <v>3</v>
      </c>
      <c r="I191" s="1" t="s">
        <v>38</v>
      </c>
      <c r="J191" s="1" t="s">
        <v>1111</v>
      </c>
      <c r="K191" s="1" t="s">
        <v>1112</v>
      </c>
      <c r="L191" s="1" t="s">
        <v>51</v>
      </c>
      <c r="M191" s="1" t="s">
        <v>29</v>
      </c>
      <c r="N191" s="1" t="s">
        <v>79</v>
      </c>
      <c r="O191" s="1" t="s">
        <v>53</v>
      </c>
      <c r="P191" s="1">
        <v>23320</v>
      </c>
      <c r="Q191" s="1" t="s">
        <v>54</v>
      </c>
      <c r="R191" s="1" t="s">
        <v>1113</v>
      </c>
      <c r="S191" s="1" t="s">
        <v>34</v>
      </c>
      <c r="T191" s="1" t="s">
        <v>56</v>
      </c>
      <c r="U191" s="1" t="s">
        <v>1114</v>
      </c>
      <c r="V191" s="3">
        <v>15</v>
      </c>
      <c r="W191" s="1" t="str">
        <f t="shared" si="14"/>
        <v>Fast Delivery</v>
      </c>
    </row>
    <row r="192" spans="1:23" x14ac:dyDescent="0.25">
      <c r="A192" s="1">
        <v>1561</v>
      </c>
      <c r="B192" s="2" t="s">
        <v>1115</v>
      </c>
      <c r="C192" s="2">
        <v>42098</v>
      </c>
      <c r="D192" s="2">
        <v>42103</v>
      </c>
      <c r="E192" s="1">
        <f t="shared" si="11"/>
        <v>2015</v>
      </c>
      <c r="F192" s="2" t="str">
        <f t="shared" si="12"/>
        <v>Apr</v>
      </c>
      <c r="G192" s="1">
        <f t="shared" si="13"/>
        <v>4</v>
      </c>
      <c r="H192" s="1">
        <f t="shared" si="10"/>
        <v>5</v>
      </c>
      <c r="I192" s="1" t="s">
        <v>25</v>
      </c>
      <c r="J192" s="1" t="s">
        <v>1116</v>
      </c>
      <c r="K192" s="1" t="s">
        <v>1117</v>
      </c>
      <c r="L192" s="1" t="s">
        <v>131</v>
      </c>
      <c r="M192" s="1" t="s">
        <v>29</v>
      </c>
      <c r="N192" s="1" t="s">
        <v>105</v>
      </c>
      <c r="O192" s="1" t="s">
        <v>106</v>
      </c>
      <c r="P192" s="1">
        <v>94109</v>
      </c>
      <c r="Q192" s="1" t="s">
        <v>107</v>
      </c>
      <c r="R192" s="1" t="s">
        <v>1118</v>
      </c>
      <c r="S192" s="1" t="s">
        <v>34</v>
      </c>
      <c r="T192" s="1" t="s">
        <v>56</v>
      </c>
      <c r="U192" s="1" t="s">
        <v>1119</v>
      </c>
      <c r="V192" s="3">
        <v>18.899999999999999</v>
      </c>
      <c r="W192" s="1" t="str">
        <f t="shared" si="14"/>
        <v>Slow Delivery</v>
      </c>
    </row>
    <row r="193" spans="1:23" x14ac:dyDescent="0.25">
      <c r="A193" s="1">
        <v>3955</v>
      </c>
      <c r="B193" s="2" t="s">
        <v>1120</v>
      </c>
      <c r="C193" s="2">
        <v>42098</v>
      </c>
      <c r="D193" s="2">
        <v>42103</v>
      </c>
      <c r="E193" s="1">
        <f t="shared" si="11"/>
        <v>2015</v>
      </c>
      <c r="F193" s="2" t="str">
        <f t="shared" si="12"/>
        <v>Apr</v>
      </c>
      <c r="G193" s="1">
        <f t="shared" si="13"/>
        <v>4</v>
      </c>
      <c r="H193" s="1">
        <f t="shared" si="10"/>
        <v>5</v>
      </c>
      <c r="I193" s="1" t="s">
        <v>25</v>
      </c>
      <c r="J193" s="1" t="s">
        <v>1121</v>
      </c>
      <c r="K193" s="1" t="s">
        <v>1122</v>
      </c>
      <c r="L193" s="1" t="s">
        <v>28</v>
      </c>
      <c r="M193" s="1" t="s">
        <v>29</v>
      </c>
      <c r="N193" s="1" t="s">
        <v>534</v>
      </c>
      <c r="O193" s="1" t="s">
        <v>172</v>
      </c>
      <c r="P193" s="1">
        <v>48205</v>
      </c>
      <c r="Q193" s="1" t="s">
        <v>32</v>
      </c>
      <c r="R193" s="1" t="s">
        <v>1123</v>
      </c>
      <c r="S193" s="1" t="s">
        <v>45</v>
      </c>
      <c r="T193" s="1" t="s">
        <v>46</v>
      </c>
      <c r="U193" s="1" t="s">
        <v>1124</v>
      </c>
      <c r="V193" s="3">
        <v>5.47</v>
      </c>
      <c r="W193" s="1" t="str">
        <f t="shared" si="14"/>
        <v>Slow Delivery</v>
      </c>
    </row>
    <row r="194" spans="1:23" x14ac:dyDescent="0.25">
      <c r="A194" s="1">
        <v>3277</v>
      </c>
      <c r="B194" s="2" t="s">
        <v>1125</v>
      </c>
      <c r="C194" s="2">
        <v>42099</v>
      </c>
      <c r="D194" s="2">
        <v>42103</v>
      </c>
      <c r="E194" s="1">
        <f t="shared" si="11"/>
        <v>2015</v>
      </c>
      <c r="F194" s="2" t="str">
        <f t="shared" si="12"/>
        <v>Apr</v>
      </c>
      <c r="G194" s="1">
        <f t="shared" si="13"/>
        <v>4</v>
      </c>
      <c r="H194" s="1">
        <f t="shared" ref="H194:H257" si="15">D194-C194</f>
        <v>4</v>
      </c>
      <c r="I194" s="1" t="s">
        <v>83</v>
      </c>
      <c r="J194" s="1" t="s">
        <v>1126</v>
      </c>
      <c r="K194" s="1" t="s">
        <v>1127</v>
      </c>
      <c r="L194" s="1" t="s">
        <v>51</v>
      </c>
      <c r="M194" s="1" t="s">
        <v>29</v>
      </c>
      <c r="N194" s="1" t="s">
        <v>1128</v>
      </c>
      <c r="O194" s="1" t="s">
        <v>53</v>
      </c>
      <c r="P194" s="1">
        <v>22304</v>
      </c>
      <c r="Q194" s="1" t="s">
        <v>54</v>
      </c>
      <c r="R194" s="1" t="s">
        <v>1129</v>
      </c>
      <c r="S194" s="1" t="s">
        <v>34</v>
      </c>
      <c r="T194" s="1" t="s">
        <v>35</v>
      </c>
      <c r="U194" s="1" t="s">
        <v>1130</v>
      </c>
      <c r="V194" s="3">
        <v>22.96</v>
      </c>
      <c r="W194" s="1" t="str">
        <f t="shared" si="14"/>
        <v>Slow Delivery</v>
      </c>
    </row>
    <row r="195" spans="1:23" x14ac:dyDescent="0.25">
      <c r="A195" s="1">
        <v>4212</v>
      </c>
      <c r="B195" s="2" t="s">
        <v>1131</v>
      </c>
      <c r="C195" s="2">
        <v>42129</v>
      </c>
      <c r="D195" s="2">
        <v>42133</v>
      </c>
      <c r="E195" s="1">
        <f t="shared" ref="E195:E258" si="16">YEAR(C195)</f>
        <v>2015</v>
      </c>
      <c r="F195" s="2" t="str">
        <f t="shared" ref="F195:F258" si="17">TEXT(C195,"mmm")</f>
        <v>May</v>
      </c>
      <c r="G195" s="1">
        <f t="shared" ref="G195:G258" si="18">MONTH(C195)</f>
        <v>5</v>
      </c>
      <c r="H195" s="1">
        <f t="shared" si="15"/>
        <v>4</v>
      </c>
      <c r="I195" s="1" t="s">
        <v>83</v>
      </c>
      <c r="J195" s="1" t="s">
        <v>1132</v>
      </c>
      <c r="K195" s="1" t="s">
        <v>1133</v>
      </c>
      <c r="L195" s="1" t="s">
        <v>28</v>
      </c>
      <c r="M195" s="1" t="s">
        <v>29</v>
      </c>
      <c r="N195" s="1" t="s">
        <v>164</v>
      </c>
      <c r="O195" s="1" t="s">
        <v>165</v>
      </c>
      <c r="P195" s="1">
        <v>40475</v>
      </c>
      <c r="Q195" s="1" t="s">
        <v>54</v>
      </c>
      <c r="R195" s="1" t="s">
        <v>1134</v>
      </c>
      <c r="S195" s="1" t="s">
        <v>34</v>
      </c>
      <c r="T195" s="1" t="s">
        <v>174</v>
      </c>
      <c r="U195" s="1" t="s">
        <v>1135</v>
      </c>
      <c r="V195" s="3">
        <v>9.42</v>
      </c>
      <c r="W195" s="1" t="str">
        <f t="shared" ref="W195:W258" si="19">IF(H195&lt;=3,"Fast Delivery","Slow Delivery")</f>
        <v>Slow Delivery</v>
      </c>
    </row>
    <row r="196" spans="1:23" x14ac:dyDescent="0.25">
      <c r="A196" s="1">
        <v>1875</v>
      </c>
      <c r="B196" s="2" t="s">
        <v>1136</v>
      </c>
      <c r="C196" s="2">
        <v>42159</v>
      </c>
      <c r="D196" s="2">
        <v>42164</v>
      </c>
      <c r="E196" s="1">
        <f t="shared" si="16"/>
        <v>2015</v>
      </c>
      <c r="F196" s="2" t="str">
        <f t="shared" si="17"/>
        <v>Jun</v>
      </c>
      <c r="G196" s="1">
        <f t="shared" si="18"/>
        <v>6</v>
      </c>
      <c r="H196" s="1">
        <f t="shared" si="15"/>
        <v>5</v>
      </c>
      <c r="I196" s="1" t="s">
        <v>25</v>
      </c>
      <c r="J196" s="1" t="s">
        <v>1137</v>
      </c>
      <c r="K196" s="1" t="s">
        <v>1138</v>
      </c>
      <c r="L196" s="1" t="s">
        <v>131</v>
      </c>
      <c r="M196" s="1" t="s">
        <v>29</v>
      </c>
      <c r="N196" s="1" t="s">
        <v>71</v>
      </c>
      <c r="O196" s="1" t="s">
        <v>72</v>
      </c>
      <c r="P196" s="1">
        <v>43229</v>
      </c>
      <c r="Q196" s="1" t="s">
        <v>43</v>
      </c>
      <c r="R196" s="1" t="s">
        <v>1139</v>
      </c>
      <c r="S196" s="1" t="s">
        <v>34</v>
      </c>
      <c r="T196" s="1" t="s">
        <v>174</v>
      </c>
      <c r="U196" s="1" t="s">
        <v>827</v>
      </c>
      <c r="V196" s="3">
        <v>16.224</v>
      </c>
      <c r="W196" s="1" t="str">
        <f t="shared" si="19"/>
        <v>Slow Delivery</v>
      </c>
    </row>
    <row r="197" spans="1:23" x14ac:dyDescent="0.25">
      <c r="A197" s="1">
        <v>8608</v>
      </c>
      <c r="B197" s="2" t="s">
        <v>1140</v>
      </c>
      <c r="C197" s="2">
        <v>42159</v>
      </c>
      <c r="D197" s="2">
        <v>42164</v>
      </c>
      <c r="E197" s="1">
        <f t="shared" si="16"/>
        <v>2015</v>
      </c>
      <c r="F197" s="2" t="str">
        <f t="shared" si="17"/>
        <v>Jun</v>
      </c>
      <c r="G197" s="1">
        <f t="shared" si="18"/>
        <v>6</v>
      </c>
      <c r="H197" s="1">
        <f t="shared" si="15"/>
        <v>5</v>
      </c>
      <c r="I197" s="1" t="s">
        <v>25</v>
      </c>
      <c r="J197" s="1" t="s">
        <v>1141</v>
      </c>
      <c r="K197" s="1" t="s">
        <v>1142</v>
      </c>
      <c r="L197" s="1" t="s">
        <v>28</v>
      </c>
      <c r="M197" s="1" t="s">
        <v>29</v>
      </c>
      <c r="N197" s="1" t="s">
        <v>114</v>
      </c>
      <c r="O197" s="1" t="s">
        <v>115</v>
      </c>
      <c r="P197" s="1">
        <v>10035</v>
      </c>
      <c r="Q197" s="1" t="s">
        <v>43</v>
      </c>
      <c r="R197" s="1" t="s">
        <v>1143</v>
      </c>
      <c r="S197" s="1" t="s">
        <v>45</v>
      </c>
      <c r="T197" s="1" t="s">
        <v>46</v>
      </c>
      <c r="U197" s="1" t="s">
        <v>1144</v>
      </c>
      <c r="V197" s="3">
        <v>56.96</v>
      </c>
      <c r="W197" s="1" t="str">
        <f t="shared" si="19"/>
        <v>Slow Delivery</v>
      </c>
    </row>
    <row r="198" spans="1:23" x14ac:dyDescent="0.25">
      <c r="A198" s="1">
        <v>1376</v>
      </c>
      <c r="B198" s="2" t="s">
        <v>1145</v>
      </c>
      <c r="C198" s="2">
        <v>42220</v>
      </c>
      <c r="D198" s="2">
        <v>42225</v>
      </c>
      <c r="E198" s="1">
        <f t="shared" si="16"/>
        <v>2015</v>
      </c>
      <c r="F198" s="2" t="str">
        <f t="shared" si="17"/>
        <v>Aug</v>
      </c>
      <c r="G198" s="1">
        <f t="shared" si="18"/>
        <v>8</v>
      </c>
      <c r="H198" s="1">
        <f t="shared" si="15"/>
        <v>5</v>
      </c>
      <c r="I198" s="1" t="s">
        <v>83</v>
      </c>
      <c r="J198" s="1" t="s">
        <v>1146</v>
      </c>
      <c r="K198" s="1" t="s">
        <v>1147</v>
      </c>
      <c r="L198" s="1" t="s">
        <v>28</v>
      </c>
      <c r="M198" s="1" t="s">
        <v>29</v>
      </c>
      <c r="N198" s="1" t="s">
        <v>1148</v>
      </c>
      <c r="O198" s="1" t="s">
        <v>447</v>
      </c>
      <c r="P198" s="1">
        <v>84062</v>
      </c>
      <c r="Q198" s="1" t="s">
        <v>107</v>
      </c>
      <c r="R198" s="1" t="s">
        <v>1149</v>
      </c>
      <c r="S198" s="1" t="s">
        <v>34</v>
      </c>
      <c r="T198" s="1" t="s">
        <v>74</v>
      </c>
      <c r="U198" s="1" t="s">
        <v>1150</v>
      </c>
      <c r="V198" s="3">
        <v>1089.75</v>
      </c>
      <c r="W198" s="1" t="str">
        <f t="shared" si="19"/>
        <v>Slow Delivery</v>
      </c>
    </row>
    <row r="199" spans="1:23" x14ac:dyDescent="0.25">
      <c r="A199" s="1">
        <v>172</v>
      </c>
      <c r="B199" s="2" t="s">
        <v>1151</v>
      </c>
      <c r="C199" s="2">
        <v>42221</v>
      </c>
      <c r="D199" s="2">
        <v>42225</v>
      </c>
      <c r="E199" s="1">
        <f t="shared" si="16"/>
        <v>2015</v>
      </c>
      <c r="F199" s="2" t="str">
        <f t="shared" si="17"/>
        <v>Aug</v>
      </c>
      <c r="G199" s="1">
        <f t="shared" si="18"/>
        <v>8</v>
      </c>
      <c r="H199" s="1">
        <f t="shared" si="15"/>
        <v>4</v>
      </c>
      <c r="I199" s="1" t="s">
        <v>25</v>
      </c>
      <c r="J199" s="1" t="s">
        <v>1152</v>
      </c>
      <c r="K199" s="1" t="s">
        <v>1153</v>
      </c>
      <c r="L199" s="1" t="s">
        <v>28</v>
      </c>
      <c r="M199" s="1" t="s">
        <v>29</v>
      </c>
      <c r="N199" s="1" t="s">
        <v>132</v>
      </c>
      <c r="O199" s="1" t="s">
        <v>106</v>
      </c>
      <c r="P199" s="1">
        <v>90004</v>
      </c>
      <c r="Q199" s="1" t="s">
        <v>107</v>
      </c>
      <c r="R199" s="1" t="s">
        <v>1154</v>
      </c>
      <c r="S199" s="1" t="s">
        <v>34</v>
      </c>
      <c r="T199" s="1" t="s">
        <v>174</v>
      </c>
      <c r="U199" s="1" t="s">
        <v>1155</v>
      </c>
      <c r="V199" s="3">
        <v>20.94</v>
      </c>
      <c r="W199" s="1" t="str">
        <f t="shared" si="19"/>
        <v>Slow Delivery</v>
      </c>
    </row>
    <row r="200" spans="1:23" x14ac:dyDescent="0.25">
      <c r="A200" s="1">
        <v>6623</v>
      </c>
      <c r="B200" s="2" t="s">
        <v>1156</v>
      </c>
      <c r="C200" s="2">
        <v>42253</v>
      </c>
      <c r="D200" s="2">
        <v>42256</v>
      </c>
      <c r="E200" s="1">
        <f t="shared" si="16"/>
        <v>2015</v>
      </c>
      <c r="F200" s="2" t="str">
        <f t="shared" si="17"/>
        <v>Sep</v>
      </c>
      <c r="G200" s="1">
        <f t="shared" si="18"/>
        <v>9</v>
      </c>
      <c r="H200" s="1">
        <f t="shared" si="15"/>
        <v>3</v>
      </c>
      <c r="I200" s="1" t="s">
        <v>38</v>
      </c>
      <c r="J200" s="1" t="s">
        <v>1157</v>
      </c>
      <c r="K200" s="1" t="s">
        <v>1158</v>
      </c>
      <c r="L200" s="1" t="s">
        <v>51</v>
      </c>
      <c r="M200" s="1" t="s">
        <v>29</v>
      </c>
      <c r="N200" s="1" t="s">
        <v>105</v>
      </c>
      <c r="O200" s="1" t="s">
        <v>106</v>
      </c>
      <c r="P200" s="1">
        <v>94109</v>
      </c>
      <c r="Q200" s="1" t="s">
        <v>107</v>
      </c>
      <c r="R200" s="1" t="s">
        <v>627</v>
      </c>
      <c r="S200" s="1" t="s">
        <v>45</v>
      </c>
      <c r="T200" s="1" t="s">
        <v>46</v>
      </c>
      <c r="U200" s="1" t="s">
        <v>628</v>
      </c>
      <c r="V200" s="3">
        <v>41.88</v>
      </c>
      <c r="W200" s="1" t="str">
        <f t="shared" si="19"/>
        <v>Fast Delivery</v>
      </c>
    </row>
    <row r="201" spans="1:23" x14ac:dyDescent="0.25">
      <c r="A201" s="1">
        <v>4877</v>
      </c>
      <c r="B201" s="2" t="s">
        <v>1159</v>
      </c>
      <c r="C201" s="2">
        <v>42280</v>
      </c>
      <c r="D201" s="2">
        <v>42286</v>
      </c>
      <c r="E201" s="1">
        <f t="shared" si="16"/>
        <v>2015</v>
      </c>
      <c r="F201" s="2" t="str">
        <f t="shared" si="17"/>
        <v>Oct</v>
      </c>
      <c r="G201" s="1">
        <f t="shared" si="18"/>
        <v>10</v>
      </c>
      <c r="H201" s="1">
        <f t="shared" si="15"/>
        <v>6</v>
      </c>
      <c r="I201" s="1" t="s">
        <v>25</v>
      </c>
      <c r="J201" s="1" t="s">
        <v>1160</v>
      </c>
      <c r="K201" s="1" t="s">
        <v>1161</v>
      </c>
      <c r="L201" s="1" t="s">
        <v>131</v>
      </c>
      <c r="M201" s="1" t="s">
        <v>29</v>
      </c>
      <c r="N201" s="1" t="s">
        <v>1162</v>
      </c>
      <c r="O201" s="1" t="s">
        <v>320</v>
      </c>
      <c r="P201" s="1">
        <v>27707</v>
      </c>
      <c r="Q201" s="1" t="s">
        <v>54</v>
      </c>
      <c r="R201" s="1" t="s">
        <v>1163</v>
      </c>
      <c r="S201" s="1" t="s">
        <v>34</v>
      </c>
      <c r="T201" s="1" t="s">
        <v>270</v>
      </c>
      <c r="U201" s="1" t="s">
        <v>1164</v>
      </c>
      <c r="V201" s="3">
        <v>61.567999999999998</v>
      </c>
      <c r="W201" s="1" t="str">
        <f t="shared" si="19"/>
        <v>Slow Delivery</v>
      </c>
    </row>
    <row r="202" spans="1:23" x14ac:dyDescent="0.25">
      <c r="A202" s="1">
        <v>4948</v>
      </c>
      <c r="B202" s="2" t="s">
        <v>1165</v>
      </c>
      <c r="C202" s="2">
        <v>42281</v>
      </c>
      <c r="D202" s="2">
        <v>42286</v>
      </c>
      <c r="E202" s="1">
        <f t="shared" si="16"/>
        <v>2015</v>
      </c>
      <c r="F202" s="2" t="str">
        <f t="shared" si="17"/>
        <v>Oct</v>
      </c>
      <c r="G202" s="1">
        <f t="shared" si="18"/>
        <v>10</v>
      </c>
      <c r="H202" s="1">
        <f t="shared" si="15"/>
        <v>5</v>
      </c>
      <c r="I202" s="1" t="s">
        <v>25</v>
      </c>
      <c r="J202" s="1" t="s">
        <v>1166</v>
      </c>
      <c r="K202" s="1" t="s">
        <v>1167</v>
      </c>
      <c r="L202" s="1" t="s">
        <v>28</v>
      </c>
      <c r="M202" s="1" t="s">
        <v>29</v>
      </c>
      <c r="N202" s="1" t="s">
        <v>488</v>
      </c>
      <c r="O202" s="1" t="s">
        <v>424</v>
      </c>
      <c r="P202" s="1">
        <v>98115</v>
      </c>
      <c r="Q202" s="1" t="s">
        <v>107</v>
      </c>
      <c r="R202" s="1" t="s">
        <v>1168</v>
      </c>
      <c r="S202" s="1" t="s">
        <v>34</v>
      </c>
      <c r="T202" s="1" t="s">
        <v>56</v>
      </c>
      <c r="U202" s="1" t="s">
        <v>1169</v>
      </c>
      <c r="V202" s="3">
        <v>29.24</v>
      </c>
      <c r="W202" s="1" t="str">
        <f t="shared" si="19"/>
        <v>Slow Delivery</v>
      </c>
    </row>
    <row r="203" spans="1:23" x14ac:dyDescent="0.25">
      <c r="A203" s="1">
        <v>318</v>
      </c>
      <c r="B203" s="2" t="s">
        <v>1170</v>
      </c>
      <c r="C203" s="2">
        <v>42312</v>
      </c>
      <c r="D203" s="2">
        <v>42317</v>
      </c>
      <c r="E203" s="1">
        <f t="shared" si="16"/>
        <v>2015</v>
      </c>
      <c r="F203" s="2" t="str">
        <f t="shared" si="17"/>
        <v>Nov</v>
      </c>
      <c r="G203" s="1">
        <f t="shared" si="18"/>
        <v>11</v>
      </c>
      <c r="H203" s="1">
        <f t="shared" si="15"/>
        <v>5</v>
      </c>
      <c r="I203" s="1" t="s">
        <v>25</v>
      </c>
      <c r="J203" s="1" t="s">
        <v>1171</v>
      </c>
      <c r="K203" s="1" t="s">
        <v>1172</v>
      </c>
      <c r="L203" s="1" t="s">
        <v>131</v>
      </c>
      <c r="M203" s="1" t="s">
        <v>29</v>
      </c>
      <c r="N203" s="1" t="s">
        <v>114</v>
      </c>
      <c r="O203" s="1" t="s">
        <v>115</v>
      </c>
      <c r="P203" s="1">
        <v>10024</v>
      </c>
      <c r="Q203" s="1" t="s">
        <v>43</v>
      </c>
      <c r="R203" s="1" t="s">
        <v>1173</v>
      </c>
      <c r="S203" s="1" t="s">
        <v>45</v>
      </c>
      <c r="T203" s="1" t="s">
        <v>89</v>
      </c>
      <c r="U203" s="1" t="s">
        <v>1174</v>
      </c>
      <c r="V203" s="3">
        <v>135.88200000000001</v>
      </c>
      <c r="W203" s="1" t="str">
        <f t="shared" si="19"/>
        <v>Slow Delivery</v>
      </c>
    </row>
    <row r="204" spans="1:23" x14ac:dyDescent="0.25">
      <c r="A204" s="1">
        <v>3186</v>
      </c>
      <c r="B204" s="2" t="s">
        <v>1175</v>
      </c>
      <c r="C204" s="2">
        <v>42315</v>
      </c>
      <c r="D204" s="2">
        <v>42317</v>
      </c>
      <c r="E204" s="1">
        <f t="shared" si="16"/>
        <v>2015</v>
      </c>
      <c r="F204" s="2" t="str">
        <f t="shared" si="17"/>
        <v>Nov</v>
      </c>
      <c r="G204" s="1">
        <f t="shared" si="18"/>
        <v>11</v>
      </c>
      <c r="H204" s="1">
        <f t="shared" si="15"/>
        <v>2</v>
      </c>
      <c r="I204" s="1" t="s">
        <v>38</v>
      </c>
      <c r="J204" s="1" t="s">
        <v>1176</v>
      </c>
      <c r="K204" s="1" t="s">
        <v>1177</v>
      </c>
      <c r="L204" s="1" t="s">
        <v>51</v>
      </c>
      <c r="M204" s="1" t="s">
        <v>29</v>
      </c>
      <c r="N204" s="1" t="s">
        <v>150</v>
      </c>
      <c r="O204" s="1" t="s">
        <v>31</v>
      </c>
      <c r="P204" s="1">
        <v>77041</v>
      </c>
      <c r="Q204" s="1" t="s">
        <v>32</v>
      </c>
      <c r="R204" s="1" t="s">
        <v>1178</v>
      </c>
      <c r="S204" s="1" t="s">
        <v>34</v>
      </c>
      <c r="T204" s="1" t="s">
        <v>109</v>
      </c>
      <c r="U204" s="1" t="s">
        <v>1179</v>
      </c>
      <c r="V204" s="3">
        <v>26.045999999999999</v>
      </c>
      <c r="W204" s="1" t="str">
        <f t="shared" si="19"/>
        <v>Fast Delivery</v>
      </c>
    </row>
    <row r="205" spans="1:23" x14ac:dyDescent="0.25">
      <c r="A205" s="1">
        <v>9002</v>
      </c>
      <c r="B205" s="2" t="s">
        <v>1180</v>
      </c>
      <c r="C205" s="2">
        <v>42340</v>
      </c>
      <c r="D205" s="2">
        <v>42347</v>
      </c>
      <c r="E205" s="1">
        <f t="shared" si="16"/>
        <v>2015</v>
      </c>
      <c r="F205" s="2" t="str">
        <f t="shared" si="17"/>
        <v>Dec</v>
      </c>
      <c r="G205" s="1">
        <f t="shared" si="18"/>
        <v>12</v>
      </c>
      <c r="H205" s="1">
        <f t="shared" si="15"/>
        <v>7</v>
      </c>
      <c r="I205" s="1" t="s">
        <v>25</v>
      </c>
      <c r="J205" s="1" t="s">
        <v>1181</v>
      </c>
      <c r="K205" s="1" t="s">
        <v>1182</v>
      </c>
      <c r="L205" s="1" t="s">
        <v>51</v>
      </c>
      <c r="M205" s="1" t="s">
        <v>29</v>
      </c>
      <c r="N205" s="1" t="s">
        <v>1183</v>
      </c>
      <c r="O205" s="1" t="s">
        <v>62</v>
      </c>
      <c r="P205" s="1">
        <v>30328</v>
      </c>
      <c r="Q205" s="1" t="s">
        <v>54</v>
      </c>
      <c r="R205" s="1" t="s">
        <v>1184</v>
      </c>
      <c r="S205" s="1" t="s">
        <v>64</v>
      </c>
      <c r="T205" s="1" t="s">
        <v>65</v>
      </c>
      <c r="U205" s="1" t="s">
        <v>1185</v>
      </c>
      <c r="V205" s="3">
        <v>5.95</v>
      </c>
      <c r="W205" s="1" t="str">
        <f t="shared" si="19"/>
        <v>Slow Delivery</v>
      </c>
    </row>
    <row r="206" spans="1:23" x14ac:dyDescent="0.25">
      <c r="A206" s="1">
        <v>1983</v>
      </c>
      <c r="B206" s="2" t="s">
        <v>1186</v>
      </c>
      <c r="C206" s="2">
        <v>42341</v>
      </c>
      <c r="D206" s="2">
        <v>42347</v>
      </c>
      <c r="E206" s="1">
        <f t="shared" si="16"/>
        <v>2015</v>
      </c>
      <c r="F206" s="2" t="str">
        <f t="shared" si="17"/>
        <v>Dec</v>
      </c>
      <c r="G206" s="1">
        <f t="shared" si="18"/>
        <v>12</v>
      </c>
      <c r="H206" s="1">
        <f t="shared" si="15"/>
        <v>6</v>
      </c>
      <c r="I206" s="1" t="s">
        <v>25</v>
      </c>
      <c r="J206" s="1" t="s">
        <v>1187</v>
      </c>
      <c r="K206" s="1" t="s">
        <v>1188</v>
      </c>
      <c r="L206" s="1" t="s">
        <v>28</v>
      </c>
      <c r="M206" s="1" t="s">
        <v>29</v>
      </c>
      <c r="N206" s="1" t="s">
        <v>1189</v>
      </c>
      <c r="O206" s="1" t="s">
        <v>1190</v>
      </c>
      <c r="P206" s="1">
        <v>73120</v>
      </c>
      <c r="Q206" s="1" t="s">
        <v>32</v>
      </c>
      <c r="R206" s="1" t="s">
        <v>1191</v>
      </c>
      <c r="S206" s="1" t="s">
        <v>64</v>
      </c>
      <c r="T206" s="1" t="s">
        <v>159</v>
      </c>
      <c r="U206" s="1" t="s">
        <v>1192</v>
      </c>
      <c r="V206" s="3">
        <v>479.96</v>
      </c>
      <c r="W206" s="1" t="str">
        <f t="shared" si="19"/>
        <v>Slow Delivery</v>
      </c>
    </row>
    <row r="207" spans="1:23" x14ac:dyDescent="0.25">
      <c r="A207" s="1">
        <v>181</v>
      </c>
      <c r="B207" s="2" t="s">
        <v>1193</v>
      </c>
      <c r="C207" s="2">
        <v>42343</v>
      </c>
      <c r="D207" s="2">
        <v>42347</v>
      </c>
      <c r="E207" s="1">
        <f t="shared" si="16"/>
        <v>2015</v>
      </c>
      <c r="F207" s="2" t="str">
        <f t="shared" si="17"/>
        <v>Dec</v>
      </c>
      <c r="G207" s="1">
        <f t="shared" si="18"/>
        <v>12</v>
      </c>
      <c r="H207" s="1">
        <f t="shared" si="15"/>
        <v>4</v>
      </c>
      <c r="I207" s="1" t="s">
        <v>83</v>
      </c>
      <c r="J207" s="1" t="s">
        <v>1194</v>
      </c>
      <c r="K207" s="1" t="s">
        <v>1195</v>
      </c>
      <c r="L207" s="1" t="s">
        <v>51</v>
      </c>
      <c r="M207" s="1" t="s">
        <v>29</v>
      </c>
      <c r="N207" s="1" t="s">
        <v>669</v>
      </c>
      <c r="O207" s="1" t="s">
        <v>222</v>
      </c>
      <c r="P207" s="1">
        <v>62521</v>
      </c>
      <c r="Q207" s="1" t="s">
        <v>32</v>
      </c>
      <c r="R207" s="1" t="s">
        <v>670</v>
      </c>
      <c r="S207" s="1" t="s">
        <v>34</v>
      </c>
      <c r="T207" s="1" t="s">
        <v>270</v>
      </c>
      <c r="U207" s="1" t="s">
        <v>671</v>
      </c>
      <c r="V207" s="3">
        <v>24.815999999999999</v>
      </c>
      <c r="W207" s="1" t="str">
        <f t="shared" si="19"/>
        <v>Slow Delivery</v>
      </c>
    </row>
    <row r="208" spans="1:23" x14ac:dyDescent="0.25">
      <c r="A208" s="1">
        <v>5572</v>
      </c>
      <c r="B208" s="2" t="s">
        <v>1196</v>
      </c>
      <c r="C208" s="2">
        <v>42343</v>
      </c>
      <c r="D208" s="2">
        <v>42347</v>
      </c>
      <c r="E208" s="1">
        <f t="shared" si="16"/>
        <v>2015</v>
      </c>
      <c r="F208" s="2" t="str">
        <f t="shared" si="17"/>
        <v>Dec</v>
      </c>
      <c r="G208" s="1">
        <f t="shared" si="18"/>
        <v>12</v>
      </c>
      <c r="H208" s="1">
        <f t="shared" si="15"/>
        <v>4</v>
      </c>
      <c r="I208" s="1" t="s">
        <v>25</v>
      </c>
      <c r="J208" s="1" t="s">
        <v>1197</v>
      </c>
      <c r="K208" s="1" t="s">
        <v>1198</v>
      </c>
      <c r="L208" s="1" t="s">
        <v>51</v>
      </c>
      <c r="M208" s="1" t="s">
        <v>29</v>
      </c>
      <c r="N208" s="1" t="s">
        <v>71</v>
      </c>
      <c r="O208" s="1" t="s">
        <v>72</v>
      </c>
      <c r="P208" s="1">
        <v>43229</v>
      </c>
      <c r="Q208" s="1" t="s">
        <v>43</v>
      </c>
      <c r="R208" s="1" t="s">
        <v>1199</v>
      </c>
      <c r="S208" s="1" t="s">
        <v>34</v>
      </c>
      <c r="T208" s="1" t="s">
        <v>174</v>
      </c>
      <c r="U208" s="1" t="s">
        <v>1200</v>
      </c>
      <c r="V208" s="3">
        <v>98.376000000000005</v>
      </c>
      <c r="W208" s="1" t="str">
        <f t="shared" si="19"/>
        <v>Slow Delivery</v>
      </c>
    </row>
    <row r="209" spans="1:23" x14ac:dyDescent="0.25">
      <c r="A209" s="1">
        <v>1679</v>
      </c>
      <c r="B209" s="2" t="s">
        <v>1201</v>
      </c>
      <c r="C209" s="2">
        <v>42254</v>
      </c>
      <c r="D209" s="2">
        <v>42260</v>
      </c>
      <c r="E209" s="1">
        <f t="shared" si="16"/>
        <v>2015</v>
      </c>
      <c r="F209" s="2" t="str">
        <f t="shared" si="17"/>
        <v>Sep</v>
      </c>
      <c r="G209" s="1">
        <f t="shared" si="18"/>
        <v>9</v>
      </c>
      <c r="H209" s="1">
        <f t="shared" si="15"/>
        <v>6</v>
      </c>
      <c r="I209" s="1" t="s">
        <v>25</v>
      </c>
      <c r="J209" s="1" t="s">
        <v>1202</v>
      </c>
      <c r="K209" s="1" t="s">
        <v>1203</v>
      </c>
      <c r="L209" s="1" t="s">
        <v>51</v>
      </c>
      <c r="M209" s="1" t="s">
        <v>29</v>
      </c>
      <c r="N209" s="1" t="s">
        <v>410</v>
      </c>
      <c r="O209" s="1" t="s">
        <v>411</v>
      </c>
      <c r="P209" s="1">
        <v>19134</v>
      </c>
      <c r="Q209" s="1" t="s">
        <v>43</v>
      </c>
      <c r="R209" s="1" t="s">
        <v>1204</v>
      </c>
      <c r="S209" s="1" t="s">
        <v>34</v>
      </c>
      <c r="T209" s="1" t="s">
        <v>270</v>
      </c>
      <c r="U209" s="1" t="s">
        <v>1205</v>
      </c>
      <c r="V209" s="3">
        <v>64.784000000000006</v>
      </c>
      <c r="W209" s="1" t="str">
        <f t="shared" si="19"/>
        <v>Slow Delivery</v>
      </c>
    </row>
    <row r="210" spans="1:23" x14ac:dyDescent="0.25">
      <c r="A210" s="1">
        <v>2718</v>
      </c>
      <c r="B210" s="2" t="s">
        <v>1206</v>
      </c>
      <c r="C210" s="2">
        <v>42254</v>
      </c>
      <c r="D210" s="2">
        <v>42260</v>
      </c>
      <c r="E210" s="1">
        <f t="shared" si="16"/>
        <v>2015</v>
      </c>
      <c r="F210" s="2" t="str">
        <f t="shared" si="17"/>
        <v>Sep</v>
      </c>
      <c r="G210" s="1">
        <f t="shared" si="18"/>
        <v>9</v>
      </c>
      <c r="H210" s="1">
        <f t="shared" si="15"/>
        <v>6</v>
      </c>
      <c r="I210" s="1" t="s">
        <v>25</v>
      </c>
      <c r="J210" s="1" t="s">
        <v>1207</v>
      </c>
      <c r="K210" s="1" t="s">
        <v>1208</v>
      </c>
      <c r="L210" s="1" t="s">
        <v>28</v>
      </c>
      <c r="M210" s="1" t="s">
        <v>29</v>
      </c>
      <c r="N210" s="1" t="s">
        <v>114</v>
      </c>
      <c r="O210" s="1" t="s">
        <v>115</v>
      </c>
      <c r="P210" s="1">
        <v>10024</v>
      </c>
      <c r="Q210" s="1" t="s">
        <v>43</v>
      </c>
      <c r="R210" s="1" t="s">
        <v>1209</v>
      </c>
      <c r="S210" s="1" t="s">
        <v>64</v>
      </c>
      <c r="T210" s="1" t="s">
        <v>159</v>
      </c>
      <c r="U210" s="1" t="s">
        <v>1210</v>
      </c>
      <c r="V210" s="3">
        <v>377.97</v>
      </c>
      <c r="W210" s="1" t="str">
        <f t="shared" si="19"/>
        <v>Slow Delivery</v>
      </c>
    </row>
    <row r="211" spans="1:23" x14ac:dyDescent="0.25">
      <c r="A211" s="1">
        <v>5979</v>
      </c>
      <c r="B211" s="2" t="s">
        <v>1211</v>
      </c>
      <c r="C211" s="2">
        <v>42254</v>
      </c>
      <c r="D211" s="2">
        <v>42260</v>
      </c>
      <c r="E211" s="1">
        <f t="shared" si="16"/>
        <v>2015</v>
      </c>
      <c r="F211" s="2" t="str">
        <f t="shared" si="17"/>
        <v>Sep</v>
      </c>
      <c r="G211" s="1">
        <f t="shared" si="18"/>
        <v>9</v>
      </c>
      <c r="H211" s="1">
        <f t="shared" si="15"/>
        <v>6</v>
      </c>
      <c r="I211" s="1" t="s">
        <v>25</v>
      </c>
      <c r="J211" s="1" t="s">
        <v>1212</v>
      </c>
      <c r="K211" s="1" t="s">
        <v>1213</v>
      </c>
      <c r="L211" s="1" t="s">
        <v>131</v>
      </c>
      <c r="M211" s="1" t="s">
        <v>29</v>
      </c>
      <c r="N211" s="1" t="s">
        <v>1214</v>
      </c>
      <c r="O211" s="1" t="s">
        <v>1190</v>
      </c>
      <c r="P211" s="1">
        <v>74133</v>
      </c>
      <c r="Q211" s="1" t="s">
        <v>32</v>
      </c>
      <c r="R211" s="1" t="s">
        <v>1215</v>
      </c>
      <c r="S211" s="1" t="s">
        <v>45</v>
      </c>
      <c r="T211" s="1" t="s">
        <v>329</v>
      </c>
      <c r="U211" s="1" t="s">
        <v>705</v>
      </c>
      <c r="V211" s="3">
        <v>429.9</v>
      </c>
      <c r="W211" s="1" t="str">
        <f t="shared" si="19"/>
        <v>Slow Delivery</v>
      </c>
    </row>
    <row r="212" spans="1:23" x14ac:dyDescent="0.25">
      <c r="A212" s="1">
        <v>837</v>
      </c>
      <c r="B212" s="2" t="s">
        <v>1216</v>
      </c>
      <c r="C212" s="2">
        <v>42255</v>
      </c>
      <c r="D212" s="2">
        <v>42260</v>
      </c>
      <c r="E212" s="1">
        <f t="shared" si="16"/>
        <v>2015</v>
      </c>
      <c r="F212" s="2" t="str">
        <f t="shared" si="17"/>
        <v>Sep</v>
      </c>
      <c r="G212" s="1">
        <f t="shared" si="18"/>
        <v>9</v>
      </c>
      <c r="H212" s="1">
        <f t="shared" si="15"/>
        <v>5</v>
      </c>
      <c r="I212" s="1" t="s">
        <v>83</v>
      </c>
      <c r="J212" s="1" t="s">
        <v>1217</v>
      </c>
      <c r="K212" s="1" t="s">
        <v>1218</v>
      </c>
      <c r="L212" s="1" t="s">
        <v>28</v>
      </c>
      <c r="M212" s="1" t="s">
        <v>29</v>
      </c>
      <c r="N212" s="1" t="s">
        <v>1219</v>
      </c>
      <c r="O212" s="1" t="s">
        <v>31</v>
      </c>
      <c r="P212" s="1">
        <v>75701</v>
      </c>
      <c r="Q212" s="1" t="s">
        <v>32</v>
      </c>
      <c r="R212" s="1" t="s">
        <v>1220</v>
      </c>
      <c r="S212" s="1" t="s">
        <v>34</v>
      </c>
      <c r="T212" s="1" t="s">
        <v>109</v>
      </c>
      <c r="U212" s="1" t="s">
        <v>1221</v>
      </c>
      <c r="V212" s="3">
        <v>51.183999999999997</v>
      </c>
      <c r="W212" s="1" t="str">
        <f t="shared" si="19"/>
        <v>Slow Delivery</v>
      </c>
    </row>
    <row r="213" spans="1:23" x14ac:dyDescent="0.25">
      <c r="A213" s="1">
        <v>4134</v>
      </c>
      <c r="B213" s="2" t="s">
        <v>1222</v>
      </c>
      <c r="C213" s="2">
        <v>42255</v>
      </c>
      <c r="D213" s="2">
        <v>42260</v>
      </c>
      <c r="E213" s="1">
        <f t="shared" si="16"/>
        <v>2015</v>
      </c>
      <c r="F213" s="2" t="str">
        <f t="shared" si="17"/>
        <v>Sep</v>
      </c>
      <c r="G213" s="1">
        <f t="shared" si="18"/>
        <v>9</v>
      </c>
      <c r="H213" s="1">
        <f t="shared" si="15"/>
        <v>5</v>
      </c>
      <c r="I213" s="1" t="s">
        <v>25</v>
      </c>
      <c r="J213" s="1" t="s">
        <v>1223</v>
      </c>
      <c r="K213" s="1" t="s">
        <v>1224</v>
      </c>
      <c r="L213" s="1" t="s">
        <v>28</v>
      </c>
      <c r="M213" s="1" t="s">
        <v>29</v>
      </c>
      <c r="N213" s="1" t="s">
        <v>79</v>
      </c>
      <c r="O213" s="1" t="s">
        <v>53</v>
      </c>
      <c r="P213" s="1">
        <v>23320</v>
      </c>
      <c r="Q213" s="1" t="s">
        <v>54</v>
      </c>
      <c r="R213" s="1" t="s">
        <v>1225</v>
      </c>
      <c r="S213" s="1" t="s">
        <v>34</v>
      </c>
      <c r="T213" s="1" t="s">
        <v>231</v>
      </c>
      <c r="U213" s="1" t="s">
        <v>1226</v>
      </c>
      <c r="V213" s="3">
        <v>45</v>
      </c>
      <c r="W213" s="1" t="str">
        <f t="shared" si="19"/>
        <v>Slow Delivery</v>
      </c>
    </row>
    <row r="214" spans="1:23" x14ac:dyDescent="0.25">
      <c r="A214" s="1">
        <v>8707</v>
      </c>
      <c r="B214" s="2" t="s">
        <v>1227</v>
      </c>
      <c r="C214" s="2">
        <v>42255</v>
      </c>
      <c r="D214" s="2">
        <v>42260</v>
      </c>
      <c r="E214" s="1">
        <f t="shared" si="16"/>
        <v>2015</v>
      </c>
      <c r="F214" s="2" t="str">
        <f t="shared" si="17"/>
        <v>Sep</v>
      </c>
      <c r="G214" s="1">
        <f t="shared" si="18"/>
        <v>9</v>
      </c>
      <c r="H214" s="1">
        <f t="shared" si="15"/>
        <v>5</v>
      </c>
      <c r="I214" s="1" t="s">
        <v>25</v>
      </c>
      <c r="J214" s="1" t="s">
        <v>1228</v>
      </c>
      <c r="K214" s="1" t="s">
        <v>1229</v>
      </c>
      <c r="L214" s="1" t="s">
        <v>131</v>
      </c>
      <c r="M214" s="1" t="s">
        <v>29</v>
      </c>
      <c r="N214" s="1" t="s">
        <v>114</v>
      </c>
      <c r="O214" s="1" t="s">
        <v>115</v>
      </c>
      <c r="P214" s="1">
        <v>10009</v>
      </c>
      <c r="Q214" s="1" t="s">
        <v>43</v>
      </c>
      <c r="R214" s="1" t="s">
        <v>1230</v>
      </c>
      <c r="S214" s="1" t="s">
        <v>45</v>
      </c>
      <c r="T214" s="1" t="s">
        <v>89</v>
      </c>
      <c r="U214" s="1" t="s">
        <v>1231</v>
      </c>
      <c r="V214" s="3">
        <v>172.76400000000001</v>
      </c>
      <c r="W214" s="1" t="str">
        <f t="shared" si="19"/>
        <v>Slow Delivery</v>
      </c>
    </row>
    <row r="215" spans="1:23" x14ac:dyDescent="0.25">
      <c r="A215" s="1">
        <v>9450</v>
      </c>
      <c r="B215" s="2" t="s">
        <v>1232</v>
      </c>
      <c r="C215" s="2">
        <v>42255</v>
      </c>
      <c r="D215" s="2">
        <v>42260</v>
      </c>
      <c r="E215" s="1">
        <f t="shared" si="16"/>
        <v>2015</v>
      </c>
      <c r="F215" s="2" t="str">
        <f t="shared" si="17"/>
        <v>Sep</v>
      </c>
      <c r="G215" s="1">
        <f t="shared" si="18"/>
        <v>9</v>
      </c>
      <c r="H215" s="1">
        <f t="shared" si="15"/>
        <v>5</v>
      </c>
      <c r="I215" s="1" t="s">
        <v>25</v>
      </c>
      <c r="J215" s="1" t="s">
        <v>1233</v>
      </c>
      <c r="K215" s="1" t="s">
        <v>1234</v>
      </c>
      <c r="L215" s="1" t="s">
        <v>28</v>
      </c>
      <c r="M215" s="1" t="s">
        <v>29</v>
      </c>
      <c r="N215" s="1" t="s">
        <v>105</v>
      </c>
      <c r="O215" s="1" t="s">
        <v>106</v>
      </c>
      <c r="P215" s="1">
        <v>94109</v>
      </c>
      <c r="Q215" s="1" t="s">
        <v>107</v>
      </c>
      <c r="R215" s="1" t="s">
        <v>1235</v>
      </c>
      <c r="S215" s="1" t="s">
        <v>34</v>
      </c>
      <c r="T215" s="1" t="s">
        <v>109</v>
      </c>
      <c r="U215" s="1" t="s">
        <v>1236</v>
      </c>
      <c r="V215" s="3">
        <v>8.6080000000000005</v>
      </c>
      <c r="W215" s="1" t="str">
        <f t="shared" si="19"/>
        <v>Slow Delivery</v>
      </c>
    </row>
    <row r="216" spans="1:23" x14ac:dyDescent="0.25">
      <c r="A216" s="1">
        <v>7982</v>
      </c>
      <c r="B216" s="2" t="s">
        <v>1237</v>
      </c>
      <c r="C216" s="2">
        <v>42257</v>
      </c>
      <c r="D216" s="2">
        <v>42260</v>
      </c>
      <c r="E216" s="1">
        <f t="shared" si="16"/>
        <v>2015</v>
      </c>
      <c r="F216" s="2" t="str">
        <f t="shared" si="17"/>
        <v>Sep</v>
      </c>
      <c r="G216" s="1">
        <f t="shared" si="18"/>
        <v>9</v>
      </c>
      <c r="H216" s="1">
        <f t="shared" si="15"/>
        <v>3</v>
      </c>
      <c r="I216" s="1" t="s">
        <v>38</v>
      </c>
      <c r="J216" s="1" t="s">
        <v>1238</v>
      </c>
      <c r="K216" s="1" t="s">
        <v>1239</v>
      </c>
      <c r="L216" s="1" t="s">
        <v>28</v>
      </c>
      <c r="M216" s="1" t="s">
        <v>29</v>
      </c>
      <c r="N216" s="1" t="s">
        <v>1240</v>
      </c>
      <c r="O216" s="1" t="s">
        <v>388</v>
      </c>
      <c r="P216" s="1">
        <v>7011</v>
      </c>
      <c r="Q216" s="1" t="s">
        <v>43</v>
      </c>
      <c r="R216" s="1" t="s">
        <v>1241</v>
      </c>
      <c r="S216" s="1" t="s">
        <v>34</v>
      </c>
      <c r="T216" s="1" t="s">
        <v>74</v>
      </c>
      <c r="U216" s="1" t="s">
        <v>1242</v>
      </c>
      <c r="V216" s="3">
        <v>81.92</v>
      </c>
      <c r="W216" s="1" t="str">
        <f t="shared" si="19"/>
        <v>Fast Delivery</v>
      </c>
    </row>
    <row r="217" spans="1:23" x14ac:dyDescent="0.25">
      <c r="A217" s="1">
        <v>9479</v>
      </c>
      <c r="B217" s="2" t="s">
        <v>1243</v>
      </c>
      <c r="C217" s="2">
        <v>42254</v>
      </c>
      <c r="D217" s="2">
        <v>42261</v>
      </c>
      <c r="E217" s="1">
        <f t="shared" si="16"/>
        <v>2015</v>
      </c>
      <c r="F217" s="2" t="str">
        <f t="shared" si="17"/>
        <v>Sep</v>
      </c>
      <c r="G217" s="1">
        <f t="shared" si="18"/>
        <v>9</v>
      </c>
      <c r="H217" s="1">
        <f t="shared" si="15"/>
        <v>7</v>
      </c>
      <c r="I217" s="1" t="s">
        <v>25</v>
      </c>
      <c r="J217" s="1" t="s">
        <v>1244</v>
      </c>
      <c r="K217" s="1" t="s">
        <v>1245</v>
      </c>
      <c r="L217" s="1" t="s">
        <v>28</v>
      </c>
      <c r="M217" s="1" t="s">
        <v>29</v>
      </c>
      <c r="N217" s="1" t="s">
        <v>1246</v>
      </c>
      <c r="O217" s="1" t="s">
        <v>222</v>
      </c>
      <c r="P217" s="1">
        <v>60543</v>
      </c>
      <c r="Q217" s="1" t="s">
        <v>32</v>
      </c>
      <c r="R217" s="1" t="s">
        <v>1247</v>
      </c>
      <c r="S217" s="1" t="s">
        <v>34</v>
      </c>
      <c r="T217" s="1" t="s">
        <v>231</v>
      </c>
      <c r="U217" s="1" t="s">
        <v>1248</v>
      </c>
      <c r="V217" s="3">
        <v>13.16</v>
      </c>
      <c r="W217" s="1" t="str">
        <f t="shared" si="19"/>
        <v>Slow Delivery</v>
      </c>
    </row>
    <row r="218" spans="1:23" x14ac:dyDescent="0.25">
      <c r="A218" s="1">
        <v>4850</v>
      </c>
      <c r="B218" s="2" t="s">
        <v>1249</v>
      </c>
      <c r="C218" s="2">
        <v>42255</v>
      </c>
      <c r="D218" s="2">
        <v>42261</v>
      </c>
      <c r="E218" s="1">
        <f t="shared" si="16"/>
        <v>2015</v>
      </c>
      <c r="F218" s="2" t="str">
        <f t="shared" si="17"/>
        <v>Sep</v>
      </c>
      <c r="G218" s="1">
        <f t="shared" si="18"/>
        <v>9</v>
      </c>
      <c r="H218" s="1">
        <f t="shared" si="15"/>
        <v>6</v>
      </c>
      <c r="I218" s="1" t="s">
        <v>25</v>
      </c>
      <c r="J218" s="1" t="s">
        <v>1250</v>
      </c>
      <c r="K218" s="1" t="s">
        <v>1251</v>
      </c>
      <c r="L218" s="1" t="s">
        <v>28</v>
      </c>
      <c r="M218" s="1" t="s">
        <v>29</v>
      </c>
      <c r="N218" s="1" t="s">
        <v>1252</v>
      </c>
      <c r="O218" s="1" t="s">
        <v>424</v>
      </c>
      <c r="P218" s="1">
        <v>99301</v>
      </c>
      <c r="Q218" s="1" t="s">
        <v>107</v>
      </c>
      <c r="R218" s="1" t="s">
        <v>1253</v>
      </c>
      <c r="S218" s="1" t="s">
        <v>34</v>
      </c>
      <c r="T218" s="1" t="s">
        <v>35</v>
      </c>
      <c r="U218" s="1" t="s">
        <v>1254</v>
      </c>
      <c r="V218" s="3">
        <v>5.88</v>
      </c>
      <c r="W218" s="1" t="str">
        <f t="shared" si="19"/>
        <v>Slow Delivery</v>
      </c>
    </row>
    <row r="219" spans="1:23" x14ac:dyDescent="0.25">
      <c r="A219" s="1">
        <v>3597</v>
      </c>
      <c r="B219" s="2" t="s">
        <v>1255</v>
      </c>
      <c r="C219" s="2">
        <v>42256</v>
      </c>
      <c r="D219" s="2">
        <v>42261</v>
      </c>
      <c r="E219" s="1">
        <f t="shared" si="16"/>
        <v>2015</v>
      </c>
      <c r="F219" s="2" t="str">
        <f t="shared" si="17"/>
        <v>Sep</v>
      </c>
      <c r="G219" s="1">
        <f t="shared" si="18"/>
        <v>9</v>
      </c>
      <c r="H219" s="1">
        <f t="shared" si="15"/>
        <v>5</v>
      </c>
      <c r="I219" s="1" t="s">
        <v>83</v>
      </c>
      <c r="J219" s="1" t="s">
        <v>1256</v>
      </c>
      <c r="K219" s="1" t="s">
        <v>1257</v>
      </c>
      <c r="L219" s="1" t="s">
        <v>28</v>
      </c>
      <c r="M219" s="1" t="s">
        <v>29</v>
      </c>
      <c r="N219" s="1" t="s">
        <v>410</v>
      </c>
      <c r="O219" s="1" t="s">
        <v>411</v>
      </c>
      <c r="P219" s="1">
        <v>19140</v>
      </c>
      <c r="Q219" s="1" t="s">
        <v>43</v>
      </c>
      <c r="R219" s="1" t="s">
        <v>1258</v>
      </c>
      <c r="S219" s="1" t="s">
        <v>34</v>
      </c>
      <c r="T219" s="1" t="s">
        <v>174</v>
      </c>
      <c r="U219" s="1" t="s">
        <v>1259</v>
      </c>
      <c r="V219" s="3">
        <v>15.552</v>
      </c>
      <c r="W219" s="1" t="str">
        <f t="shared" si="19"/>
        <v>Slow Delivery</v>
      </c>
    </row>
    <row r="220" spans="1:23" x14ac:dyDescent="0.25">
      <c r="A220" s="1">
        <v>5854</v>
      </c>
      <c r="B220" s="2" t="s">
        <v>1260</v>
      </c>
      <c r="C220" s="2">
        <v>42257</v>
      </c>
      <c r="D220" s="2">
        <v>42261</v>
      </c>
      <c r="E220" s="1">
        <f t="shared" si="16"/>
        <v>2015</v>
      </c>
      <c r="F220" s="2" t="str">
        <f t="shared" si="17"/>
        <v>Sep</v>
      </c>
      <c r="G220" s="1">
        <f t="shared" si="18"/>
        <v>9</v>
      </c>
      <c r="H220" s="1">
        <f t="shared" si="15"/>
        <v>4</v>
      </c>
      <c r="I220" s="1" t="s">
        <v>25</v>
      </c>
      <c r="J220" s="1" t="s">
        <v>1261</v>
      </c>
      <c r="K220" s="1" t="s">
        <v>1262</v>
      </c>
      <c r="L220" s="1" t="s">
        <v>131</v>
      </c>
      <c r="M220" s="1" t="s">
        <v>29</v>
      </c>
      <c r="N220" s="1" t="s">
        <v>914</v>
      </c>
      <c r="O220" s="1" t="s">
        <v>53</v>
      </c>
      <c r="P220" s="1">
        <v>23464</v>
      </c>
      <c r="Q220" s="1" t="s">
        <v>54</v>
      </c>
      <c r="R220" s="1" t="s">
        <v>850</v>
      </c>
      <c r="S220" s="1" t="s">
        <v>34</v>
      </c>
      <c r="T220" s="1" t="s">
        <v>109</v>
      </c>
      <c r="U220" s="1" t="s">
        <v>851</v>
      </c>
      <c r="V220" s="3">
        <v>9.64</v>
      </c>
      <c r="W220" s="1" t="str">
        <f t="shared" si="19"/>
        <v>Slow Delivery</v>
      </c>
    </row>
    <row r="221" spans="1:23" x14ac:dyDescent="0.25">
      <c r="A221" s="1">
        <v>5290</v>
      </c>
      <c r="B221" s="2" t="s">
        <v>1263</v>
      </c>
      <c r="C221" s="2">
        <v>42255</v>
      </c>
      <c r="D221" s="2">
        <v>42262</v>
      </c>
      <c r="E221" s="1">
        <f t="shared" si="16"/>
        <v>2015</v>
      </c>
      <c r="F221" s="2" t="str">
        <f t="shared" si="17"/>
        <v>Sep</v>
      </c>
      <c r="G221" s="1">
        <f t="shared" si="18"/>
        <v>9</v>
      </c>
      <c r="H221" s="1">
        <f t="shared" si="15"/>
        <v>7</v>
      </c>
      <c r="I221" s="1" t="s">
        <v>25</v>
      </c>
      <c r="J221" s="1" t="s">
        <v>1264</v>
      </c>
      <c r="K221" s="1" t="s">
        <v>1265</v>
      </c>
      <c r="L221" s="1" t="s">
        <v>28</v>
      </c>
      <c r="M221" s="1" t="s">
        <v>29</v>
      </c>
      <c r="N221" s="1" t="s">
        <v>150</v>
      </c>
      <c r="O221" s="1" t="s">
        <v>31</v>
      </c>
      <c r="P221" s="1">
        <v>77036</v>
      </c>
      <c r="Q221" s="1" t="s">
        <v>32</v>
      </c>
      <c r="R221" s="1" t="s">
        <v>173</v>
      </c>
      <c r="S221" s="1" t="s">
        <v>34</v>
      </c>
      <c r="T221" s="1" t="s">
        <v>174</v>
      </c>
      <c r="U221" s="1" t="s">
        <v>175</v>
      </c>
      <c r="V221" s="3">
        <v>17.904</v>
      </c>
      <c r="W221" s="1" t="str">
        <f t="shared" si="19"/>
        <v>Slow Delivery</v>
      </c>
    </row>
    <row r="222" spans="1:23" x14ac:dyDescent="0.25">
      <c r="A222" s="1">
        <v>6312</v>
      </c>
      <c r="B222" s="2" t="s">
        <v>1266</v>
      </c>
      <c r="C222" s="2">
        <v>42258</v>
      </c>
      <c r="D222" s="2">
        <v>42263</v>
      </c>
      <c r="E222" s="1">
        <f t="shared" si="16"/>
        <v>2015</v>
      </c>
      <c r="F222" s="2" t="str">
        <f t="shared" si="17"/>
        <v>Sep</v>
      </c>
      <c r="G222" s="1">
        <f t="shared" si="18"/>
        <v>9</v>
      </c>
      <c r="H222" s="1">
        <f t="shared" si="15"/>
        <v>5</v>
      </c>
      <c r="I222" s="1" t="s">
        <v>25</v>
      </c>
      <c r="J222" s="1" t="s">
        <v>1267</v>
      </c>
      <c r="K222" s="1" t="s">
        <v>1268</v>
      </c>
      <c r="L222" s="1" t="s">
        <v>28</v>
      </c>
      <c r="M222" s="1" t="s">
        <v>29</v>
      </c>
      <c r="N222" s="1" t="s">
        <v>1269</v>
      </c>
      <c r="O222" s="1" t="s">
        <v>106</v>
      </c>
      <c r="P222" s="1">
        <v>93030</v>
      </c>
      <c r="Q222" s="1" t="s">
        <v>107</v>
      </c>
      <c r="R222" s="1" t="s">
        <v>1270</v>
      </c>
      <c r="S222" s="1" t="s">
        <v>45</v>
      </c>
      <c r="T222" s="1" t="s">
        <v>46</v>
      </c>
      <c r="U222" s="1" t="s">
        <v>1271</v>
      </c>
      <c r="V222" s="3">
        <v>127.95</v>
      </c>
      <c r="W222" s="1" t="str">
        <f t="shared" si="19"/>
        <v>Slow Delivery</v>
      </c>
    </row>
    <row r="223" spans="1:23" x14ac:dyDescent="0.25">
      <c r="A223" s="1">
        <v>3161</v>
      </c>
      <c r="B223" s="2" t="s">
        <v>1272</v>
      </c>
      <c r="C223" s="2">
        <v>42259</v>
      </c>
      <c r="D223" s="2">
        <v>42263</v>
      </c>
      <c r="E223" s="1">
        <f t="shared" si="16"/>
        <v>2015</v>
      </c>
      <c r="F223" s="2" t="str">
        <f t="shared" si="17"/>
        <v>Sep</v>
      </c>
      <c r="G223" s="1">
        <f t="shared" si="18"/>
        <v>9</v>
      </c>
      <c r="H223" s="1">
        <f t="shared" si="15"/>
        <v>4</v>
      </c>
      <c r="I223" s="1" t="s">
        <v>83</v>
      </c>
      <c r="J223" s="1" t="s">
        <v>1273</v>
      </c>
      <c r="K223" s="1" t="s">
        <v>1274</v>
      </c>
      <c r="L223" s="1" t="s">
        <v>28</v>
      </c>
      <c r="M223" s="1" t="s">
        <v>29</v>
      </c>
      <c r="N223" s="1" t="s">
        <v>150</v>
      </c>
      <c r="O223" s="1" t="s">
        <v>31</v>
      </c>
      <c r="P223" s="1">
        <v>77070</v>
      </c>
      <c r="Q223" s="1" t="s">
        <v>32</v>
      </c>
      <c r="R223" s="1" t="s">
        <v>1275</v>
      </c>
      <c r="S223" s="1" t="s">
        <v>34</v>
      </c>
      <c r="T223" s="1" t="s">
        <v>109</v>
      </c>
      <c r="U223" s="1" t="s">
        <v>1276</v>
      </c>
      <c r="V223" s="3">
        <v>5.18</v>
      </c>
      <c r="W223" s="1" t="str">
        <f t="shared" si="19"/>
        <v>Slow Delivery</v>
      </c>
    </row>
    <row r="224" spans="1:23" x14ac:dyDescent="0.25">
      <c r="A224" s="1">
        <v>705</v>
      </c>
      <c r="B224" s="2" t="s">
        <v>1277</v>
      </c>
      <c r="C224" s="2">
        <v>42259</v>
      </c>
      <c r="D224" s="2">
        <v>42264</v>
      </c>
      <c r="E224" s="1">
        <f t="shared" si="16"/>
        <v>2015</v>
      </c>
      <c r="F224" s="2" t="str">
        <f t="shared" si="17"/>
        <v>Sep</v>
      </c>
      <c r="G224" s="1">
        <f t="shared" si="18"/>
        <v>9</v>
      </c>
      <c r="H224" s="1">
        <f t="shared" si="15"/>
        <v>5</v>
      </c>
      <c r="I224" s="1" t="s">
        <v>25</v>
      </c>
      <c r="J224" s="1" t="s">
        <v>1278</v>
      </c>
      <c r="K224" s="1" t="s">
        <v>1279</v>
      </c>
      <c r="L224" s="1" t="s">
        <v>51</v>
      </c>
      <c r="M224" s="1" t="s">
        <v>29</v>
      </c>
      <c r="N224" s="1" t="s">
        <v>1280</v>
      </c>
      <c r="O224" s="1" t="s">
        <v>320</v>
      </c>
      <c r="P224" s="1">
        <v>27511</v>
      </c>
      <c r="Q224" s="1" t="s">
        <v>54</v>
      </c>
      <c r="R224" s="1" t="s">
        <v>1281</v>
      </c>
      <c r="S224" s="1" t="s">
        <v>34</v>
      </c>
      <c r="T224" s="1" t="s">
        <v>174</v>
      </c>
      <c r="U224" s="1" t="s">
        <v>1282</v>
      </c>
      <c r="V224" s="3">
        <v>10.368</v>
      </c>
      <c r="W224" s="1" t="str">
        <f t="shared" si="19"/>
        <v>Slow Delivery</v>
      </c>
    </row>
    <row r="225" spans="1:23" x14ac:dyDescent="0.25">
      <c r="A225" s="1">
        <v>9426</v>
      </c>
      <c r="B225" s="2" t="s">
        <v>1283</v>
      </c>
      <c r="C225" s="2">
        <v>42259</v>
      </c>
      <c r="D225" s="2">
        <v>42264</v>
      </c>
      <c r="E225" s="1">
        <f t="shared" si="16"/>
        <v>2015</v>
      </c>
      <c r="F225" s="2" t="str">
        <f t="shared" si="17"/>
        <v>Sep</v>
      </c>
      <c r="G225" s="1">
        <f t="shared" si="18"/>
        <v>9</v>
      </c>
      <c r="H225" s="1">
        <f t="shared" si="15"/>
        <v>5</v>
      </c>
      <c r="I225" s="1" t="s">
        <v>83</v>
      </c>
      <c r="J225" s="1" t="s">
        <v>1284</v>
      </c>
      <c r="K225" s="1" t="s">
        <v>1285</v>
      </c>
      <c r="L225" s="1" t="s">
        <v>28</v>
      </c>
      <c r="M225" s="1" t="s">
        <v>29</v>
      </c>
      <c r="N225" s="1" t="s">
        <v>114</v>
      </c>
      <c r="O225" s="1" t="s">
        <v>115</v>
      </c>
      <c r="P225" s="1">
        <v>10035</v>
      </c>
      <c r="Q225" s="1" t="s">
        <v>43</v>
      </c>
      <c r="R225" s="1" t="s">
        <v>1286</v>
      </c>
      <c r="S225" s="1" t="s">
        <v>45</v>
      </c>
      <c r="T225" s="1" t="s">
        <v>89</v>
      </c>
      <c r="U225" s="1" t="s">
        <v>1287</v>
      </c>
      <c r="V225" s="3">
        <v>3785.2919999999999</v>
      </c>
      <c r="W225" s="1" t="str">
        <f t="shared" si="19"/>
        <v>Slow Delivery</v>
      </c>
    </row>
    <row r="226" spans="1:23" x14ac:dyDescent="0.25">
      <c r="A226" s="1">
        <v>5449</v>
      </c>
      <c r="B226" s="2" t="s">
        <v>1288</v>
      </c>
      <c r="C226" s="2">
        <v>42259</v>
      </c>
      <c r="D226" s="2">
        <v>42266</v>
      </c>
      <c r="E226" s="1">
        <f t="shared" si="16"/>
        <v>2015</v>
      </c>
      <c r="F226" s="2" t="str">
        <f t="shared" si="17"/>
        <v>Sep</v>
      </c>
      <c r="G226" s="1">
        <f t="shared" si="18"/>
        <v>9</v>
      </c>
      <c r="H226" s="1">
        <f t="shared" si="15"/>
        <v>7</v>
      </c>
      <c r="I226" s="1" t="s">
        <v>25</v>
      </c>
      <c r="J226" s="1" t="s">
        <v>1289</v>
      </c>
      <c r="K226" s="1" t="s">
        <v>1290</v>
      </c>
      <c r="L226" s="1" t="s">
        <v>131</v>
      </c>
      <c r="M226" s="1" t="s">
        <v>29</v>
      </c>
      <c r="N226" s="1" t="s">
        <v>1291</v>
      </c>
      <c r="O226" s="1" t="s">
        <v>1292</v>
      </c>
      <c r="P226" s="1">
        <v>66062</v>
      </c>
      <c r="Q226" s="1" t="s">
        <v>32</v>
      </c>
      <c r="R226" s="1" t="s">
        <v>1022</v>
      </c>
      <c r="S226" s="1" t="s">
        <v>34</v>
      </c>
      <c r="T226" s="1" t="s">
        <v>638</v>
      </c>
      <c r="U226" s="1" t="s">
        <v>1023</v>
      </c>
      <c r="V226" s="3">
        <v>357.93</v>
      </c>
      <c r="W226" s="1" t="str">
        <f t="shared" si="19"/>
        <v>Slow Delivery</v>
      </c>
    </row>
    <row r="227" spans="1:23" x14ac:dyDescent="0.25">
      <c r="A227" s="1">
        <v>492</v>
      </c>
      <c r="B227" s="2" t="s">
        <v>1293</v>
      </c>
      <c r="C227" s="2">
        <v>42261</v>
      </c>
      <c r="D227" s="2">
        <v>42266</v>
      </c>
      <c r="E227" s="1">
        <f t="shared" si="16"/>
        <v>2015</v>
      </c>
      <c r="F227" s="2" t="str">
        <f t="shared" si="17"/>
        <v>Sep</v>
      </c>
      <c r="G227" s="1">
        <f t="shared" si="18"/>
        <v>9</v>
      </c>
      <c r="H227" s="1">
        <f t="shared" si="15"/>
        <v>5</v>
      </c>
      <c r="I227" s="1" t="s">
        <v>25</v>
      </c>
      <c r="J227" s="1" t="s">
        <v>1294</v>
      </c>
      <c r="K227" s="1" t="s">
        <v>1295</v>
      </c>
      <c r="L227" s="1" t="s">
        <v>28</v>
      </c>
      <c r="M227" s="1" t="s">
        <v>29</v>
      </c>
      <c r="N227" s="1" t="s">
        <v>1296</v>
      </c>
      <c r="O227" s="1" t="s">
        <v>115</v>
      </c>
      <c r="P227" s="1">
        <v>14609</v>
      </c>
      <c r="Q227" s="1" t="s">
        <v>43</v>
      </c>
      <c r="R227" s="1" t="s">
        <v>1297</v>
      </c>
      <c r="S227" s="1" t="s">
        <v>34</v>
      </c>
      <c r="T227" s="1" t="s">
        <v>270</v>
      </c>
      <c r="U227" s="1" t="s">
        <v>1298</v>
      </c>
      <c r="V227" s="3">
        <v>449.15</v>
      </c>
      <c r="W227" s="1" t="str">
        <f t="shared" si="19"/>
        <v>Slow Delivery</v>
      </c>
    </row>
    <row r="228" spans="1:23" x14ac:dyDescent="0.25">
      <c r="A228" s="1">
        <v>7475</v>
      </c>
      <c r="B228" s="2" t="s">
        <v>1299</v>
      </c>
      <c r="C228" s="2">
        <v>42010</v>
      </c>
      <c r="D228" s="2">
        <v>42014</v>
      </c>
      <c r="E228" s="1">
        <f t="shared" si="16"/>
        <v>2015</v>
      </c>
      <c r="F228" s="2" t="str">
        <f t="shared" si="17"/>
        <v>Jan</v>
      </c>
      <c r="G228" s="1">
        <f t="shared" si="18"/>
        <v>1</v>
      </c>
      <c r="H228" s="1">
        <f t="shared" si="15"/>
        <v>4</v>
      </c>
      <c r="I228" s="1" t="s">
        <v>25</v>
      </c>
      <c r="J228" s="1" t="s">
        <v>1300</v>
      </c>
      <c r="K228" s="1" t="s">
        <v>1301</v>
      </c>
      <c r="L228" s="1" t="s">
        <v>131</v>
      </c>
      <c r="M228" s="1" t="s">
        <v>29</v>
      </c>
      <c r="N228" s="1" t="s">
        <v>1302</v>
      </c>
      <c r="O228" s="1" t="s">
        <v>165</v>
      </c>
      <c r="P228" s="1">
        <v>42420</v>
      </c>
      <c r="Q228" s="1" t="s">
        <v>54</v>
      </c>
      <c r="R228" s="1" t="s">
        <v>494</v>
      </c>
      <c r="S228" s="1" t="s">
        <v>45</v>
      </c>
      <c r="T228" s="1" t="s">
        <v>89</v>
      </c>
      <c r="U228" s="1" t="s">
        <v>495</v>
      </c>
      <c r="V228" s="3">
        <v>2573.8200000000002</v>
      </c>
      <c r="W228" s="1" t="str">
        <f t="shared" si="19"/>
        <v>Slow Delivery</v>
      </c>
    </row>
    <row r="229" spans="1:23" x14ac:dyDescent="0.25">
      <c r="A229" s="1">
        <v>8981</v>
      </c>
      <c r="B229" s="2" t="s">
        <v>1303</v>
      </c>
      <c r="C229" s="2">
        <v>42041</v>
      </c>
      <c r="D229" s="2">
        <v>42045</v>
      </c>
      <c r="E229" s="1">
        <f t="shared" si="16"/>
        <v>2015</v>
      </c>
      <c r="F229" s="2" t="str">
        <f t="shared" si="17"/>
        <v>Feb</v>
      </c>
      <c r="G229" s="1">
        <f t="shared" si="18"/>
        <v>2</v>
      </c>
      <c r="H229" s="1">
        <f t="shared" si="15"/>
        <v>4</v>
      </c>
      <c r="I229" s="1" t="s">
        <v>83</v>
      </c>
      <c r="J229" s="1" t="s">
        <v>1304</v>
      </c>
      <c r="K229" s="1" t="s">
        <v>1305</v>
      </c>
      <c r="L229" s="1" t="s">
        <v>28</v>
      </c>
      <c r="M229" s="1" t="s">
        <v>29</v>
      </c>
      <c r="N229" s="1" t="s">
        <v>1306</v>
      </c>
      <c r="O229" s="1" t="s">
        <v>222</v>
      </c>
      <c r="P229" s="1">
        <v>60441</v>
      </c>
      <c r="Q229" s="1" t="s">
        <v>32</v>
      </c>
      <c r="R229" s="1" t="s">
        <v>1307</v>
      </c>
      <c r="S229" s="1" t="s">
        <v>34</v>
      </c>
      <c r="T229" s="1" t="s">
        <v>109</v>
      </c>
      <c r="U229" s="1" t="s">
        <v>1308</v>
      </c>
      <c r="V229" s="3">
        <v>8.952</v>
      </c>
      <c r="W229" s="1" t="str">
        <f t="shared" si="19"/>
        <v>Slow Delivery</v>
      </c>
    </row>
    <row r="230" spans="1:23" x14ac:dyDescent="0.25">
      <c r="A230" s="1">
        <v>8736</v>
      </c>
      <c r="B230" s="2" t="s">
        <v>1309</v>
      </c>
      <c r="C230" s="2">
        <v>42042</v>
      </c>
      <c r="D230" s="2">
        <v>42045</v>
      </c>
      <c r="E230" s="1">
        <f t="shared" si="16"/>
        <v>2015</v>
      </c>
      <c r="F230" s="2" t="str">
        <f t="shared" si="17"/>
        <v>Feb</v>
      </c>
      <c r="G230" s="1">
        <f t="shared" si="18"/>
        <v>2</v>
      </c>
      <c r="H230" s="1">
        <f t="shared" si="15"/>
        <v>3</v>
      </c>
      <c r="I230" s="1" t="s">
        <v>83</v>
      </c>
      <c r="J230" s="1" t="s">
        <v>1310</v>
      </c>
      <c r="K230" s="1" t="s">
        <v>1311</v>
      </c>
      <c r="L230" s="1" t="s">
        <v>51</v>
      </c>
      <c r="M230" s="1" t="s">
        <v>29</v>
      </c>
      <c r="N230" s="1" t="s">
        <v>114</v>
      </c>
      <c r="O230" s="1" t="s">
        <v>115</v>
      </c>
      <c r="P230" s="1">
        <v>10024</v>
      </c>
      <c r="Q230" s="1" t="s">
        <v>43</v>
      </c>
      <c r="R230" s="1" t="s">
        <v>1312</v>
      </c>
      <c r="S230" s="1" t="s">
        <v>34</v>
      </c>
      <c r="T230" s="1" t="s">
        <v>270</v>
      </c>
      <c r="U230" s="1" t="s">
        <v>1313</v>
      </c>
      <c r="V230" s="3">
        <v>64.959999999999994</v>
      </c>
      <c r="W230" s="1" t="str">
        <f t="shared" si="19"/>
        <v>Fast Delivery</v>
      </c>
    </row>
    <row r="231" spans="1:23" x14ac:dyDescent="0.25">
      <c r="A231" s="1">
        <v>869</v>
      </c>
      <c r="B231" s="2" t="s">
        <v>1314</v>
      </c>
      <c r="C231" s="2">
        <v>42100</v>
      </c>
      <c r="D231" s="2">
        <v>42104</v>
      </c>
      <c r="E231" s="1">
        <f t="shared" si="16"/>
        <v>2015</v>
      </c>
      <c r="F231" s="2" t="str">
        <f t="shared" si="17"/>
        <v>Apr</v>
      </c>
      <c r="G231" s="1">
        <f t="shared" si="18"/>
        <v>4</v>
      </c>
      <c r="H231" s="1">
        <f t="shared" si="15"/>
        <v>4</v>
      </c>
      <c r="I231" s="1" t="s">
        <v>25</v>
      </c>
      <c r="J231" s="1" t="s">
        <v>1315</v>
      </c>
      <c r="K231" s="1" t="s">
        <v>1316</v>
      </c>
      <c r="L231" s="1" t="s">
        <v>51</v>
      </c>
      <c r="M231" s="1" t="s">
        <v>29</v>
      </c>
      <c r="N231" s="1" t="s">
        <v>1021</v>
      </c>
      <c r="O231" s="1" t="s">
        <v>411</v>
      </c>
      <c r="P231" s="1">
        <v>17602</v>
      </c>
      <c r="Q231" s="1" t="s">
        <v>43</v>
      </c>
      <c r="R231" s="1" t="s">
        <v>1317</v>
      </c>
      <c r="S231" s="1" t="s">
        <v>34</v>
      </c>
      <c r="T231" s="1" t="s">
        <v>109</v>
      </c>
      <c r="U231" s="1" t="s">
        <v>1318</v>
      </c>
      <c r="V231" s="3">
        <v>44.91</v>
      </c>
      <c r="W231" s="1" t="str">
        <f t="shared" si="19"/>
        <v>Slow Delivery</v>
      </c>
    </row>
    <row r="232" spans="1:23" x14ac:dyDescent="0.25">
      <c r="A232" s="1">
        <v>8839</v>
      </c>
      <c r="B232" s="2" t="s">
        <v>1319</v>
      </c>
      <c r="C232" s="2">
        <v>42100</v>
      </c>
      <c r="D232" s="2">
        <v>42104</v>
      </c>
      <c r="E232" s="1">
        <f t="shared" si="16"/>
        <v>2015</v>
      </c>
      <c r="F232" s="2" t="str">
        <f t="shared" si="17"/>
        <v>Apr</v>
      </c>
      <c r="G232" s="1">
        <f t="shared" si="18"/>
        <v>4</v>
      </c>
      <c r="H232" s="1">
        <f t="shared" si="15"/>
        <v>4</v>
      </c>
      <c r="I232" s="1" t="s">
        <v>83</v>
      </c>
      <c r="J232" s="1" t="s">
        <v>1320</v>
      </c>
      <c r="K232" s="1" t="s">
        <v>1321</v>
      </c>
      <c r="L232" s="1" t="s">
        <v>51</v>
      </c>
      <c r="M232" s="1" t="s">
        <v>29</v>
      </c>
      <c r="N232" s="1" t="s">
        <v>132</v>
      </c>
      <c r="O232" s="1" t="s">
        <v>106</v>
      </c>
      <c r="P232" s="1">
        <v>90004</v>
      </c>
      <c r="Q232" s="1" t="s">
        <v>107</v>
      </c>
      <c r="R232" s="1" t="s">
        <v>303</v>
      </c>
      <c r="S232" s="1" t="s">
        <v>34</v>
      </c>
      <c r="T232" s="1" t="s">
        <v>35</v>
      </c>
      <c r="U232" s="1" t="s">
        <v>304</v>
      </c>
      <c r="V232" s="3">
        <v>70.95</v>
      </c>
      <c r="W232" s="1" t="str">
        <f t="shared" si="19"/>
        <v>Slow Delivery</v>
      </c>
    </row>
    <row r="233" spans="1:23" x14ac:dyDescent="0.25">
      <c r="A233" s="1">
        <v>3482</v>
      </c>
      <c r="B233" s="2" t="s">
        <v>1322</v>
      </c>
      <c r="C233" s="2">
        <v>42101</v>
      </c>
      <c r="D233" s="2">
        <v>42104</v>
      </c>
      <c r="E233" s="1">
        <f t="shared" si="16"/>
        <v>2015</v>
      </c>
      <c r="F233" s="2" t="str">
        <f t="shared" si="17"/>
        <v>Apr</v>
      </c>
      <c r="G233" s="1">
        <f t="shared" si="18"/>
        <v>4</v>
      </c>
      <c r="H233" s="1">
        <f t="shared" si="15"/>
        <v>3</v>
      </c>
      <c r="I233" s="1" t="s">
        <v>38</v>
      </c>
      <c r="J233" s="1" t="s">
        <v>1323</v>
      </c>
      <c r="K233" s="1" t="s">
        <v>1324</v>
      </c>
      <c r="L233" s="1" t="s">
        <v>28</v>
      </c>
      <c r="M233" s="1" t="s">
        <v>29</v>
      </c>
      <c r="N233" s="1" t="s">
        <v>1325</v>
      </c>
      <c r="O233" s="1" t="s">
        <v>1326</v>
      </c>
      <c r="P233" s="1">
        <v>36608</v>
      </c>
      <c r="Q233" s="1" t="s">
        <v>54</v>
      </c>
      <c r="R233" s="1" t="s">
        <v>1327</v>
      </c>
      <c r="S233" s="1" t="s">
        <v>45</v>
      </c>
      <c r="T233" s="1" t="s">
        <v>46</v>
      </c>
      <c r="U233" s="1" t="s">
        <v>1328</v>
      </c>
      <c r="V233" s="3">
        <v>8.9600000000000009</v>
      </c>
      <c r="W233" s="1" t="str">
        <f t="shared" si="19"/>
        <v>Fast Delivery</v>
      </c>
    </row>
    <row r="234" spans="1:23" x14ac:dyDescent="0.25">
      <c r="A234" s="1">
        <v>3862</v>
      </c>
      <c r="B234" s="2" t="s">
        <v>1329</v>
      </c>
      <c r="C234" s="2">
        <v>42127</v>
      </c>
      <c r="D234" s="2">
        <v>42134</v>
      </c>
      <c r="E234" s="1">
        <f t="shared" si="16"/>
        <v>2015</v>
      </c>
      <c r="F234" s="2" t="str">
        <f t="shared" si="17"/>
        <v>May</v>
      </c>
      <c r="G234" s="1">
        <f t="shared" si="18"/>
        <v>5</v>
      </c>
      <c r="H234" s="1">
        <f t="shared" si="15"/>
        <v>7</v>
      </c>
      <c r="I234" s="1" t="s">
        <v>25</v>
      </c>
      <c r="J234" s="1" t="s">
        <v>1330</v>
      </c>
      <c r="K234" s="1" t="s">
        <v>1331</v>
      </c>
      <c r="L234" s="1" t="s">
        <v>28</v>
      </c>
      <c r="M234" s="1" t="s">
        <v>29</v>
      </c>
      <c r="N234" s="1" t="s">
        <v>897</v>
      </c>
      <c r="O234" s="1" t="s">
        <v>115</v>
      </c>
      <c r="P234" s="1">
        <v>10701</v>
      </c>
      <c r="Q234" s="1" t="s">
        <v>43</v>
      </c>
      <c r="R234" s="1" t="s">
        <v>1332</v>
      </c>
      <c r="S234" s="1" t="s">
        <v>34</v>
      </c>
      <c r="T234" s="1" t="s">
        <v>109</v>
      </c>
      <c r="U234" s="1" t="s">
        <v>1333</v>
      </c>
      <c r="V234" s="3">
        <v>40.176000000000002</v>
      </c>
      <c r="W234" s="1" t="str">
        <f t="shared" si="19"/>
        <v>Slow Delivery</v>
      </c>
    </row>
    <row r="235" spans="1:23" x14ac:dyDescent="0.25">
      <c r="A235" s="1">
        <v>1335</v>
      </c>
      <c r="B235" s="2" t="s">
        <v>1334</v>
      </c>
      <c r="C235" s="2">
        <v>42130</v>
      </c>
      <c r="D235" s="2">
        <v>42134</v>
      </c>
      <c r="E235" s="1">
        <f t="shared" si="16"/>
        <v>2015</v>
      </c>
      <c r="F235" s="2" t="str">
        <f t="shared" si="17"/>
        <v>May</v>
      </c>
      <c r="G235" s="1">
        <f t="shared" si="18"/>
        <v>5</v>
      </c>
      <c r="H235" s="1">
        <f t="shared" si="15"/>
        <v>4</v>
      </c>
      <c r="I235" s="1" t="s">
        <v>25</v>
      </c>
      <c r="J235" s="1" t="s">
        <v>1335</v>
      </c>
      <c r="K235" s="1" t="s">
        <v>1336</v>
      </c>
      <c r="L235" s="1" t="s">
        <v>131</v>
      </c>
      <c r="M235" s="1" t="s">
        <v>29</v>
      </c>
      <c r="N235" s="1" t="s">
        <v>132</v>
      </c>
      <c r="O235" s="1" t="s">
        <v>106</v>
      </c>
      <c r="P235" s="1">
        <v>90049</v>
      </c>
      <c r="Q235" s="1" t="s">
        <v>107</v>
      </c>
      <c r="R235" s="1" t="s">
        <v>1337</v>
      </c>
      <c r="S235" s="1" t="s">
        <v>34</v>
      </c>
      <c r="T235" s="1" t="s">
        <v>109</v>
      </c>
      <c r="U235" s="1" t="s">
        <v>1338</v>
      </c>
      <c r="V235" s="3">
        <v>140.73599999999999</v>
      </c>
      <c r="W235" s="1" t="str">
        <f t="shared" si="19"/>
        <v>Slow Delivery</v>
      </c>
    </row>
    <row r="236" spans="1:23" x14ac:dyDescent="0.25">
      <c r="A236" s="1">
        <v>8800</v>
      </c>
      <c r="B236" s="2" t="s">
        <v>1339</v>
      </c>
      <c r="C236" s="2">
        <v>42132</v>
      </c>
      <c r="D236" s="2">
        <v>42134</v>
      </c>
      <c r="E236" s="1">
        <f t="shared" si="16"/>
        <v>2015</v>
      </c>
      <c r="F236" s="2" t="str">
        <f t="shared" si="17"/>
        <v>May</v>
      </c>
      <c r="G236" s="1">
        <f t="shared" si="18"/>
        <v>5</v>
      </c>
      <c r="H236" s="1">
        <f t="shared" si="15"/>
        <v>2</v>
      </c>
      <c r="I236" s="1" t="s">
        <v>38</v>
      </c>
      <c r="J236" s="1" t="s">
        <v>1340</v>
      </c>
      <c r="K236" s="1" t="s">
        <v>1341</v>
      </c>
      <c r="L236" s="1" t="s">
        <v>28</v>
      </c>
      <c r="M236" s="1" t="s">
        <v>29</v>
      </c>
      <c r="N236" s="1" t="s">
        <v>410</v>
      </c>
      <c r="O236" s="1" t="s">
        <v>411</v>
      </c>
      <c r="P236" s="1">
        <v>19134</v>
      </c>
      <c r="Q236" s="1" t="s">
        <v>43</v>
      </c>
      <c r="R236" s="1" t="s">
        <v>1342</v>
      </c>
      <c r="S236" s="1" t="s">
        <v>64</v>
      </c>
      <c r="T236" s="1" t="s">
        <v>145</v>
      </c>
      <c r="U236" s="1" t="s">
        <v>1343</v>
      </c>
      <c r="V236" s="3">
        <v>1799.97</v>
      </c>
      <c r="W236" s="1" t="str">
        <f t="shared" si="19"/>
        <v>Fast Delivery</v>
      </c>
    </row>
    <row r="237" spans="1:23" x14ac:dyDescent="0.25">
      <c r="A237" s="1">
        <v>6473</v>
      </c>
      <c r="B237" s="2" t="s">
        <v>1344</v>
      </c>
      <c r="C237" s="2">
        <v>42161</v>
      </c>
      <c r="D237" s="2">
        <v>42165</v>
      </c>
      <c r="E237" s="1">
        <f t="shared" si="16"/>
        <v>2015</v>
      </c>
      <c r="F237" s="2" t="str">
        <f t="shared" si="17"/>
        <v>Jun</v>
      </c>
      <c r="G237" s="1">
        <f t="shared" si="18"/>
        <v>6</v>
      </c>
      <c r="H237" s="1">
        <f t="shared" si="15"/>
        <v>4</v>
      </c>
      <c r="I237" s="1" t="s">
        <v>25</v>
      </c>
      <c r="J237" s="1" t="s">
        <v>1345</v>
      </c>
      <c r="K237" s="1" t="s">
        <v>1346</v>
      </c>
      <c r="L237" s="1" t="s">
        <v>131</v>
      </c>
      <c r="M237" s="1" t="s">
        <v>29</v>
      </c>
      <c r="N237" s="1" t="s">
        <v>150</v>
      </c>
      <c r="O237" s="1" t="s">
        <v>31</v>
      </c>
      <c r="P237" s="1">
        <v>77070</v>
      </c>
      <c r="Q237" s="1" t="s">
        <v>32</v>
      </c>
      <c r="R237" s="1" t="s">
        <v>1347</v>
      </c>
      <c r="S237" s="1" t="s">
        <v>34</v>
      </c>
      <c r="T237" s="1" t="s">
        <v>56</v>
      </c>
      <c r="U237" s="1" t="s">
        <v>1348</v>
      </c>
      <c r="V237" s="3">
        <v>100.24</v>
      </c>
      <c r="W237" s="1" t="str">
        <f t="shared" si="19"/>
        <v>Slow Delivery</v>
      </c>
    </row>
    <row r="238" spans="1:23" x14ac:dyDescent="0.25">
      <c r="A238" s="1">
        <v>394</v>
      </c>
      <c r="B238" s="2" t="s">
        <v>1349</v>
      </c>
      <c r="C238" s="2">
        <v>42162</v>
      </c>
      <c r="D238" s="2">
        <v>42165</v>
      </c>
      <c r="E238" s="1">
        <f t="shared" si="16"/>
        <v>2015</v>
      </c>
      <c r="F238" s="2" t="str">
        <f t="shared" si="17"/>
        <v>Jun</v>
      </c>
      <c r="G238" s="1">
        <f t="shared" si="18"/>
        <v>6</v>
      </c>
      <c r="H238" s="1">
        <f t="shared" si="15"/>
        <v>3</v>
      </c>
      <c r="I238" s="1" t="s">
        <v>83</v>
      </c>
      <c r="J238" s="1" t="s">
        <v>1350</v>
      </c>
      <c r="K238" s="1" t="s">
        <v>1351</v>
      </c>
      <c r="L238" s="1" t="s">
        <v>51</v>
      </c>
      <c r="M238" s="1" t="s">
        <v>29</v>
      </c>
      <c r="N238" s="1" t="s">
        <v>1352</v>
      </c>
      <c r="O238" s="1" t="s">
        <v>222</v>
      </c>
      <c r="P238" s="1">
        <v>61604</v>
      </c>
      <c r="Q238" s="1" t="s">
        <v>32</v>
      </c>
      <c r="R238" s="1" t="s">
        <v>1353</v>
      </c>
      <c r="S238" s="1" t="s">
        <v>34</v>
      </c>
      <c r="T238" s="1" t="s">
        <v>109</v>
      </c>
      <c r="U238" s="1" t="s">
        <v>1354</v>
      </c>
      <c r="V238" s="3">
        <v>12.462</v>
      </c>
      <c r="W238" s="1" t="str">
        <f t="shared" si="19"/>
        <v>Fast Delivery</v>
      </c>
    </row>
    <row r="239" spans="1:23" x14ac:dyDescent="0.25">
      <c r="A239" s="1">
        <v>4780</v>
      </c>
      <c r="B239" s="2" t="s">
        <v>1355</v>
      </c>
      <c r="C239" s="2">
        <v>42193</v>
      </c>
      <c r="D239" s="2">
        <v>42195</v>
      </c>
      <c r="E239" s="1">
        <f t="shared" si="16"/>
        <v>2015</v>
      </c>
      <c r="F239" s="2" t="str">
        <f t="shared" si="17"/>
        <v>Jul</v>
      </c>
      <c r="G239" s="1">
        <f t="shared" si="18"/>
        <v>7</v>
      </c>
      <c r="H239" s="1">
        <f t="shared" si="15"/>
        <v>2</v>
      </c>
      <c r="I239" s="1" t="s">
        <v>38</v>
      </c>
      <c r="J239" s="1" t="s">
        <v>1356</v>
      </c>
      <c r="K239" s="1" t="s">
        <v>1357</v>
      </c>
      <c r="L239" s="1" t="s">
        <v>28</v>
      </c>
      <c r="M239" s="1" t="s">
        <v>29</v>
      </c>
      <c r="N239" s="1" t="s">
        <v>1358</v>
      </c>
      <c r="O239" s="1" t="s">
        <v>115</v>
      </c>
      <c r="P239" s="1">
        <v>14215</v>
      </c>
      <c r="Q239" s="1" t="s">
        <v>43</v>
      </c>
      <c r="R239" s="1" t="s">
        <v>1359</v>
      </c>
      <c r="S239" s="1" t="s">
        <v>45</v>
      </c>
      <c r="T239" s="1" t="s">
        <v>89</v>
      </c>
      <c r="U239" s="1" t="s">
        <v>1360</v>
      </c>
      <c r="V239" s="3">
        <v>63.881999999999998</v>
      </c>
      <c r="W239" s="1" t="str">
        <f t="shared" si="19"/>
        <v>Fast Delivery</v>
      </c>
    </row>
    <row r="240" spans="1:23" x14ac:dyDescent="0.25">
      <c r="A240" s="1">
        <v>8955</v>
      </c>
      <c r="B240" s="2" t="s">
        <v>1361</v>
      </c>
      <c r="C240" s="2">
        <v>42224</v>
      </c>
      <c r="D240" s="2">
        <v>42226</v>
      </c>
      <c r="E240" s="1">
        <f t="shared" si="16"/>
        <v>2015</v>
      </c>
      <c r="F240" s="2" t="str">
        <f t="shared" si="17"/>
        <v>Aug</v>
      </c>
      <c r="G240" s="1">
        <f t="shared" si="18"/>
        <v>8</v>
      </c>
      <c r="H240" s="1">
        <f t="shared" si="15"/>
        <v>2</v>
      </c>
      <c r="I240" s="1" t="s">
        <v>83</v>
      </c>
      <c r="J240" s="1" t="s">
        <v>1362</v>
      </c>
      <c r="K240" s="1" t="s">
        <v>1363</v>
      </c>
      <c r="L240" s="1" t="s">
        <v>28</v>
      </c>
      <c r="M240" s="1" t="s">
        <v>29</v>
      </c>
      <c r="N240" s="1" t="s">
        <v>782</v>
      </c>
      <c r="O240" s="1" t="s">
        <v>190</v>
      </c>
      <c r="P240" s="1">
        <v>32216</v>
      </c>
      <c r="Q240" s="1" t="s">
        <v>54</v>
      </c>
      <c r="R240" s="1" t="s">
        <v>1364</v>
      </c>
      <c r="S240" s="1" t="s">
        <v>45</v>
      </c>
      <c r="T240" s="1" t="s">
        <v>413</v>
      </c>
      <c r="U240" s="1" t="s">
        <v>1365</v>
      </c>
      <c r="V240" s="3">
        <v>155.45599999999999</v>
      </c>
      <c r="W240" s="1" t="str">
        <f t="shared" si="19"/>
        <v>Fast Delivery</v>
      </c>
    </row>
    <row r="241" spans="1:23" x14ac:dyDescent="0.25">
      <c r="A241" s="1">
        <v>2516</v>
      </c>
      <c r="B241" s="2" t="s">
        <v>1366</v>
      </c>
      <c r="C241" s="2">
        <v>42252</v>
      </c>
      <c r="D241" s="2">
        <v>42257</v>
      </c>
      <c r="E241" s="1">
        <f t="shared" si="16"/>
        <v>2015</v>
      </c>
      <c r="F241" s="2" t="str">
        <f t="shared" si="17"/>
        <v>Sep</v>
      </c>
      <c r="G241" s="1">
        <f t="shared" si="18"/>
        <v>9</v>
      </c>
      <c r="H241" s="1">
        <f t="shared" si="15"/>
        <v>5</v>
      </c>
      <c r="I241" s="1" t="s">
        <v>25</v>
      </c>
      <c r="J241" s="1" t="s">
        <v>1367</v>
      </c>
      <c r="K241" s="1" t="s">
        <v>1368</v>
      </c>
      <c r="L241" s="1" t="s">
        <v>28</v>
      </c>
      <c r="M241" s="1" t="s">
        <v>29</v>
      </c>
      <c r="N241" s="1" t="s">
        <v>1369</v>
      </c>
      <c r="O241" s="1" t="s">
        <v>72</v>
      </c>
      <c r="P241" s="1">
        <v>43402</v>
      </c>
      <c r="Q241" s="1" t="s">
        <v>43</v>
      </c>
      <c r="R241" s="1" t="s">
        <v>1370</v>
      </c>
      <c r="S241" s="1" t="s">
        <v>34</v>
      </c>
      <c r="T241" s="1" t="s">
        <v>270</v>
      </c>
      <c r="U241" s="1" t="s">
        <v>1371</v>
      </c>
      <c r="V241" s="3">
        <v>264.32</v>
      </c>
      <c r="W241" s="1" t="str">
        <f t="shared" si="19"/>
        <v>Slow Delivery</v>
      </c>
    </row>
    <row r="242" spans="1:23" x14ac:dyDescent="0.25">
      <c r="A242" s="1">
        <v>6020</v>
      </c>
      <c r="B242" s="2" t="s">
        <v>1372</v>
      </c>
      <c r="C242" s="2">
        <v>42282</v>
      </c>
      <c r="D242" s="2">
        <v>42287</v>
      </c>
      <c r="E242" s="1">
        <f t="shared" si="16"/>
        <v>2015</v>
      </c>
      <c r="F242" s="2" t="str">
        <f t="shared" si="17"/>
        <v>Oct</v>
      </c>
      <c r="G242" s="1">
        <f t="shared" si="18"/>
        <v>10</v>
      </c>
      <c r="H242" s="1">
        <f t="shared" si="15"/>
        <v>5</v>
      </c>
      <c r="I242" s="1" t="s">
        <v>83</v>
      </c>
      <c r="J242" s="1" t="s">
        <v>1373</v>
      </c>
      <c r="K242" s="1" t="s">
        <v>1374</v>
      </c>
      <c r="L242" s="1" t="s">
        <v>28</v>
      </c>
      <c r="M242" s="1" t="s">
        <v>29</v>
      </c>
      <c r="N242" s="1" t="s">
        <v>71</v>
      </c>
      <c r="O242" s="1" t="s">
        <v>72</v>
      </c>
      <c r="P242" s="1">
        <v>43229</v>
      </c>
      <c r="Q242" s="1" t="s">
        <v>43</v>
      </c>
      <c r="R242" s="1" t="s">
        <v>1375</v>
      </c>
      <c r="S242" s="1" t="s">
        <v>34</v>
      </c>
      <c r="T242" s="1" t="s">
        <v>74</v>
      </c>
      <c r="U242" s="1" t="s">
        <v>1376</v>
      </c>
      <c r="V242" s="3">
        <v>91.92</v>
      </c>
      <c r="W242" s="1" t="str">
        <f t="shared" si="19"/>
        <v>Slow Delivery</v>
      </c>
    </row>
    <row r="243" spans="1:23" x14ac:dyDescent="0.25">
      <c r="A243" s="1">
        <v>482</v>
      </c>
      <c r="B243" s="2" t="s">
        <v>1377</v>
      </c>
      <c r="C243" s="2">
        <v>42283</v>
      </c>
      <c r="D243" s="2">
        <v>42287</v>
      </c>
      <c r="E243" s="1">
        <f t="shared" si="16"/>
        <v>2015</v>
      </c>
      <c r="F243" s="2" t="str">
        <f t="shared" si="17"/>
        <v>Oct</v>
      </c>
      <c r="G243" s="1">
        <f t="shared" si="18"/>
        <v>10</v>
      </c>
      <c r="H243" s="1">
        <f t="shared" si="15"/>
        <v>4</v>
      </c>
      <c r="I243" s="1" t="s">
        <v>25</v>
      </c>
      <c r="J243" s="1" t="s">
        <v>1378</v>
      </c>
      <c r="K243" s="1" t="s">
        <v>1379</v>
      </c>
      <c r="L243" s="1" t="s">
        <v>28</v>
      </c>
      <c r="M243" s="1" t="s">
        <v>29</v>
      </c>
      <c r="N243" s="1" t="s">
        <v>478</v>
      </c>
      <c r="O243" s="1" t="s">
        <v>106</v>
      </c>
      <c r="P243" s="1">
        <v>92024</v>
      </c>
      <c r="Q243" s="1" t="s">
        <v>107</v>
      </c>
      <c r="R243" s="1" t="s">
        <v>1380</v>
      </c>
      <c r="S243" s="1" t="s">
        <v>64</v>
      </c>
      <c r="T243" s="1" t="s">
        <v>65</v>
      </c>
      <c r="U243" s="1" t="s">
        <v>1381</v>
      </c>
      <c r="V243" s="3">
        <v>9.09</v>
      </c>
      <c r="W243" s="1" t="str">
        <f t="shared" si="19"/>
        <v>Slow Delivery</v>
      </c>
    </row>
    <row r="244" spans="1:23" x14ac:dyDescent="0.25">
      <c r="A244" s="1">
        <v>4533</v>
      </c>
      <c r="B244" s="2" t="s">
        <v>1382</v>
      </c>
      <c r="C244" s="2">
        <v>42287</v>
      </c>
      <c r="D244" s="2">
        <v>42287</v>
      </c>
      <c r="E244" s="1">
        <f t="shared" si="16"/>
        <v>2015</v>
      </c>
      <c r="F244" s="2" t="str">
        <f t="shared" si="17"/>
        <v>Oct</v>
      </c>
      <c r="G244" s="1">
        <f t="shared" si="18"/>
        <v>10</v>
      </c>
      <c r="H244" s="1">
        <f t="shared" si="15"/>
        <v>0</v>
      </c>
      <c r="I244" s="1" t="s">
        <v>68</v>
      </c>
      <c r="J244" s="1" t="s">
        <v>1383</v>
      </c>
      <c r="K244" s="1" t="s">
        <v>1384</v>
      </c>
      <c r="L244" s="1" t="s">
        <v>131</v>
      </c>
      <c r="M244" s="1" t="s">
        <v>29</v>
      </c>
      <c r="N244" s="1" t="s">
        <v>1385</v>
      </c>
      <c r="O244" s="1" t="s">
        <v>106</v>
      </c>
      <c r="P244" s="1">
        <v>95336</v>
      </c>
      <c r="Q244" s="1" t="s">
        <v>107</v>
      </c>
      <c r="R244" s="1" t="s">
        <v>1386</v>
      </c>
      <c r="S244" s="1" t="s">
        <v>45</v>
      </c>
      <c r="T244" s="1" t="s">
        <v>89</v>
      </c>
      <c r="U244" s="1" t="s">
        <v>1387</v>
      </c>
      <c r="V244" s="3">
        <v>122.352</v>
      </c>
      <c r="W244" s="1" t="str">
        <f t="shared" si="19"/>
        <v>Fast Delivery</v>
      </c>
    </row>
    <row r="245" spans="1:23" x14ac:dyDescent="0.25">
      <c r="A245" s="1">
        <v>8873</v>
      </c>
      <c r="B245" s="2" t="s">
        <v>1388</v>
      </c>
      <c r="C245" s="2">
        <v>42287</v>
      </c>
      <c r="D245" s="2">
        <v>42287</v>
      </c>
      <c r="E245" s="1">
        <f t="shared" si="16"/>
        <v>2015</v>
      </c>
      <c r="F245" s="2" t="str">
        <f t="shared" si="17"/>
        <v>Oct</v>
      </c>
      <c r="G245" s="1">
        <f t="shared" si="18"/>
        <v>10</v>
      </c>
      <c r="H245" s="1">
        <f t="shared" si="15"/>
        <v>0</v>
      </c>
      <c r="I245" s="1" t="s">
        <v>68</v>
      </c>
      <c r="J245" s="1" t="s">
        <v>1389</v>
      </c>
      <c r="K245" s="1" t="s">
        <v>1390</v>
      </c>
      <c r="L245" s="1" t="s">
        <v>28</v>
      </c>
      <c r="M245" s="1" t="s">
        <v>29</v>
      </c>
      <c r="N245" s="1" t="s">
        <v>71</v>
      </c>
      <c r="O245" s="1" t="s">
        <v>72</v>
      </c>
      <c r="P245" s="1">
        <v>43229</v>
      </c>
      <c r="Q245" s="1" t="s">
        <v>43</v>
      </c>
      <c r="R245" s="1" t="s">
        <v>1391</v>
      </c>
      <c r="S245" s="1" t="s">
        <v>64</v>
      </c>
      <c r="T245" s="1" t="s">
        <v>733</v>
      </c>
      <c r="U245" s="1" t="s">
        <v>1392</v>
      </c>
      <c r="V245" s="3">
        <v>101.994</v>
      </c>
      <c r="W245" s="1" t="str">
        <f t="shared" si="19"/>
        <v>Fast Delivery</v>
      </c>
    </row>
    <row r="246" spans="1:23" x14ac:dyDescent="0.25">
      <c r="A246" s="1">
        <v>9275</v>
      </c>
      <c r="B246" s="2" t="s">
        <v>1393</v>
      </c>
      <c r="C246" s="2">
        <v>42287</v>
      </c>
      <c r="D246" s="2">
        <v>42287</v>
      </c>
      <c r="E246" s="1">
        <f t="shared" si="16"/>
        <v>2015</v>
      </c>
      <c r="F246" s="2" t="str">
        <f t="shared" si="17"/>
        <v>Oct</v>
      </c>
      <c r="G246" s="1">
        <f t="shared" si="18"/>
        <v>10</v>
      </c>
      <c r="H246" s="1">
        <f t="shared" si="15"/>
        <v>0</v>
      </c>
      <c r="I246" s="1" t="s">
        <v>68</v>
      </c>
      <c r="J246" s="1" t="s">
        <v>1394</v>
      </c>
      <c r="K246" s="1" t="s">
        <v>1395</v>
      </c>
      <c r="L246" s="1" t="s">
        <v>51</v>
      </c>
      <c r="M246" s="1" t="s">
        <v>29</v>
      </c>
      <c r="N246" s="1" t="s">
        <v>1396</v>
      </c>
      <c r="O246" s="1" t="s">
        <v>1397</v>
      </c>
      <c r="P246" s="1">
        <v>87105</v>
      </c>
      <c r="Q246" s="1" t="s">
        <v>107</v>
      </c>
      <c r="R246" s="1" t="s">
        <v>1398</v>
      </c>
      <c r="S246" s="1" t="s">
        <v>34</v>
      </c>
      <c r="T246" s="1" t="s">
        <v>35</v>
      </c>
      <c r="U246" s="1" t="s">
        <v>1399</v>
      </c>
      <c r="V246" s="3">
        <v>255.85</v>
      </c>
      <c r="W246" s="1" t="str">
        <f t="shared" si="19"/>
        <v>Fast Delivery</v>
      </c>
    </row>
    <row r="247" spans="1:23" x14ac:dyDescent="0.25">
      <c r="A247" s="1">
        <v>4996</v>
      </c>
      <c r="B247" s="2" t="s">
        <v>1400</v>
      </c>
      <c r="C247" s="2">
        <v>42312</v>
      </c>
      <c r="D247" s="2">
        <v>42318</v>
      </c>
      <c r="E247" s="1">
        <f t="shared" si="16"/>
        <v>2015</v>
      </c>
      <c r="F247" s="2" t="str">
        <f t="shared" si="17"/>
        <v>Nov</v>
      </c>
      <c r="G247" s="1">
        <f t="shared" si="18"/>
        <v>11</v>
      </c>
      <c r="H247" s="1">
        <f t="shared" si="15"/>
        <v>6</v>
      </c>
      <c r="I247" s="1" t="s">
        <v>25</v>
      </c>
      <c r="J247" s="1" t="s">
        <v>1401</v>
      </c>
      <c r="K247" s="1" t="s">
        <v>1402</v>
      </c>
      <c r="L247" s="1" t="s">
        <v>131</v>
      </c>
      <c r="M247" s="1" t="s">
        <v>29</v>
      </c>
      <c r="N247" s="1" t="s">
        <v>114</v>
      </c>
      <c r="O247" s="1" t="s">
        <v>115</v>
      </c>
      <c r="P247" s="1">
        <v>10011</v>
      </c>
      <c r="Q247" s="1" t="s">
        <v>43</v>
      </c>
      <c r="R247" s="1" t="s">
        <v>1403</v>
      </c>
      <c r="S247" s="1" t="s">
        <v>34</v>
      </c>
      <c r="T247" s="1" t="s">
        <v>109</v>
      </c>
      <c r="U247" s="1" t="s">
        <v>1404</v>
      </c>
      <c r="V247" s="3">
        <v>52.064</v>
      </c>
      <c r="W247" s="1" t="str">
        <f t="shared" si="19"/>
        <v>Slow Delivery</v>
      </c>
    </row>
    <row r="248" spans="1:23" x14ac:dyDescent="0.25">
      <c r="A248" s="1">
        <v>6684</v>
      </c>
      <c r="B248" s="2" t="s">
        <v>1405</v>
      </c>
      <c r="C248" s="2">
        <v>42313</v>
      </c>
      <c r="D248" s="2">
        <v>42318</v>
      </c>
      <c r="E248" s="1">
        <f t="shared" si="16"/>
        <v>2015</v>
      </c>
      <c r="F248" s="2" t="str">
        <f t="shared" si="17"/>
        <v>Nov</v>
      </c>
      <c r="G248" s="1">
        <f t="shared" si="18"/>
        <v>11</v>
      </c>
      <c r="H248" s="1">
        <f t="shared" si="15"/>
        <v>5</v>
      </c>
      <c r="I248" s="1" t="s">
        <v>25</v>
      </c>
      <c r="J248" s="1" t="s">
        <v>1406</v>
      </c>
      <c r="K248" s="1" t="s">
        <v>1407</v>
      </c>
      <c r="L248" s="1" t="s">
        <v>131</v>
      </c>
      <c r="M248" s="1" t="s">
        <v>29</v>
      </c>
      <c r="N248" s="1" t="s">
        <v>132</v>
      </c>
      <c r="O248" s="1" t="s">
        <v>106</v>
      </c>
      <c r="P248" s="1">
        <v>90008</v>
      </c>
      <c r="Q248" s="1" t="s">
        <v>107</v>
      </c>
      <c r="R248" s="1" t="s">
        <v>1408</v>
      </c>
      <c r="S248" s="1" t="s">
        <v>45</v>
      </c>
      <c r="T248" s="1" t="s">
        <v>46</v>
      </c>
      <c r="U248" s="1" t="s">
        <v>1409</v>
      </c>
      <c r="V248" s="3">
        <v>20.04</v>
      </c>
      <c r="W248" s="1" t="str">
        <f t="shared" si="19"/>
        <v>Slow Delivery</v>
      </c>
    </row>
    <row r="249" spans="1:23" x14ac:dyDescent="0.25">
      <c r="A249" s="1">
        <v>8683</v>
      </c>
      <c r="B249" s="2" t="s">
        <v>1410</v>
      </c>
      <c r="C249" s="2">
        <v>42313</v>
      </c>
      <c r="D249" s="2">
        <v>42318</v>
      </c>
      <c r="E249" s="1">
        <f t="shared" si="16"/>
        <v>2015</v>
      </c>
      <c r="F249" s="2" t="str">
        <f t="shared" si="17"/>
        <v>Nov</v>
      </c>
      <c r="G249" s="1">
        <f t="shared" si="18"/>
        <v>11</v>
      </c>
      <c r="H249" s="1">
        <f t="shared" si="15"/>
        <v>5</v>
      </c>
      <c r="I249" s="1" t="s">
        <v>25</v>
      </c>
      <c r="J249" s="1" t="s">
        <v>1411</v>
      </c>
      <c r="K249" s="1" t="s">
        <v>1412</v>
      </c>
      <c r="L249" s="1" t="s">
        <v>131</v>
      </c>
      <c r="M249" s="1" t="s">
        <v>29</v>
      </c>
      <c r="N249" s="1" t="s">
        <v>692</v>
      </c>
      <c r="O249" s="1" t="s">
        <v>53</v>
      </c>
      <c r="P249" s="1">
        <v>22204</v>
      </c>
      <c r="Q249" s="1" t="s">
        <v>54</v>
      </c>
      <c r="R249" s="1" t="s">
        <v>1413</v>
      </c>
      <c r="S249" s="1" t="s">
        <v>64</v>
      </c>
      <c r="T249" s="1" t="s">
        <v>65</v>
      </c>
      <c r="U249" s="1" t="s">
        <v>1414</v>
      </c>
      <c r="V249" s="3">
        <v>47.79</v>
      </c>
      <c r="W249" s="1" t="str">
        <f t="shared" si="19"/>
        <v>Slow Delivery</v>
      </c>
    </row>
    <row r="250" spans="1:23" x14ac:dyDescent="0.25">
      <c r="A250" s="1">
        <v>9711</v>
      </c>
      <c r="B250" s="2" t="s">
        <v>1415</v>
      </c>
      <c r="C250" s="2">
        <v>42313</v>
      </c>
      <c r="D250" s="2">
        <v>42318</v>
      </c>
      <c r="E250" s="1">
        <f t="shared" si="16"/>
        <v>2015</v>
      </c>
      <c r="F250" s="2" t="str">
        <f t="shared" si="17"/>
        <v>Nov</v>
      </c>
      <c r="G250" s="1">
        <f t="shared" si="18"/>
        <v>11</v>
      </c>
      <c r="H250" s="1">
        <f t="shared" si="15"/>
        <v>5</v>
      </c>
      <c r="I250" s="1" t="s">
        <v>25</v>
      </c>
      <c r="J250" s="1" t="s">
        <v>1416</v>
      </c>
      <c r="K250" s="1" t="s">
        <v>1417</v>
      </c>
      <c r="L250" s="1" t="s">
        <v>28</v>
      </c>
      <c r="M250" s="1" t="s">
        <v>29</v>
      </c>
      <c r="N250" s="1" t="s">
        <v>410</v>
      </c>
      <c r="O250" s="1" t="s">
        <v>411</v>
      </c>
      <c r="P250" s="1">
        <v>19143</v>
      </c>
      <c r="Q250" s="1" t="s">
        <v>43</v>
      </c>
      <c r="R250" s="1" t="s">
        <v>1418</v>
      </c>
      <c r="S250" s="1" t="s">
        <v>45</v>
      </c>
      <c r="T250" s="1" t="s">
        <v>46</v>
      </c>
      <c r="U250" s="1" t="s">
        <v>1419</v>
      </c>
      <c r="V250" s="3">
        <v>273.56799999999998</v>
      </c>
      <c r="W250" s="1" t="str">
        <f t="shared" si="19"/>
        <v>Slow Delivery</v>
      </c>
    </row>
    <row r="251" spans="1:23" x14ac:dyDescent="0.25">
      <c r="A251" s="1">
        <v>68</v>
      </c>
      <c r="B251" s="2" t="s">
        <v>1420</v>
      </c>
      <c r="C251" s="2">
        <v>42343</v>
      </c>
      <c r="D251" s="2">
        <v>42348</v>
      </c>
      <c r="E251" s="1">
        <f t="shared" si="16"/>
        <v>2015</v>
      </c>
      <c r="F251" s="2" t="str">
        <f t="shared" si="17"/>
        <v>Dec</v>
      </c>
      <c r="G251" s="1">
        <f t="shared" si="18"/>
        <v>12</v>
      </c>
      <c r="H251" s="1">
        <f t="shared" si="15"/>
        <v>5</v>
      </c>
      <c r="I251" s="1" t="s">
        <v>25</v>
      </c>
      <c r="J251" s="1" t="s">
        <v>1421</v>
      </c>
      <c r="K251" s="1" t="s">
        <v>1422</v>
      </c>
      <c r="L251" s="1" t="s">
        <v>51</v>
      </c>
      <c r="M251" s="1" t="s">
        <v>29</v>
      </c>
      <c r="N251" s="1" t="s">
        <v>1423</v>
      </c>
      <c r="O251" s="1" t="s">
        <v>229</v>
      </c>
      <c r="P251" s="1">
        <v>85234</v>
      </c>
      <c r="Q251" s="1" t="s">
        <v>107</v>
      </c>
      <c r="R251" s="1" t="s">
        <v>1424</v>
      </c>
      <c r="S251" s="1" t="s">
        <v>34</v>
      </c>
      <c r="T251" s="1" t="s">
        <v>35</v>
      </c>
      <c r="U251" s="1" t="s">
        <v>1425</v>
      </c>
      <c r="V251" s="3">
        <v>1113.0239999999999</v>
      </c>
      <c r="W251" s="1" t="str">
        <f t="shared" si="19"/>
        <v>Slow Delivery</v>
      </c>
    </row>
    <row r="252" spans="1:23" x14ac:dyDescent="0.25">
      <c r="A252" s="1">
        <v>7569</v>
      </c>
      <c r="B252" s="2" t="s">
        <v>1426</v>
      </c>
      <c r="C252" s="2">
        <v>42343</v>
      </c>
      <c r="D252" s="2">
        <v>42348</v>
      </c>
      <c r="E252" s="1">
        <f t="shared" si="16"/>
        <v>2015</v>
      </c>
      <c r="F252" s="2" t="str">
        <f t="shared" si="17"/>
        <v>Dec</v>
      </c>
      <c r="G252" s="1">
        <f t="shared" si="18"/>
        <v>12</v>
      </c>
      <c r="H252" s="1">
        <f t="shared" si="15"/>
        <v>5</v>
      </c>
      <c r="I252" s="1" t="s">
        <v>25</v>
      </c>
      <c r="J252" s="1" t="s">
        <v>1427</v>
      </c>
      <c r="K252" s="1" t="s">
        <v>1428</v>
      </c>
      <c r="L252" s="1" t="s">
        <v>28</v>
      </c>
      <c r="M252" s="1" t="s">
        <v>29</v>
      </c>
      <c r="N252" s="1" t="s">
        <v>132</v>
      </c>
      <c r="O252" s="1" t="s">
        <v>106</v>
      </c>
      <c r="P252" s="1">
        <v>90045</v>
      </c>
      <c r="Q252" s="1" t="s">
        <v>107</v>
      </c>
      <c r="R252" s="1" t="s">
        <v>1253</v>
      </c>
      <c r="S252" s="1" t="s">
        <v>34</v>
      </c>
      <c r="T252" s="1" t="s">
        <v>35</v>
      </c>
      <c r="U252" s="1" t="s">
        <v>1254</v>
      </c>
      <c r="V252" s="3">
        <v>26.46</v>
      </c>
      <c r="W252" s="1" t="str">
        <f t="shared" si="19"/>
        <v>Slow Delivery</v>
      </c>
    </row>
    <row r="253" spans="1:23" x14ac:dyDescent="0.25">
      <c r="A253" s="1">
        <v>7237</v>
      </c>
      <c r="B253" s="2" t="s">
        <v>1429</v>
      </c>
      <c r="C253" s="2">
        <v>42345</v>
      </c>
      <c r="D253" s="2">
        <v>42348</v>
      </c>
      <c r="E253" s="1">
        <f t="shared" si="16"/>
        <v>2015</v>
      </c>
      <c r="F253" s="2" t="str">
        <f t="shared" si="17"/>
        <v>Dec</v>
      </c>
      <c r="G253" s="1">
        <f t="shared" si="18"/>
        <v>12</v>
      </c>
      <c r="H253" s="1">
        <f t="shared" si="15"/>
        <v>3</v>
      </c>
      <c r="I253" s="1" t="s">
        <v>38</v>
      </c>
      <c r="J253" s="1" t="s">
        <v>1430</v>
      </c>
      <c r="K253" s="1" t="s">
        <v>1431</v>
      </c>
      <c r="L253" s="1" t="s">
        <v>28</v>
      </c>
      <c r="M253" s="1" t="s">
        <v>29</v>
      </c>
      <c r="N253" s="1" t="s">
        <v>132</v>
      </c>
      <c r="O253" s="1" t="s">
        <v>106</v>
      </c>
      <c r="P253" s="1">
        <v>90049</v>
      </c>
      <c r="Q253" s="1" t="s">
        <v>107</v>
      </c>
      <c r="R253" s="1" t="s">
        <v>1432</v>
      </c>
      <c r="S253" s="1" t="s">
        <v>34</v>
      </c>
      <c r="T253" s="1" t="s">
        <v>35</v>
      </c>
      <c r="U253" s="1" t="s">
        <v>1433</v>
      </c>
      <c r="V253" s="3">
        <v>8.64</v>
      </c>
      <c r="W253" s="1" t="str">
        <f t="shared" si="19"/>
        <v>Fast Delivery</v>
      </c>
    </row>
    <row r="254" spans="1:23" x14ac:dyDescent="0.25">
      <c r="A254" s="1">
        <v>3715</v>
      </c>
      <c r="B254" s="2" t="s">
        <v>1434</v>
      </c>
      <c r="C254" s="2">
        <v>42346</v>
      </c>
      <c r="D254" s="2">
        <v>42348</v>
      </c>
      <c r="E254" s="1">
        <f t="shared" si="16"/>
        <v>2015</v>
      </c>
      <c r="F254" s="2" t="str">
        <f t="shared" si="17"/>
        <v>Dec</v>
      </c>
      <c r="G254" s="1">
        <f t="shared" si="18"/>
        <v>12</v>
      </c>
      <c r="H254" s="1">
        <f t="shared" si="15"/>
        <v>2</v>
      </c>
      <c r="I254" s="1" t="s">
        <v>83</v>
      </c>
      <c r="J254" s="1" t="s">
        <v>1435</v>
      </c>
      <c r="K254" s="1" t="s">
        <v>1436</v>
      </c>
      <c r="L254" s="1" t="s">
        <v>28</v>
      </c>
      <c r="M254" s="1" t="s">
        <v>29</v>
      </c>
      <c r="N254" s="1" t="s">
        <v>1437</v>
      </c>
      <c r="O254" s="1" t="s">
        <v>424</v>
      </c>
      <c r="P254" s="1">
        <v>98502</v>
      </c>
      <c r="Q254" s="1" t="s">
        <v>107</v>
      </c>
      <c r="R254" s="1" t="s">
        <v>1438</v>
      </c>
      <c r="S254" s="1" t="s">
        <v>34</v>
      </c>
      <c r="T254" s="1" t="s">
        <v>174</v>
      </c>
      <c r="U254" s="1" t="s">
        <v>1439</v>
      </c>
      <c r="V254" s="3">
        <v>45.68</v>
      </c>
      <c r="W254" s="1" t="str">
        <f t="shared" si="19"/>
        <v>Fast Delivery</v>
      </c>
    </row>
    <row r="255" spans="1:23" x14ac:dyDescent="0.25">
      <c r="A255" s="1">
        <v>8853</v>
      </c>
      <c r="B255" s="2" t="s">
        <v>1440</v>
      </c>
      <c r="C255" s="2">
        <v>42285</v>
      </c>
      <c r="D255" s="2">
        <v>42290</v>
      </c>
      <c r="E255" s="1">
        <f t="shared" si="16"/>
        <v>2015</v>
      </c>
      <c r="F255" s="2" t="str">
        <f t="shared" si="17"/>
        <v>Oct</v>
      </c>
      <c r="G255" s="1">
        <f t="shared" si="18"/>
        <v>10</v>
      </c>
      <c r="H255" s="1">
        <f t="shared" si="15"/>
        <v>5</v>
      </c>
      <c r="I255" s="1" t="s">
        <v>83</v>
      </c>
      <c r="J255" s="1" t="s">
        <v>1441</v>
      </c>
      <c r="K255" s="1" t="s">
        <v>1442</v>
      </c>
      <c r="L255" s="1" t="s">
        <v>28</v>
      </c>
      <c r="M255" s="1" t="s">
        <v>29</v>
      </c>
      <c r="N255" s="1" t="s">
        <v>114</v>
      </c>
      <c r="O255" s="1" t="s">
        <v>115</v>
      </c>
      <c r="P255" s="1">
        <v>10011</v>
      </c>
      <c r="Q255" s="1" t="s">
        <v>43</v>
      </c>
      <c r="R255" s="1" t="s">
        <v>1443</v>
      </c>
      <c r="S255" s="1" t="s">
        <v>34</v>
      </c>
      <c r="T255" s="1" t="s">
        <v>174</v>
      </c>
      <c r="U255" s="1" t="s">
        <v>1444</v>
      </c>
      <c r="V255" s="3">
        <v>123.92</v>
      </c>
      <c r="W255" s="1" t="str">
        <f t="shared" si="19"/>
        <v>Slow Delivery</v>
      </c>
    </row>
    <row r="256" spans="1:23" x14ac:dyDescent="0.25">
      <c r="A256" s="1">
        <v>4168</v>
      </c>
      <c r="B256" s="2" t="s">
        <v>1445</v>
      </c>
      <c r="C256" s="2">
        <v>42288</v>
      </c>
      <c r="D256" s="2">
        <v>42290</v>
      </c>
      <c r="E256" s="1">
        <f t="shared" si="16"/>
        <v>2015</v>
      </c>
      <c r="F256" s="2" t="str">
        <f t="shared" si="17"/>
        <v>Oct</v>
      </c>
      <c r="G256" s="1">
        <f t="shared" si="18"/>
        <v>10</v>
      </c>
      <c r="H256" s="1">
        <f t="shared" si="15"/>
        <v>2</v>
      </c>
      <c r="I256" s="1" t="s">
        <v>38</v>
      </c>
      <c r="J256" s="1" t="s">
        <v>1446</v>
      </c>
      <c r="K256" s="1" t="s">
        <v>1447</v>
      </c>
      <c r="L256" s="1" t="s">
        <v>28</v>
      </c>
      <c r="M256" s="1" t="s">
        <v>29</v>
      </c>
      <c r="N256" s="1" t="s">
        <v>1448</v>
      </c>
      <c r="O256" s="1" t="s">
        <v>106</v>
      </c>
      <c r="P256" s="1">
        <v>91104</v>
      </c>
      <c r="Q256" s="1" t="s">
        <v>107</v>
      </c>
      <c r="R256" s="1" t="s">
        <v>1449</v>
      </c>
      <c r="S256" s="1" t="s">
        <v>34</v>
      </c>
      <c r="T256" s="1" t="s">
        <v>270</v>
      </c>
      <c r="U256" s="1" t="s">
        <v>1450</v>
      </c>
      <c r="V256" s="3">
        <v>31.92</v>
      </c>
      <c r="W256" s="1" t="str">
        <f t="shared" si="19"/>
        <v>Fast Delivery</v>
      </c>
    </row>
    <row r="257" spans="1:23" x14ac:dyDescent="0.25">
      <c r="A257" s="1">
        <v>9459</v>
      </c>
      <c r="B257" s="2" t="s">
        <v>1451</v>
      </c>
      <c r="C257" s="2">
        <v>42286</v>
      </c>
      <c r="D257" s="2">
        <v>42291</v>
      </c>
      <c r="E257" s="1">
        <f t="shared" si="16"/>
        <v>2015</v>
      </c>
      <c r="F257" s="2" t="str">
        <f t="shared" si="17"/>
        <v>Oct</v>
      </c>
      <c r="G257" s="1">
        <f t="shared" si="18"/>
        <v>10</v>
      </c>
      <c r="H257" s="1">
        <f t="shared" si="15"/>
        <v>5</v>
      </c>
      <c r="I257" s="1" t="s">
        <v>25</v>
      </c>
      <c r="J257" s="1" t="s">
        <v>1452</v>
      </c>
      <c r="K257" s="1" t="s">
        <v>1453</v>
      </c>
      <c r="L257" s="1" t="s">
        <v>28</v>
      </c>
      <c r="M257" s="1" t="s">
        <v>29</v>
      </c>
      <c r="N257" s="1" t="s">
        <v>105</v>
      </c>
      <c r="O257" s="1" t="s">
        <v>106</v>
      </c>
      <c r="P257" s="1">
        <v>94122</v>
      </c>
      <c r="Q257" s="1" t="s">
        <v>107</v>
      </c>
      <c r="R257" s="1" t="s">
        <v>1454</v>
      </c>
      <c r="S257" s="1" t="s">
        <v>34</v>
      </c>
      <c r="T257" s="1" t="s">
        <v>35</v>
      </c>
      <c r="U257" s="1" t="s">
        <v>1455</v>
      </c>
      <c r="V257" s="3">
        <v>144.6</v>
      </c>
      <c r="W257" s="1" t="str">
        <f t="shared" si="19"/>
        <v>Slow Delivery</v>
      </c>
    </row>
    <row r="258" spans="1:23" x14ac:dyDescent="0.25">
      <c r="A258" s="1">
        <v>3266</v>
      </c>
      <c r="B258" s="2" t="s">
        <v>1456</v>
      </c>
      <c r="C258" s="2">
        <v>42288</v>
      </c>
      <c r="D258" s="2">
        <v>42292</v>
      </c>
      <c r="E258" s="1">
        <f t="shared" si="16"/>
        <v>2015</v>
      </c>
      <c r="F258" s="2" t="str">
        <f t="shared" si="17"/>
        <v>Oct</v>
      </c>
      <c r="G258" s="1">
        <f t="shared" si="18"/>
        <v>10</v>
      </c>
      <c r="H258" s="1">
        <f t="shared" ref="H258:H321" si="20">D258-C258</f>
        <v>4</v>
      </c>
      <c r="I258" s="1" t="s">
        <v>25</v>
      </c>
      <c r="J258" s="1" t="s">
        <v>1457</v>
      </c>
      <c r="K258" s="1" t="s">
        <v>1458</v>
      </c>
      <c r="L258" s="1" t="s">
        <v>28</v>
      </c>
      <c r="M258" s="1" t="s">
        <v>29</v>
      </c>
      <c r="N258" s="1" t="s">
        <v>410</v>
      </c>
      <c r="O258" s="1" t="s">
        <v>411</v>
      </c>
      <c r="P258" s="1">
        <v>19120</v>
      </c>
      <c r="Q258" s="1" t="s">
        <v>43</v>
      </c>
      <c r="R258" s="1" t="s">
        <v>1459</v>
      </c>
      <c r="S258" s="1" t="s">
        <v>34</v>
      </c>
      <c r="T258" s="1" t="s">
        <v>270</v>
      </c>
      <c r="U258" s="1" t="s">
        <v>1460</v>
      </c>
      <c r="V258" s="3">
        <v>281.904</v>
      </c>
      <c r="W258" s="1" t="str">
        <f t="shared" si="19"/>
        <v>Slow Delivery</v>
      </c>
    </row>
    <row r="259" spans="1:23" x14ac:dyDescent="0.25">
      <c r="A259" s="1">
        <v>5928</v>
      </c>
      <c r="B259" s="2" t="s">
        <v>1461</v>
      </c>
      <c r="C259" s="2">
        <v>42288</v>
      </c>
      <c r="D259" s="2">
        <v>42292</v>
      </c>
      <c r="E259" s="1">
        <f t="shared" ref="E259:E322" si="21">YEAR(C259)</f>
        <v>2015</v>
      </c>
      <c r="F259" s="2" t="str">
        <f t="shared" ref="F259:F322" si="22">TEXT(C259,"mmm")</f>
        <v>Oct</v>
      </c>
      <c r="G259" s="1">
        <f t="shared" ref="G259:G322" si="23">MONTH(C259)</f>
        <v>10</v>
      </c>
      <c r="H259" s="1">
        <f t="shared" si="20"/>
        <v>4</v>
      </c>
      <c r="I259" s="1" t="s">
        <v>25</v>
      </c>
      <c r="J259" s="1" t="s">
        <v>1462</v>
      </c>
      <c r="K259" s="1" t="s">
        <v>1463</v>
      </c>
      <c r="L259" s="1" t="s">
        <v>51</v>
      </c>
      <c r="M259" s="1" t="s">
        <v>29</v>
      </c>
      <c r="N259" s="1" t="s">
        <v>738</v>
      </c>
      <c r="O259" s="1" t="s">
        <v>528</v>
      </c>
      <c r="P259" s="1">
        <v>72701</v>
      </c>
      <c r="Q259" s="1" t="s">
        <v>54</v>
      </c>
      <c r="R259" s="1" t="s">
        <v>321</v>
      </c>
      <c r="S259" s="1" t="s">
        <v>34</v>
      </c>
      <c r="T259" s="1" t="s">
        <v>56</v>
      </c>
      <c r="U259" s="1" t="s">
        <v>322</v>
      </c>
      <c r="V259" s="3">
        <v>7.31</v>
      </c>
      <c r="W259" s="1" t="str">
        <f t="shared" ref="W259:W322" si="24">IF(H259&lt;=3,"Fast Delivery","Slow Delivery")</f>
        <v>Slow Delivery</v>
      </c>
    </row>
    <row r="260" spans="1:23" x14ac:dyDescent="0.25">
      <c r="A260" s="1">
        <v>6215</v>
      </c>
      <c r="B260" s="2" t="s">
        <v>1464</v>
      </c>
      <c r="C260" s="2">
        <v>42288</v>
      </c>
      <c r="D260" s="2">
        <v>42292</v>
      </c>
      <c r="E260" s="1">
        <f t="shared" si="21"/>
        <v>2015</v>
      </c>
      <c r="F260" s="2" t="str">
        <f t="shared" si="22"/>
        <v>Oct</v>
      </c>
      <c r="G260" s="1">
        <f t="shared" si="23"/>
        <v>10</v>
      </c>
      <c r="H260" s="1">
        <f t="shared" si="20"/>
        <v>4</v>
      </c>
      <c r="I260" s="1" t="s">
        <v>25</v>
      </c>
      <c r="J260" s="1" t="s">
        <v>1465</v>
      </c>
      <c r="K260" s="1" t="s">
        <v>1466</v>
      </c>
      <c r="L260" s="1" t="s">
        <v>28</v>
      </c>
      <c r="M260" s="1" t="s">
        <v>29</v>
      </c>
      <c r="N260" s="1" t="s">
        <v>261</v>
      </c>
      <c r="O260" s="1" t="s">
        <v>106</v>
      </c>
      <c r="P260" s="1">
        <v>90278</v>
      </c>
      <c r="Q260" s="1" t="s">
        <v>107</v>
      </c>
      <c r="R260" s="1" t="s">
        <v>1467</v>
      </c>
      <c r="S260" s="1" t="s">
        <v>34</v>
      </c>
      <c r="T260" s="1" t="s">
        <v>426</v>
      </c>
      <c r="U260" s="1" t="s">
        <v>1468</v>
      </c>
      <c r="V260" s="3">
        <v>7.64</v>
      </c>
      <c r="W260" s="1" t="str">
        <f t="shared" si="24"/>
        <v>Slow Delivery</v>
      </c>
    </row>
    <row r="261" spans="1:23" x14ac:dyDescent="0.25">
      <c r="A261" s="1">
        <v>4001</v>
      </c>
      <c r="B261" s="2" t="s">
        <v>1469</v>
      </c>
      <c r="C261" s="2">
        <v>42288</v>
      </c>
      <c r="D261" s="2">
        <v>42293</v>
      </c>
      <c r="E261" s="1">
        <f t="shared" si="21"/>
        <v>2015</v>
      </c>
      <c r="F261" s="2" t="str">
        <f t="shared" si="22"/>
        <v>Oct</v>
      </c>
      <c r="G261" s="1">
        <f t="shared" si="23"/>
        <v>10</v>
      </c>
      <c r="H261" s="1">
        <f t="shared" si="20"/>
        <v>5</v>
      </c>
      <c r="I261" s="1" t="s">
        <v>25</v>
      </c>
      <c r="J261" s="1" t="s">
        <v>1470</v>
      </c>
      <c r="K261" s="1" t="s">
        <v>1471</v>
      </c>
      <c r="L261" s="1" t="s">
        <v>131</v>
      </c>
      <c r="M261" s="1" t="s">
        <v>29</v>
      </c>
      <c r="N261" s="1" t="s">
        <v>488</v>
      </c>
      <c r="O261" s="1" t="s">
        <v>424</v>
      </c>
      <c r="P261" s="1">
        <v>98115</v>
      </c>
      <c r="Q261" s="1" t="s">
        <v>107</v>
      </c>
      <c r="R261" s="1" t="s">
        <v>1472</v>
      </c>
      <c r="S261" s="1" t="s">
        <v>45</v>
      </c>
      <c r="T261" s="1" t="s">
        <v>46</v>
      </c>
      <c r="U261" s="1" t="s">
        <v>1473</v>
      </c>
      <c r="V261" s="3">
        <v>63.47</v>
      </c>
      <c r="W261" s="1" t="str">
        <f t="shared" si="24"/>
        <v>Slow Delivery</v>
      </c>
    </row>
    <row r="262" spans="1:23" x14ac:dyDescent="0.25">
      <c r="A262" s="1">
        <v>9440</v>
      </c>
      <c r="B262" s="2" t="s">
        <v>1474</v>
      </c>
      <c r="C262" s="2">
        <v>42289</v>
      </c>
      <c r="D262" s="2">
        <v>42294</v>
      </c>
      <c r="E262" s="1">
        <f t="shared" si="21"/>
        <v>2015</v>
      </c>
      <c r="F262" s="2" t="str">
        <f t="shared" si="22"/>
        <v>Oct</v>
      </c>
      <c r="G262" s="1">
        <f t="shared" si="23"/>
        <v>10</v>
      </c>
      <c r="H262" s="1">
        <f t="shared" si="20"/>
        <v>5</v>
      </c>
      <c r="I262" s="1" t="s">
        <v>25</v>
      </c>
      <c r="J262" s="1" t="s">
        <v>1475</v>
      </c>
      <c r="K262" s="1" t="s">
        <v>1476</v>
      </c>
      <c r="L262" s="1" t="s">
        <v>51</v>
      </c>
      <c r="M262" s="1" t="s">
        <v>29</v>
      </c>
      <c r="N262" s="1" t="s">
        <v>221</v>
      </c>
      <c r="O262" s="1" t="s">
        <v>222</v>
      </c>
      <c r="P262" s="1">
        <v>60623</v>
      </c>
      <c r="Q262" s="1" t="s">
        <v>32</v>
      </c>
      <c r="R262" s="1" t="s">
        <v>1477</v>
      </c>
      <c r="S262" s="1" t="s">
        <v>34</v>
      </c>
      <c r="T262" s="1" t="s">
        <v>638</v>
      </c>
      <c r="U262" s="1" t="s">
        <v>1478</v>
      </c>
      <c r="V262" s="3">
        <v>22.24</v>
      </c>
      <c r="W262" s="1" t="str">
        <f t="shared" si="24"/>
        <v>Slow Delivery</v>
      </c>
    </row>
    <row r="263" spans="1:23" x14ac:dyDescent="0.25">
      <c r="A263" s="1">
        <v>4898</v>
      </c>
      <c r="B263" s="2" t="s">
        <v>1479</v>
      </c>
      <c r="C263" s="2">
        <v>42292</v>
      </c>
      <c r="D263" s="2">
        <v>42294</v>
      </c>
      <c r="E263" s="1">
        <f t="shared" si="21"/>
        <v>2015</v>
      </c>
      <c r="F263" s="2" t="str">
        <f t="shared" si="22"/>
        <v>Oct</v>
      </c>
      <c r="G263" s="1">
        <f t="shared" si="23"/>
        <v>10</v>
      </c>
      <c r="H263" s="1">
        <f t="shared" si="20"/>
        <v>2</v>
      </c>
      <c r="I263" s="1" t="s">
        <v>38</v>
      </c>
      <c r="J263" s="1" t="s">
        <v>1480</v>
      </c>
      <c r="K263" s="1" t="s">
        <v>1481</v>
      </c>
      <c r="L263" s="1" t="s">
        <v>28</v>
      </c>
      <c r="M263" s="1" t="s">
        <v>29</v>
      </c>
      <c r="N263" s="1" t="s">
        <v>1482</v>
      </c>
      <c r="O263" s="1" t="s">
        <v>72</v>
      </c>
      <c r="P263" s="1">
        <v>44134</v>
      </c>
      <c r="Q263" s="1" t="s">
        <v>43</v>
      </c>
      <c r="R263" s="1" t="s">
        <v>1483</v>
      </c>
      <c r="S263" s="1" t="s">
        <v>45</v>
      </c>
      <c r="T263" s="1" t="s">
        <v>89</v>
      </c>
      <c r="U263" s="1" t="s">
        <v>1484</v>
      </c>
      <c r="V263" s="3">
        <v>183.37200000000001</v>
      </c>
      <c r="W263" s="1" t="str">
        <f t="shared" si="24"/>
        <v>Fast Delivery</v>
      </c>
    </row>
    <row r="264" spans="1:23" x14ac:dyDescent="0.25">
      <c r="A264" s="1">
        <v>7665</v>
      </c>
      <c r="B264" s="2" t="s">
        <v>1485</v>
      </c>
      <c r="C264" s="2">
        <v>42299</v>
      </c>
      <c r="D264" s="2">
        <v>42303</v>
      </c>
      <c r="E264" s="1">
        <f t="shared" si="21"/>
        <v>2015</v>
      </c>
      <c r="F264" s="2" t="str">
        <f t="shared" si="22"/>
        <v>Oct</v>
      </c>
      <c r="G264" s="1">
        <f t="shared" si="23"/>
        <v>10</v>
      </c>
      <c r="H264" s="1">
        <f t="shared" si="20"/>
        <v>4</v>
      </c>
      <c r="I264" s="1" t="s">
        <v>25</v>
      </c>
      <c r="J264" s="1" t="s">
        <v>1486</v>
      </c>
      <c r="K264" s="1" t="s">
        <v>1487</v>
      </c>
      <c r="L264" s="1" t="s">
        <v>51</v>
      </c>
      <c r="M264" s="1" t="s">
        <v>29</v>
      </c>
      <c r="N264" s="1" t="s">
        <v>1488</v>
      </c>
      <c r="O264" s="1" t="s">
        <v>921</v>
      </c>
      <c r="P264" s="1">
        <v>71111</v>
      </c>
      <c r="Q264" s="1" t="s">
        <v>54</v>
      </c>
      <c r="R264" s="1" t="s">
        <v>1489</v>
      </c>
      <c r="S264" s="1" t="s">
        <v>45</v>
      </c>
      <c r="T264" s="1" t="s">
        <v>46</v>
      </c>
      <c r="U264" s="1" t="s">
        <v>1490</v>
      </c>
      <c r="V264" s="3">
        <v>129.91999999999999</v>
      </c>
      <c r="W264" s="1" t="str">
        <f t="shared" si="24"/>
        <v>Slow Delivery</v>
      </c>
    </row>
    <row r="265" spans="1:23" x14ac:dyDescent="0.25">
      <c r="A265" s="1">
        <v>5254</v>
      </c>
      <c r="B265" s="2" t="s">
        <v>1491</v>
      </c>
      <c r="C265" s="2">
        <v>42070</v>
      </c>
      <c r="D265" s="2">
        <v>42074</v>
      </c>
      <c r="E265" s="1">
        <f t="shared" si="21"/>
        <v>2015</v>
      </c>
      <c r="F265" s="2" t="str">
        <f t="shared" si="22"/>
        <v>Mar</v>
      </c>
      <c r="G265" s="1">
        <f t="shared" si="23"/>
        <v>3</v>
      </c>
      <c r="H265" s="1">
        <f t="shared" si="20"/>
        <v>4</v>
      </c>
      <c r="I265" s="1" t="s">
        <v>83</v>
      </c>
      <c r="J265" s="1" t="s">
        <v>1492</v>
      </c>
      <c r="K265" s="1" t="s">
        <v>1493</v>
      </c>
      <c r="L265" s="1" t="s">
        <v>131</v>
      </c>
      <c r="M265" s="1" t="s">
        <v>29</v>
      </c>
      <c r="N265" s="1" t="s">
        <v>1494</v>
      </c>
      <c r="O265" s="1" t="s">
        <v>424</v>
      </c>
      <c r="P265" s="1">
        <v>98198</v>
      </c>
      <c r="Q265" s="1" t="s">
        <v>107</v>
      </c>
      <c r="R265" s="1" t="s">
        <v>1495</v>
      </c>
      <c r="S265" s="1" t="s">
        <v>34</v>
      </c>
      <c r="T265" s="1" t="s">
        <v>109</v>
      </c>
      <c r="U265" s="1" t="s">
        <v>1496</v>
      </c>
      <c r="V265" s="3">
        <v>107.648</v>
      </c>
      <c r="W265" s="1" t="str">
        <f t="shared" si="24"/>
        <v>Slow Delivery</v>
      </c>
    </row>
    <row r="266" spans="1:23" x14ac:dyDescent="0.25">
      <c r="A266" s="1">
        <v>4410</v>
      </c>
      <c r="B266" s="2" t="s">
        <v>1497</v>
      </c>
      <c r="C266" s="2">
        <v>42130</v>
      </c>
      <c r="D266" s="2">
        <v>42135</v>
      </c>
      <c r="E266" s="1">
        <f t="shared" si="21"/>
        <v>2015</v>
      </c>
      <c r="F266" s="2" t="str">
        <f t="shared" si="22"/>
        <v>May</v>
      </c>
      <c r="G266" s="1">
        <f t="shared" si="23"/>
        <v>5</v>
      </c>
      <c r="H266" s="1">
        <f t="shared" si="20"/>
        <v>5</v>
      </c>
      <c r="I266" s="1" t="s">
        <v>25</v>
      </c>
      <c r="J266" s="1" t="s">
        <v>1498</v>
      </c>
      <c r="K266" s="1" t="s">
        <v>1499</v>
      </c>
      <c r="L266" s="1" t="s">
        <v>131</v>
      </c>
      <c r="M266" s="1" t="s">
        <v>29</v>
      </c>
      <c r="N266" s="1" t="s">
        <v>132</v>
      </c>
      <c r="O266" s="1" t="s">
        <v>106</v>
      </c>
      <c r="P266" s="1">
        <v>90004</v>
      </c>
      <c r="Q266" s="1" t="s">
        <v>107</v>
      </c>
      <c r="R266" s="1" t="s">
        <v>1500</v>
      </c>
      <c r="S266" s="1" t="s">
        <v>34</v>
      </c>
      <c r="T266" s="1" t="s">
        <v>56</v>
      </c>
      <c r="U266" s="1" t="s">
        <v>1501</v>
      </c>
      <c r="V266" s="3">
        <v>5.78</v>
      </c>
      <c r="W266" s="1" t="str">
        <f t="shared" si="24"/>
        <v>Slow Delivery</v>
      </c>
    </row>
    <row r="267" spans="1:23" x14ac:dyDescent="0.25">
      <c r="A267" s="1">
        <v>2140</v>
      </c>
      <c r="B267" s="2" t="s">
        <v>1502</v>
      </c>
      <c r="C267" s="2">
        <v>42161</v>
      </c>
      <c r="D267" s="2">
        <v>42166</v>
      </c>
      <c r="E267" s="1">
        <f t="shared" si="21"/>
        <v>2015</v>
      </c>
      <c r="F267" s="2" t="str">
        <f t="shared" si="22"/>
        <v>Jun</v>
      </c>
      <c r="G267" s="1">
        <f t="shared" si="23"/>
        <v>6</v>
      </c>
      <c r="H267" s="1">
        <f t="shared" si="20"/>
        <v>5</v>
      </c>
      <c r="I267" s="1" t="s">
        <v>25</v>
      </c>
      <c r="J267" s="1" t="s">
        <v>1503</v>
      </c>
      <c r="K267" s="1" t="s">
        <v>1504</v>
      </c>
      <c r="L267" s="1" t="s">
        <v>51</v>
      </c>
      <c r="M267" s="1" t="s">
        <v>29</v>
      </c>
      <c r="N267" s="1" t="s">
        <v>381</v>
      </c>
      <c r="O267" s="1" t="s">
        <v>115</v>
      </c>
      <c r="P267" s="1">
        <v>11561</v>
      </c>
      <c r="Q267" s="1" t="s">
        <v>43</v>
      </c>
      <c r="R267" s="1" t="s">
        <v>1353</v>
      </c>
      <c r="S267" s="1" t="s">
        <v>34</v>
      </c>
      <c r="T267" s="1" t="s">
        <v>109</v>
      </c>
      <c r="U267" s="1" t="s">
        <v>1354</v>
      </c>
      <c r="V267" s="3">
        <v>149.54400000000001</v>
      </c>
      <c r="W267" s="1" t="str">
        <f t="shared" si="24"/>
        <v>Slow Delivery</v>
      </c>
    </row>
    <row r="268" spans="1:23" x14ac:dyDescent="0.25">
      <c r="A268" s="1">
        <v>4722</v>
      </c>
      <c r="B268" s="2" t="s">
        <v>1505</v>
      </c>
      <c r="C268" s="2">
        <v>42162</v>
      </c>
      <c r="D268" s="2">
        <v>42166</v>
      </c>
      <c r="E268" s="1">
        <f t="shared" si="21"/>
        <v>2015</v>
      </c>
      <c r="F268" s="2" t="str">
        <f t="shared" si="22"/>
        <v>Jun</v>
      </c>
      <c r="G268" s="1">
        <f t="shared" si="23"/>
        <v>6</v>
      </c>
      <c r="H268" s="1">
        <f t="shared" si="20"/>
        <v>4</v>
      </c>
      <c r="I268" s="1" t="s">
        <v>83</v>
      </c>
      <c r="J268" s="1" t="s">
        <v>1506</v>
      </c>
      <c r="K268" s="1" t="s">
        <v>1507</v>
      </c>
      <c r="L268" s="1" t="s">
        <v>28</v>
      </c>
      <c r="M268" s="1" t="s">
        <v>29</v>
      </c>
      <c r="N268" s="1" t="s">
        <v>715</v>
      </c>
      <c r="O268" s="1" t="s">
        <v>222</v>
      </c>
      <c r="P268" s="1">
        <v>60505</v>
      </c>
      <c r="Q268" s="1" t="s">
        <v>32</v>
      </c>
      <c r="R268" s="1" t="s">
        <v>1508</v>
      </c>
      <c r="S268" s="1" t="s">
        <v>45</v>
      </c>
      <c r="T268" s="1" t="s">
        <v>329</v>
      </c>
      <c r="U268" s="1" t="s">
        <v>1509</v>
      </c>
      <c r="V268" s="3">
        <v>268.935</v>
      </c>
      <c r="W268" s="1" t="str">
        <f t="shared" si="24"/>
        <v>Slow Delivery</v>
      </c>
    </row>
    <row r="269" spans="1:23" x14ac:dyDescent="0.25">
      <c r="A269" s="1">
        <v>1812</v>
      </c>
      <c r="B269" s="2" t="s">
        <v>1510</v>
      </c>
      <c r="C269" s="2">
        <v>42164</v>
      </c>
      <c r="D269" s="2">
        <v>42166</v>
      </c>
      <c r="E269" s="1">
        <f t="shared" si="21"/>
        <v>2015</v>
      </c>
      <c r="F269" s="2" t="str">
        <f t="shared" si="22"/>
        <v>Jun</v>
      </c>
      <c r="G269" s="1">
        <f t="shared" si="23"/>
        <v>6</v>
      </c>
      <c r="H269" s="1">
        <f t="shared" si="20"/>
        <v>2</v>
      </c>
      <c r="I269" s="1" t="s">
        <v>83</v>
      </c>
      <c r="J269" s="1" t="s">
        <v>1511</v>
      </c>
      <c r="K269" s="1" t="s">
        <v>1512</v>
      </c>
      <c r="L269" s="1" t="s">
        <v>28</v>
      </c>
      <c r="M269" s="1" t="s">
        <v>29</v>
      </c>
      <c r="N269" s="1" t="s">
        <v>1513</v>
      </c>
      <c r="O269" s="1" t="s">
        <v>53</v>
      </c>
      <c r="P269" s="1">
        <v>22801</v>
      </c>
      <c r="Q269" s="1" t="s">
        <v>54</v>
      </c>
      <c r="R269" s="1" t="s">
        <v>1514</v>
      </c>
      <c r="S269" s="1" t="s">
        <v>45</v>
      </c>
      <c r="T269" s="1" t="s">
        <v>329</v>
      </c>
      <c r="U269" s="1" t="s">
        <v>1515</v>
      </c>
      <c r="V269" s="3">
        <v>1441.3</v>
      </c>
      <c r="W269" s="1" t="str">
        <f t="shared" si="24"/>
        <v>Fast Delivery</v>
      </c>
    </row>
    <row r="270" spans="1:23" x14ac:dyDescent="0.25">
      <c r="A270" s="1">
        <v>3791</v>
      </c>
      <c r="B270" s="2" t="s">
        <v>1516</v>
      </c>
      <c r="C270" s="2">
        <v>42190</v>
      </c>
      <c r="D270" s="2">
        <v>42196</v>
      </c>
      <c r="E270" s="1">
        <f t="shared" si="21"/>
        <v>2015</v>
      </c>
      <c r="F270" s="2" t="str">
        <f t="shared" si="22"/>
        <v>Jul</v>
      </c>
      <c r="G270" s="1">
        <f t="shared" si="23"/>
        <v>7</v>
      </c>
      <c r="H270" s="1">
        <f t="shared" si="20"/>
        <v>6</v>
      </c>
      <c r="I270" s="1" t="s">
        <v>25</v>
      </c>
      <c r="J270" s="1" t="s">
        <v>1517</v>
      </c>
      <c r="K270" s="1" t="s">
        <v>1518</v>
      </c>
      <c r="L270" s="1" t="s">
        <v>131</v>
      </c>
      <c r="M270" s="1" t="s">
        <v>29</v>
      </c>
      <c r="N270" s="1" t="s">
        <v>132</v>
      </c>
      <c r="O270" s="1" t="s">
        <v>106</v>
      </c>
      <c r="P270" s="1">
        <v>90004</v>
      </c>
      <c r="Q270" s="1" t="s">
        <v>107</v>
      </c>
      <c r="R270" s="1" t="s">
        <v>1519</v>
      </c>
      <c r="S270" s="1" t="s">
        <v>34</v>
      </c>
      <c r="T270" s="1" t="s">
        <v>109</v>
      </c>
      <c r="U270" s="1" t="s">
        <v>1520</v>
      </c>
      <c r="V270" s="3">
        <v>180.96</v>
      </c>
      <c r="W270" s="1" t="str">
        <f t="shared" si="24"/>
        <v>Slow Delivery</v>
      </c>
    </row>
    <row r="271" spans="1:23" x14ac:dyDescent="0.25">
      <c r="A271" s="1">
        <v>4398</v>
      </c>
      <c r="B271" s="2" t="s">
        <v>1521</v>
      </c>
      <c r="C271" s="2">
        <v>42192</v>
      </c>
      <c r="D271" s="2">
        <v>42196</v>
      </c>
      <c r="E271" s="1">
        <f t="shared" si="21"/>
        <v>2015</v>
      </c>
      <c r="F271" s="2" t="str">
        <f t="shared" si="22"/>
        <v>Jul</v>
      </c>
      <c r="G271" s="1">
        <f t="shared" si="23"/>
        <v>7</v>
      </c>
      <c r="H271" s="1">
        <f t="shared" si="20"/>
        <v>4</v>
      </c>
      <c r="I271" s="1" t="s">
        <v>25</v>
      </c>
      <c r="J271" s="1" t="s">
        <v>1522</v>
      </c>
      <c r="K271" s="1" t="s">
        <v>1523</v>
      </c>
      <c r="L271" s="1" t="s">
        <v>28</v>
      </c>
      <c r="M271" s="1" t="s">
        <v>29</v>
      </c>
      <c r="N271" s="1" t="s">
        <v>410</v>
      </c>
      <c r="O271" s="1" t="s">
        <v>411</v>
      </c>
      <c r="P271" s="1">
        <v>19120</v>
      </c>
      <c r="Q271" s="1" t="s">
        <v>43</v>
      </c>
      <c r="R271" s="1" t="s">
        <v>983</v>
      </c>
      <c r="S271" s="1" t="s">
        <v>45</v>
      </c>
      <c r="T271" s="1" t="s">
        <v>89</v>
      </c>
      <c r="U271" s="1" t="s">
        <v>984</v>
      </c>
      <c r="V271" s="3">
        <v>172.18600000000001</v>
      </c>
      <c r="W271" s="1" t="str">
        <f t="shared" si="24"/>
        <v>Slow Delivery</v>
      </c>
    </row>
    <row r="272" spans="1:23" x14ac:dyDescent="0.25">
      <c r="A272" s="1">
        <v>5358</v>
      </c>
      <c r="B272" s="2" t="s">
        <v>1524</v>
      </c>
      <c r="C272" s="2">
        <v>42221</v>
      </c>
      <c r="D272" s="2">
        <v>42227</v>
      </c>
      <c r="E272" s="1">
        <f t="shared" si="21"/>
        <v>2015</v>
      </c>
      <c r="F272" s="2" t="str">
        <f t="shared" si="22"/>
        <v>Aug</v>
      </c>
      <c r="G272" s="1">
        <f t="shared" si="23"/>
        <v>8</v>
      </c>
      <c r="H272" s="1">
        <f t="shared" si="20"/>
        <v>6</v>
      </c>
      <c r="I272" s="1" t="s">
        <v>25</v>
      </c>
      <c r="J272" s="1" t="s">
        <v>1525</v>
      </c>
      <c r="K272" s="1" t="s">
        <v>1526</v>
      </c>
      <c r="L272" s="1" t="s">
        <v>28</v>
      </c>
      <c r="M272" s="1" t="s">
        <v>29</v>
      </c>
      <c r="N272" s="1" t="s">
        <v>105</v>
      </c>
      <c r="O272" s="1" t="s">
        <v>106</v>
      </c>
      <c r="P272" s="1">
        <v>94122</v>
      </c>
      <c r="Q272" s="1" t="s">
        <v>107</v>
      </c>
      <c r="R272" s="1" t="s">
        <v>1527</v>
      </c>
      <c r="S272" s="1" t="s">
        <v>64</v>
      </c>
      <c r="T272" s="1" t="s">
        <v>65</v>
      </c>
      <c r="U272" s="1" t="s">
        <v>1528</v>
      </c>
      <c r="V272" s="3">
        <v>16.36</v>
      </c>
      <c r="W272" s="1" t="str">
        <f t="shared" si="24"/>
        <v>Slow Delivery</v>
      </c>
    </row>
    <row r="273" spans="1:23" x14ac:dyDescent="0.25">
      <c r="A273" s="1">
        <v>3773</v>
      </c>
      <c r="B273" s="2" t="s">
        <v>1529</v>
      </c>
      <c r="C273" s="2">
        <v>42222</v>
      </c>
      <c r="D273" s="2">
        <v>42227</v>
      </c>
      <c r="E273" s="1">
        <f t="shared" si="21"/>
        <v>2015</v>
      </c>
      <c r="F273" s="2" t="str">
        <f t="shared" si="22"/>
        <v>Aug</v>
      </c>
      <c r="G273" s="1">
        <f t="shared" si="23"/>
        <v>8</v>
      </c>
      <c r="H273" s="1">
        <f t="shared" si="20"/>
        <v>5</v>
      </c>
      <c r="I273" s="1" t="s">
        <v>83</v>
      </c>
      <c r="J273" s="1" t="s">
        <v>1530</v>
      </c>
      <c r="K273" s="1" t="s">
        <v>1531</v>
      </c>
      <c r="L273" s="1" t="s">
        <v>28</v>
      </c>
      <c r="M273" s="1" t="s">
        <v>29</v>
      </c>
      <c r="N273" s="1" t="s">
        <v>86</v>
      </c>
      <c r="O273" s="1" t="s">
        <v>1532</v>
      </c>
      <c r="P273" s="1">
        <v>29203</v>
      </c>
      <c r="Q273" s="1" t="s">
        <v>54</v>
      </c>
      <c r="R273" s="1" t="s">
        <v>765</v>
      </c>
      <c r="S273" s="1" t="s">
        <v>64</v>
      </c>
      <c r="T273" s="1" t="s">
        <v>65</v>
      </c>
      <c r="U273" s="1" t="s">
        <v>766</v>
      </c>
      <c r="V273" s="3">
        <v>62.91</v>
      </c>
      <c r="W273" s="1" t="str">
        <f t="shared" si="24"/>
        <v>Slow Delivery</v>
      </c>
    </row>
    <row r="274" spans="1:23" x14ac:dyDescent="0.25">
      <c r="A274" s="1">
        <v>8544</v>
      </c>
      <c r="B274" s="2" t="s">
        <v>1533</v>
      </c>
      <c r="C274" s="2">
        <v>42222</v>
      </c>
      <c r="D274" s="2">
        <v>42227</v>
      </c>
      <c r="E274" s="1">
        <f t="shared" si="21"/>
        <v>2015</v>
      </c>
      <c r="F274" s="2" t="str">
        <f t="shared" si="22"/>
        <v>Aug</v>
      </c>
      <c r="G274" s="1">
        <f t="shared" si="23"/>
        <v>8</v>
      </c>
      <c r="H274" s="1">
        <f t="shared" si="20"/>
        <v>5</v>
      </c>
      <c r="I274" s="1" t="s">
        <v>25</v>
      </c>
      <c r="J274" s="1" t="s">
        <v>1534</v>
      </c>
      <c r="K274" s="1" t="s">
        <v>1535</v>
      </c>
      <c r="L274" s="1" t="s">
        <v>28</v>
      </c>
      <c r="M274" s="1" t="s">
        <v>29</v>
      </c>
      <c r="N274" s="1" t="s">
        <v>114</v>
      </c>
      <c r="O274" s="1" t="s">
        <v>115</v>
      </c>
      <c r="P274" s="1">
        <v>10035</v>
      </c>
      <c r="Q274" s="1" t="s">
        <v>43</v>
      </c>
      <c r="R274" s="1" t="s">
        <v>1536</v>
      </c>
      <c r="S274" s="1" t="s">
        <v>64</v>
      </c>
      <c r="T274" s="1" t="s">
        <v>65</v>
      </c>
      <c r="U274" s="1" t="s">
        <v>1537</v>
      </c>
      <c r="V274" s="3">
        <v>199.98</v>
      </c>
      <c r="W274" s="1" t="str">
        <f t="shared" si="24"/>
        <v>Slow Delivery</v>
      </c>
    </row>
    <row r="275" spans="1:23" x14ac:dyDescent="0.25">
      <c r="A275" s="1">
        <v>2751</v>
      </c>
      <c r="B275" s="2" t="s">
        <v>1538</v>
      </c>
      <c r="C275" s="2">
        <v>42224</v>
      </c>
      <c r="D275" s="2">
        <v>42227</v>
      </c>
      <c r="E275" s="1">
        <f t="shared" si="21"/>
        <v>2015</v>
      </c>
      <c r="F275" s="2" t="str">
        <f t="shared" si="22"/>
        <v>Aug</v>
      </c>
      <c r="G275" s="1">
        <f t="shared" si="23"/>
        <v>8</v>
      </c>
      <c r="H275" s="1">
        <f t="shared" si="20"/>
        <v>3</v>
      </c>
      <c r="I275" s="1" t="s">
        <v>83</v>
      </c>
      <c r="J275" s="1" t="s">
        <v>1539</v>
      </c>
      <c r="K275" s="1" t="s">
        <v>1540</v>
      </c>
      <c r="L275" s="1" t="s">
        <v>28</v>
      </c>
      <c r="M275" s="1" t="s">
        <v>29</v>
      </c>
      <c r="N275" s="1" t="s">
        <v>1541</v>
      </c>
      <c r="O275" s="1" t="s">
        <v>106</v>
      </c>
      <c r="P275" s="1">
        <v>95687</v>
      </c>
      <c r="Q275" s="1" t="s">
        <v>107</v>
      </c>
      <c r="R275" s="1" t="s">
        <v>1163</v>
      </c>
      <c r="S275" s="1" t="s">
        <v>34</v>
      </c>
      <c r="T275" s="1" t="s">
        <v>270</v>
      </c>
      <c r="U275" s="1" t="s">
        <v>1164</v>
      </c>
      <c r="V275" s="3">
        <v>423.28</v>
      </c>
      <c r="W275" s="1" t="str">
        <f t="shared" si="24"/>
        <v>Fast Delivery</v>
      </c>
    </row>
    <row r="276" spans="1:23" x14ac:dyDescent="0.25">
      <c r="A276" s="1">
        <v>1279</v>
      </c>
      <c r="B276" s="2" t="s">
        <v>1542</v>
      </c>
      <c r="C276" s="2">
        <v>42255</v>
      </c>
      <c r="D276" s="2">
        <v>42258</v>
      </c>
      <c r="E276" s="1">
        <f t="shared" si="21"/>
        <v>2015</v>
      </c>
      <c r="F276" s="2" t="str">
        <f t="shared" si="22"/>
        <v>Sep</v>
      </c>
      <c r="G276" s="1">
        <f t="shared" si="23"/>
        <v>9</v>
      </c>
      <c r="H276" s="1">
        <f t="shared" si="20"/>
        <v>3</v>
      </c>
      <c r="I276" s="1" t="s">
        <v>38</v>
      </c>
      <c r="J276" s="1" t="s">
        <v>1543</v>
      </c>
      <c r="K276" s="1" t="s">
        <v>1544</v>
      </c>
      <c r="L276" s="1" t="s">
        <v>51</v>
      </c>
      <c r="M276" s="1" t="s">
        <v>29</v>
      </c>
      <c r="N276" s="1" t="s">
        <v>1545</v>
      </c>
      <c r="O276" s="1" t="s">
        <v>62</v>
      </c>
      <c r="P276" s="1">
        <v>31204</v>
      </c>
      <c r="Q276" s="1" t="s">
        <v>54</v>
      </c>
      <c r="R276" s="1" t="s">
        <v>1546</v>
      </c>
      <c r="S276" s="1" t="s">
        <v>64</v>
      </c>
      <c r="T276" s="1" t="s">
        <v>65</v>
      </c>
      <c r="U276" s="1" t="s">
        <v>1547</v>
      </c>
      <c r="V276" s="3">
        <v>32.97</v>
      </c>
      <c r="W276" s="1" t="str">
        <f t="shared" si="24"/>
        <v>Fast Delivery</v>
      </c>
    </row>
    <row r="277" spans="1:23" x14ac:dyDescent="0.25">
      <c r="A277" s="1">
        <v>8017</v>
      </c>
      <c r="B277" s="2" t="s">
        <v>1548</v>
      </c>
      <c r="C277" s="2">
        <v>42256</v>
      </c>
      <c r="D277" s="2">
        <v>42258</v>
      </c>
      <c r="E277" s="1">
        <f t="shared" si="21"/>
        <v>2015</v>
      </c>
      <c r="F277" s="2" t="str">
        <f t="shared" si="22"/>
        <v>Sep</v>
      </c>
      <c r="G277" s="1">
        <f t="shared" si="23"/>
        <v>9</v>
      </c>
      <c r="H277" s="1">
        <f t="shared" si="20"/>
        <v>2</v>
      </c>
      <c r="I277" s="1" t="s">
        <v>38</v>
      </c>
      <c r="J277" s="1" t="s">
        <v>1549</v>
      </c>
      <c r="K277" s="1" t="s">
        <v>1550</v>
      </c>
      <c r="L277" s="1" t="s">
        <v>131</v>
      </c>
      <c r="M277" s="1" t="s">
        <v>29</v>
      </c>
      <c r="N277" s="1" t="s">
        <v>1021</v>
      </c>
      <c r="O277" s="1" t="s">
        <v>72</v>
      </c>
      <c r="P277" s="1">
        <v>43130</v>
      </c>
      <c r="Q277" s="1" t="s">
        <v>43</v>
      </c>
      <c r="R277" s="1" t="s">
        <v>1551</v>
      </c>
      <c r="S277" s="1" t="s">
        <v>45</v>
      </c>
      <c r="T277" s="1" t="s">
        <v>46</v>
      </c>
      <c r="U277" s="1" t="s">
        <v>1552</v>
      </c>
      <c r="V277" s="3">
        <v>60.671999999999997</v>
      </c>
      <c r="W277" s="1" t="str">
        <f t="shared" si="24"/>
        <v>Fast Delivery</v>
      </c>
    </row>
    <row r="278" spans="1:23" x14ac:dyDescent="0.25">
      <c r="A278" s="1">
        <v>4309</v>
      </c>
      <c r="B278" s="2" t="s">
        <v>1553</v>
      </c>
      <c r="C278" s="2">
        <v>42312</v>
      </c>
      <c r="D278" s="2">
        <v>42319</v>
      </c>
      <c r="E278" s="1">
        <f t="shared" si="21"/>
        <v>2015</v>
      </c>
      <c r="F278" s="2" t="str">
        <f t="shared" si="22"/>
        <v>Nov</v>
      </c>
      <c r="G278" s="1">
        <f t="shared" si="23"/>
        <v>11</v>
      </c>
      <c r="H278" s="1">
        <f t="shared" si="20"/>
        <v>7</v>
      </c>
      <c r="I278" s="1" t="s">
        <v>25</v>
      </c>
      <c r="J278" s="1" t="s">
        <v>1554</v>
      </c>
      <c r="K278" s="1" t="s">
        <v>1555</v>
      </c>
      <c r="L278" s="1" t="s">
        <v>28</v>
      </c>
      <c r="M278" s="1" t="s">
        <v>29</v>
      </c>
      <c r="N278" s="1" t="s">
        <v>132</v>
      </c>
      <c r="O278" s="1" t="s">
        <v>106</v>
      </c>
      <c r="P278" s="1">
        <v>90045</v>
      </c>
      <c r="Q278" s="1" t="s">
        <v>107</v>
      </c>
      <c r="R278" s="1" t="s">
        <v>1556</v>
      </c>
      <c r="S278" s="1" t="s">
        <v>64</v>
      </c>
      <c r="T278" s="1" t="s">
        <v>159</v>
      </c>
      <c r="U278" s="1" t="s">
        <v>1557</v>
      </c>
      <c r="V278" s="3">
        <v>666.34400000000005</v>
      </c>
      <c r="W278" s="1" t="str">
        <f t="shared" si="24"/>
        <v>Slow Delivery</v>
      </c>
    </row>
    <row r="279" spans="1:23" x14ac:dyDescent="0.25">
      <c r="A279" s="1">
        <v>5654</v>
      </c>
      <c r="B279" s="2" t="s">
        <v>1558</v>
      </c>
      <c r="C279" s="2">
        <v>42312</v>
      </c>
      <c r="D279" s="2">
        <v>42319</v>
      </c>
      <c r="E279" s="1">
        <f t="shared" si="21"/>
        <v>2015</v>
      </c>
      <c r="F279" s="2" t="str">
        <f t="shared" si="22"/>
        <v>Nov</v>
      </c>
      <c r="G279" s="1">
        <f t="shared" si="23"/>
        <v>11</v>
      </c>
      <c r="H279" s="1">
        <f t="shared" si="20"/>
        <v>7</v>
      </c>
      <c r="I279" s="1" t="s">
        <v>25</v>
      </c>
      <c r="J279" s="1" t="s">
        <v>1559</v>
      </c>
      <c r="K279" s="1" t="s">
        <v>1560</v>
      </c>
      <c r="L279" s="1" t="s">
        <v>51</v>
      </c>
      <c r="M279" s="1" t="s">
        <v>29</v>
      </c>
      <c r="N279" s="1" t="s">
        <v>381</v>
      </c>
      <c r="O279" s="1" t="s">
        <v>106</v>
      </c>
      <c r="P279" s="1">
        <v>90805</v>
      </c>
      <c r="Q279" s="1" t="s">
        <v>107</v>
      </c>
      <c r="R279" s="1" t="s">
        <v>1561</v>
      </c>
      <c r="S279" s="1" t="s">
        <v>34</v>
      </c>
      <c r="T279" s="1" t="s">
        <v>35</v>
      </c>
      <c r="U279" s="1" t="s">
        <v>1562</v>
      </c>
      <c r="V279" s="3">
        <v>2.94</v>
      </c>
      <c r="W279" s="1" t="str">
        <f t="shared" si="24"/>
        <v>Slow Delivery</v>
      </c>
    </row>
    <row r="280" spans="1:23" x14ac:dyDescent="0.25">
      <c r="A280" s="1">
        <v>472</v>
      </c>
      <c r="B280" s="2" t="s">
        <v>1563</v>
      </c>
      <c r="C280" s="2">
        <v>42317</v>
      </c>
      <c r="D280" s="2">
        <v>42319</v>
      </c>
      <c r="E280" s="1">
        <f t="shared" si="21"/>
        <v>2015</v>
      </c>
      <c r="F280" s="2" t="str">
        <f t="shared" si="22"/>
        <v>Nov</v>
      </c>
      <c r="G280" s="1">
        <f t="shared" si="23"/>
        <v>11</v>
      </c>
      <c r="H280" s="1">
        <f t="shared" si="20"/>
        <v>2</v>
      </c>
      <c r="I280" s="1" t="s">
        <v>83</v>
      </c>
      <c r="J280" s="1" t="s">
        <v>1564</v>
      </c>
      <c r="K280" s="1" t="s">
        <v>1565</v>
      </c>
      <c r="L280" s="1" t="s">
        <v>28</v>
      </c>
      <c r="M280" s="1" t="s">
        <v>29</v>
      </c>
      <c r="N280" s="1" t="s">
        <v>105</v>
      </c>
      <c r="O280" s="1" t="s">
        <v>106</v>
      </c>
      <c r="P280" s="1">
        <v>94110</v>
      </c>
      <c r="Q280" s="1" t="s">
        <v>107</v>
      </c>
      <c r="R280" s="1" t="s">
        <v>1566</v>
      </c>
      <c r="S280" s="1" t="s">
        <v>34</v>
      </c>
      <c r="T280" s="1" t="s">
        <v>270</v>
      </c>
      <c r="U280" s="1" t="s">
        <v>1567</v>
      </c>
      <c r="V280" s="3">
        <v>340.92</v>
      </c>
      <c r="W280" s="1" t="str">
        <f t="shared" si="24"/>
        <v>Fast Delivery</v>
      </c>
    </row>
    <row r="281" spans="1:23" x14ac:dyDescent="0.25">
      <c r="A281" s="1">
        <v>2984</v>
      </c>
      <c r="B281" s="2" t="s">
        <v>1568</v>
      </c>
      <c r="C281" s="2">
        <v>42344</v>
      </c>
      <c r="D281" s="2">
        <v>42349</v>
      </c>
      <c r="E281" s="1">
        <f t="shared" si="21"/>
        <v>2015</v>
      </c>
      <c r="F281" s="2" t="str">
        <f t="shared" si="22"/>
        <v>Dec</v>
      </c>
      <c r="G281" s="1">
        <f t="shared" si="23"/>
        <v>12</v>
      </c>
      <c r="H281" s="1">
        <f t="shared" si="20"/>
        <v>5</v>
      </c>
      <c r="I281" s="1" t="s">
        <v>83</v>
      </c>
      <c r="J281" s="1" t="s">
        <v>1569</v>
      </c>
      <c r="K281" s="1" t="s">
        <v>1570</v>
      </c>
      <c r="L281" s="1" t="s">
        <v>28</v>
      </c>
      <c r="M281" s="1" t="s">
        <v>29</v>
      </c>
      <c r="N281" s="1" t="s">
        <v>52</v>
      </c>
      <c r="O281" s="1" t="s">
        <v>370</v>
      </c>
      <c r="P281" s="1">
        <v>97477</v>
      </c>
      <c r="Q281" s="1" t="s">
        <v>107</v>
      </c>
      <c r="R281" s="1" t="s">
        <v>1571</v>
      </c>
      <c r="S281" s="1" t="s">
        <v>34</v>
      </c>
      <c r="T281" s="1" t="s">
        <v>270</v>
      </c>
      <c r="U281" s="1" t="s">
        <v>1572</v>
      </c>
      <c r="V281" s="3">
        <v>53.423999999999999</v>
      </c>
      <c r="W281" s="1" t="str">
        <f t="shared" si="24"/>
        <v>Slow Delivery</v>
      </c>
    </row>
    <row r="282" spans="1:23" x14ac:dyDescent="0.25">
      <c r="A282" s="1">
        <v>8138</v>
      </c>
      <c r="B282" s="2" t="s">
        <v>1573</v>
      </c>
      <c r="C282" s="2">
        <v>42317</v>
      </c>
      <c r="D282" s="2">
        <v>42321</v>
      </c>
      <c r="E282" s="1">
        <f t="shared" si="21"/>
        <v>2015</v>
      </c>
      <c r="F282" s="2" t="str">
        <f t="shared" si="22"/>
        <v>Nov</v>
      </c>
      <c r="G282" s="1">
        <f t="shared" si="23"/>
        <v>11</v>
      </c>
      <c r="H282" s="1">
        <f t="shared" si="20"/>
        <v>4</v>
      </c>
      <c r="I282" s="1" t="s">
        <v>25</v>
      </c>
      <c r="J282" s="1" t="s">
        <v>1574</v>
      </c>
      <c r="K282" s="1" t="s">
        <v>1575</v>
      </c>
      <c r="L282" s="1" t="s">
        <v>131</v>
      </c>
      <c r="M282" s="1" t="s">
        <v>29</v>
      </c>
      <c r="N282" s="1" t="s">
        <v>114</v>
      </c>
      <c r="O282" s="1" t="s">
        <v>115</v>
      </c>
      <c r="P282" s="1">
        <v>10035</v>
      </c>
      <c r="Q282" s="1" t="s">
        <v>43</v>
      </c>
      <c r="R282" s="1" t="s">
        <v>1576</v>
      </c>
      <c r="S282" s="1" t="s">
        <v>45</v>
      </c>
      <c r="T282" s="1" t="s">
        <v>46</v>
      </c>
      <c r="U282" s="1" t="s">
        <v>1577</v>
      </c>
      <c r="V282" s="3">
        <v>56.52</v>
      </c>
      <c r="W282" s="1" t="str">
        <f t="shared" si="24"/>
        <v>Slow Delivery</v>
      </c>
    </row>
    <row r="283" spans="1:23" x14ac:dyDescent="0.25">
      <c r="A283" s="1">
        <v>982</v>
      </c>
      <c r="B283" s="2" t="s">
        <v>1578</v>
      </c>
      <c r="C283" s="2">
        <v>42319</v>
      </c>
      <c r="D283" s="2">
        <v>42322</v>
      </c>
      <c r="E283" s="1">
        <f t="shared" si="21"/>
        <v>2015</v>
      </c>
      <c r="F283" s="2" t="str">
        <f t="shared" si="22"/>
        <v>Nov</v>
      </c>
      <c r="G283" s="1">
        <f t="shared" si="23"/>
        <v>11</v>
      </c>
      <c r="H283" s="1">
        <f t="shared" si="20"/>
        <v>3</v>
      </c>
      <c r="I283" s="1" t="s">
        <v>83</v>
      </c>
      <c r="J283" s="1" t="s">
        <v>1579</v>
      </c>
      <c r="K283" s="1" t="s">
        <v>1580</v>
      </c>
      <c r="L283" s="1" t="s">
        <v>28</v>
      </c>
      <c r="M283" s="1" t="s">
        <v>29</v>
      </c>
      <c r="N283" s="1" t="s">
        <v>1581</v>
      </c>
      <c r="O283" s="1" t="s">
        <v>327</v>
      </c>
      <c r="P283" s="1">
        <v>80027</v>
      </c>
      <c r="Q283" s="1" t="s">
        <v>107</v>
      </c>
      <c r="R283" s="1" t="s">
        <v>1582</v>
      </c>
      <c r="S283" s="1" t="s">
        <v>34</v>
      </c>
      <c r="T283" s="1" t="s">
        <v>35</v>
      </c>
      <c r="U283" s="1" t="s">
        <v>1583</v>
      </c>
      <c r="V283" s="3">
        <v>3.3919999999999999</v>
      </c>
      <c r="W283" s="1" t="str">
        <f t="shared" si="24"/>
        <v>Fast Delivery</v>
      </c>
    </row>
    <row r="284" spans="1:23" x14ac:dyDescent="0.25">
      <c r="A284" s="1">
        <v>3325</v>
      </c>
      <c r="B284" s="2" t="s">
        <v>1584</v>
      </c>
      <c r="C284" s="2">
        <v>42319</v>
      </c>
      <c r="D284" s="2">
        <v>42323</v>
      </c>
      <c r="E284" s="1">
        <f t="shared" si="21"/>
        <v>2015</v>
      </c>
      <c r="F284" s="2" t="str">
        <f t="shared" si="22"/>
        <v>Nov</v>
      </c>
      <c r="G284" s="1">
        <f t="shared" si="23"/>
        <v>11</v>
      </c>
      <c r="H284" s="1">
        <f t="shared" si="20"/>
        <v>4</v>
      </c>
      <c r="I284" s="1" t="s">
        <v>25</v>
      </c>
      <c r="J284" s="1" t="s">
        <v>1585</v>
      </c>
      <c r="K284" s="1" t="s">
        <v>1586</v>
      </c>
      <c r="L284" s="1" t="s">
        <v>28</v>
      </c>
      <c r="M284" s="1" t="s">
        <v>29</v>
      </c>
      <c r="N284" s="1" t="s">
        <v>150</v>
      </c>
      <c r="O284" s="1" t="s">
        <v>31</v>
      </c>
      <c r="P284" s="1">
        <v>77095</v>
      </c>
      <c r="Q284" s="1" t="s">
        <v>32</v>
      </c>
      <c r="R284" s="1" t="s">
        <v>739</v>
      </c>
      <c r="S284" s="1" t="s">
        <v>34</v>
      </c>
      <c r="T284" s="1" t="s">
        <v>109</v>
      </c>
      <c r="U284" s="1" t="s">
        <v>740</v>
      </c>
      <c r="V284" s="3">
        <v>896.99</v>
      </c>
      <c r="W284" s="1" t="str">
        <f t="shared" si="24"/>
        <v>Slow Delivery</v>
      </c>
    </row>
    <row r="285" spans="1:23" x14ac:dyDescent="0.25">
      <c r="A285" s="1">
        <v>5955</v>
      </c>
      <c r="B285" s="2" t="s">
        <v>1587</v>
      </c>
      <c r="C285" s="2">
        <v>42319</v>
      </c>
      <c r="D285" s="2">
        <v>42323</v>
      </c>
      <c r="E285" s="1">
        <f t="shared" si="21"/>
        <v>2015</v>
      </c>
      <c r="F285" s="2" t="str">
        <f t="shared" si="22"/>
        <v>Nov</v>
      </c>
      <c r="G285" s="1">
        <f t="shared" si="23"/>
        <v>11</v>
      </c>
      <c r="H285" s="1">
        <f t="shared" si="20"/>
        <v>4</v>
      </c>
      <c r="I285" s="1" t="s">
        <v>83</v>
      </c>
      <c r="J285" s="1" t="s">
        <v>1588</v>
      </c>
      <c r="K285" s="1" t="s">
        <v>1589</v>
      </c>
      <c r="L285" s="1" t="s">
        <v>51</v>
      </c>
      <c r="M285" s="1" t="s">
        <v>29</v>
      </c>
      <c r="N285" s="1" t="s">
        <v>1590</v>
      </c>
      <c r="O285" s="1" t="s">
        <v>411</v>
      </c>
      <c r="P285" s="1">
        <v>19601</v>
      </c>
      <c r="Q285" s="1" t="s">
        <v>43</v>
      </c>
      <c r="R285" s="1" t="s">
        <v>1591</v>
      </c>
      <c r="S285" s="1" t="s">
        <v>45</v>
      </c>
      <c r="T285" s="1" t="s">
        <v>46</v>
      </c>
      <c r="U285" s="1" t="s">
        <v>1592</v>
      </c>
      <c r="V285" s="3">
        <v>23.968</v>
      </c>
      <c r="W285" s="1" t="str">
        <f t="shared" si="24"/>
        <v>Slow Delivery</v>
      </c>
    </row>
    <row r="286" spans="1:23" x14ac:dyDescent="0.25">
      <c r="A286" s="1">
        <v>2413</v>
      </c>
      <c r="B286" s="2" t="s">
        <v>1593</v>
      </c>
      <c r="C286" s="2">
        <v>42320</v>
      </c>
      <c r="D286" s="2">
        <v>42324</v>
      </c>
      <c r="E286" s="1">
        <f t="shared" si="21"/>
        <v>2015</v>
      </c>
      <c r="F286" s="2" t="str">
        <f t="shared" si="22"/>
        <v>Nov</v>
      </c>
      <c r="G286" s="1">
        <f t="shared" si="23"/>
        <v>11</v>
      </c>
      <c r="H286" s="1">
        <f t="shared" si="20"/>
        <v>4</v>
      </c>
      <c r="I286" s="1" t="s">
        <v>25</v>
      </c>
      <c r="J286" s="1" t="s">
        <v>1594</v>
      </c>
      <c r="K286" s="1" t="s">
        <v>1595</v>
      </c>
      <c r="L286" s="1" t="s">
        <v>28</v>
      </c>
      <c r="M286" s="1" t="s">
        <v>29</v>
      </c>
      <c r="N286" s="1" t="s">
        <v>132</v>
      </c>
      <c r="O286" s="1" t="s">
        <v>106</v>
      </c>
      <c r="P286" s="1">
        <v>90045</v>
      </c>
      <c r="Q286" s="1" t="s">
        <v>107</v>
      </c>
      <c r="R286" s="1" t="s">
        <v>1596</v>
      </c>
      <c r="S286" s="1" t="s">
        <v>34</v>
      </c>
      <c r="T286" s="1" t="s">
        <v>174</v>
      </c>
      <c r="U286" s="1" t="s">
        <v>1597</v>
      </c>
      <c r="V286" s="3">
        <v>11.96</v>
      </c>
      <c r="W286" s="1" t="str">
        <f t="shared" si="24"/>
        <v>Slow Delivery</v>
      </c>
    </row>
    <row r="287" spans="1:23" x14ac:dyDescent="0.25">
      <c r="A287" s="1">
        <v>5551</v>
      </c>
      <c r="B287" s="2" t="s">
        <v>1598</v>
      </c>
      <c r="C287" s="2">
        <v>42320</v>
      </c>
      <c r="D287" s="2">
        <v>42324</v>
      </c>
      <c r="E287" s="1">
        <f t="shared" si="21"/>
        <v>2015</v>
      </c>
      <c r="F287" s="2" t="str">
        <f t="shared" si="22"/>
        <v>Nov</v>
      </c>
      <c r="G287" s="1">
        <f t="shared" si="23"/>
        <v>11</v>
      </c>
      <c r="H287" s="1">
        <f t="shared" si="20"/>
        <v>4</v>
      </c>
      <c r="I287" s="1" t="s">
        <v>25</v>
      </c>
      <c r="J287" s="1" t="s">
        <v>1599</v>
      </c>
      <c r="K287" s="1" t="s">
        <v>1600</v>
      </c>
      <c r="L287" s="1" t="s">
        <v>51</v>
      </c>
      <c r="M287" s="1" t="s">
        <v>29</v>
      </c>
      <c r="N287" s="1" t="s">
        <v>150</v>
      </c>
      <c r="O287" s="1" t="s">
        <v>31</v>
      </c>
      <c r="P287" s="1">
        <v>77036</v>
      </c>
      <c r="Q287" s="1" t="s">
        <v>32</v>
      </c>
      <c r="R287" s="1" t="s">
        <v>1601</v>
      </c>
      <c r="S287" s="1" t="s">
        <v>34</v>
      </c>
      <c r="T287" s="1" t="s">
        <v>35</v>
      </c>
      <c r="U287" s="1" t="s">
        <v>1602</v>
      </c>
      <c r="V287" s="3">
        <v>2.6720000000000002</v>
      </c>
      <c r="W287" s="1" t="str">
        <f t="shared" si="24"/>
        <v>Slow Delivery</v>
      </c>
    </row>
    <row r="288" spans="1:23" x14ac:dyDescent="0.25">
      <c r="A288" s="1">
        <v>17</v>
      </c>
      <c r="B288" s="2" t="s">
        <v>1603</v>
      </c>
      <c r="C288" s="2">
        <v>42319</v>
      </c>
      <c r="D288" s="2">
        <v>42326</v>
      </c>
      <c r="E288" s="1">
        <f t="shared" si="21"/>
        <v>2015</v>
      </c>
      <c r="F288" s="2" t="str">
        <f t="shared" si="22"/>
        <v>Nov</v>
      </c>
      <c r="G288" s="1">
        <f t="shared" si="23"/>
        <v>11</v>
      </c>
      <c r="H288" s="1">
        <f t="shared" si="20"/>
        <v>7</v>
      </c>
      <c r="I288" s="1" t="s">
        <v>25</v>
      </c>
      <c r="J288" s="1" t="s">
        <v>1604</v>
      </c>
      <c r="K288" s="1" t="s">
        <v>1605</v>
      </c>
      <c r="L288" s="1" t="s">
        <v>28</v>
      </c>
      <c r="M288" s="1" t="s">
        <v>29</v>
      </c>
      <c r="N288" s="1" t="s">
        <v>138</v>
      </c>
      <c r="O288" s="1" t="s">
        <v>101</v>
      </c>
      <c r="P288" s="1">
        <v>53711</v>
      </c>
      <c r="Q288" s="1" t="s">
        <v>32</v>
      </c>
      <c r="R288" s="1" t="s">
        <v>1606</v>
      </c>
      <c r="S288" s="1" t="s">
        <v>34</v>
      </c>
      <c r="T288" s="1" t="s">
        <v>270</v>
      </c>
      <c r="U288" s="1" t="s">
        <v>1607</v>
      </c>
      <c r="V288" s="3">
        <v>665.88</v>
      </c>
      <c r="W288" s="1" t="str">
        <f t="shared" si="24"/>
        <v>Slow Delivery</v>
      </c>
    </row>
    <row r="289" spans="1:23" x14ac:dyDescent="0.25">
      <c r="A289" s="1">
        <v>5779</v>
      </c>
      <c r="B289" s="2" t="s">
        <v>1608</v>
      </c>
      <c r="C289" s="2">
        <v>42319</v>
      </c>
      <c r="D289" s="2">
        <v>42326</v>
      </c>
      <c r="E289" s="1">
        <f t="shared" si="21"/>
        <v>2015</v>
      </c>
      <c r="F289" s="2" t="str">
        <f t="shared" si="22"/>
        <v>Nov</v>
      </c>
      <c r="G289" s="1">
        <f t="shared" si="23"/>
        <v>11</v>
      </c>
      <c r="H289" s="1">
        <f t="shared" si="20"/>
        <v>7</v>
      </c>
      <c r="I289" s="1" t="s">
        <v>25</v>
      </c>
      <c r="J289" s="1" t="s">
        <v>1609</v>
      </c>
      <c r="K289" s="1" t="s">
        <v>1610</v>
      </c>
      <c r="L289" s="1" t="s">
        <v>28</v>
      </c>
      <c r="M289" s="1" t="s">
        <v>29</v>
      </c>
      <c r="N289" s="1" t="s">
        <v>132</v>
      </c>
      <c r="O289" s="1" t="s">
        <v>106</v>
      </c>
      <c r="P289" s="1">
        <v>90008</v>
      </c>
      <c r="Q289" s="1" t="s">
        <v>107</v>
      </c>
      <c r="R289" s="1" t="s">
        <v>1611</v>
      </c>
      <c r="S289" s="1" t="s">
        <v>34</v>
      </c>
      <c r="T289" s="1" t="s">
        <v>35</v>
      </c>
      <c r="U289" s="1" t="s">
        <v>1612</v>
      </c>
      <c r="V289" s="3">
        <v>30.48</v>
      </c>
      <c r="W289" s="1" t="str">
        <f t="shared" si="24"/>
        <v>Slow Delivery</v>
      </c>
    </row>
    <row r="290" spans="1:23" x14ac:dyDescent="0.25">
      <c r="A290" s="1">
        <v>3602</v>
      </c>
      <c r="B290" s="2" t="s">
        <v>1613</v>
      </c>
      <c r="C290" s="2">
        <v>42325</v>
      </c>
      <c r="D290" s="2">
        <v>42332</v>
      </c>
      <c r="E290" s="1">
        <f t="shared" si="21"/>
        <v>2015</v>
      </c>
      <c r="F290" s="2" t="str">
        <f t="shared" si="22"/>
        <v>Nov</v>
      </c>
      <c r="G290" s="1">
        <f t="shared" si="23"/>
        <v>11</v>
      </c>
      <c r="H290" s="1">
        <f t="shared" si="20"/>
        <v>7</v>
      </c>
      <c r="I290" s="1" t="s">
        <v>25</v>
      </c>
      <c r="J290" s="1" t="s">
        <v>1614</v>
      </c>
      <c r="K290" s="1" t="s">
        <v>1615</v>
      </c>
      <c r="L290" s="1" t="s">
        <v>28</v>
      </c>
      <c r="M290" s="1" t="s">
        <v>29</v>
      </c>
      <c r="N290" s="1" t="s">
        <v>410</v>
      </c>
      <c r="O290" s="1" t="s">
        <v>411</v>
      </c>
      <c r="P290" s="1">
        <v>19143</v>
      </c>
      <c r="Q290" s="1" t="s">
        <v>43</v>
      </c>
      <c r="R290" s="1" t="s">
        <v>179</v>
      </c>
      <c r="S290" s="1" t="s">
        <v>34</v>
      </c>
      <c r="T290" s="1" t="s">
        <v>174</v>
      </c>
      <c r="U290" s="1" t="s">
        <v>180</v>
      </c>
      <c r="V290" s="3">
        <v>12.448</v>
      </c>
      <c r="W290" s="1" t="str">
        <f t="shared" si="24"/>
        <v>Slow Delivery</v>
      </c>
    </row>
    <row r="291" spans="1:23" x14ac:dyDescent="0.25">
      <c r="A291" s="1">
        <v>5392</v>
      </c>
      <c r="B291" s="2" t="s">
        <v>1616</v>
      </c>
      <c r="C291" s="2">
        <v>42327</v>
      </c>
      <c r="D291" s="2">
        <v>42333</v>
      </c>
      <c r="E291" s="1">
        <f t="shared" si="21"/>
        <v>2015</v>
      </c>
      <c r="F291" s="2" t="str">
        <f t="shared" si="22"/>
        <v>Nov</v>
      </c>
      <c r="G291" s="1">
        <f t="shared" si="23"/>
        <v>11</v>
      </c>
      <c r="H291" s="1">
        <f t="shared" si="20"/>
        <v>6</v>
      </c>
      <c r="I291" s="1" t="s">
        <v>25</v>
      </c>
      <c r="J291" s="1" t="s">
        <v>1617</v>
      </c>
      <c r="K291" s="1" t="s">
        <v>1618</v>
      </c>
      <c r="L291" s="1" t="s">
        <v>51</v>
      </c>
      <c r="M291" s="1" t="s">
        <v>29</v>
      </c>
      <c r="N291" s="1" t="s">
        <v>653</v>
      </c>
      <c r="O291" s="1" t="s">
        <v>42</v>
      </c>
      <c r="P291" s="1">
        <v>19805</v>
      </c>
      <c r="Q291" s="1" t="s">
        <v>43</v>
      </c>
      <c r="R291" s="1" t="s">
        <v>1113</v>
      </c>
      <c r="S291" s="1" t="s">
        <v>34</v>
      </c>
      <c r="T291" s="1" t="s">
        <v>56</v>
      </c>
      <c r="U291" s="1" t="s">
        <v>1114</v>
      </c>
      <c r="V291" s="3">
        <v>22.5</v>
      </c>
      <c r="W291" s="1" t="str">
        <f t="shared" si="24"/>
        <v>Slow Delivery</v>
      </c>
    </row>
    <row r="292" spans="1:23" x14ac:dyDescent="0.25">
      <c r="A292" s="1">
        <v>1760</v>
      </c>
      <c r="B292" s="2" t="s">
        <v>1619</v>
      </c>
      <c r="C292" s="2">
        <v>42009</v>
      </c>
      <c r="D292" s="2">
        <v>42016</v>
      </c>
      <c r="E292" s="1">
        <f t="shared" si="21"/>
        <v>2015</v>
      </c>
      <c r="F292" s="2" t="str">
        <f t="shared" si="22"/>
        <v>Jan</v>
      </c>
      <c r="G292" s="1">
        <f t="shared" si="23"/>
        <v>1</v>
      </c>
      <c r="H292" s="1">
        <f t="shared" si="20"/>
        <v>7</v>
      </c>
      <c r="I292" s="1" t="s">
        <v>25</v>
      </c>
      <c r="J292" s="1" t="s">
        <v>1620</v>
      </c>
      <c r="K292" s="1" t="s">
        <v>1621</v>
      </c>
      <c r="L292" s="1" t="s">
        <v>28</v>
      </c>
      <c r="M292" s="1" t="s">
        <v>29</v>
      </c>
      <c r="N292" s="1" t="s">
        <v>410</v>
      </c>
      <c r="O292" s="1" t="s">
        <v>411</v>
      </c>
      <c r="P292" s="1">
        <v>19143</v>
      </c>
      <c r="Q292" s="1" t="s">
        <v>43</v>
      </c>
      <c r="R292" s="1" t="s">
        <v>1622</v>
      </c>
      <c r="S292" s="1" t="s">
        <v>34</v>
      </c>
      <c r="T292" s="1" t="s">
        <v>35</v>
      </c>
      <c r="U292" s="1" t="s">
        <v>1623</v>
      </c>
      <c r="V292" s="3">
        <v>19.536000000000001</v>
      </c>
      <c r="W292" s="1" t="str">
        <f t="shared" si="24"/>
        <v>Slow Delivery</v>
      </c>
    </row>
    <row r="293" spans="1:23" x14ac:dyDescent="0.25">
      <c r="A293" s="1">
        <v>7661</v>
      </c>
      <c r="B293" s="2" t="s">
        <v>1624</v>
      </c>
      <c r="C293" s="2">
        <v>42011</v>
      </c>
      <c r="D293" s="2">
        <v>42016</v>
      </c>
      <c r="E293" s="1">
        <f t="shared" si="21"/>
        <v>2015</v>
      </c>
      <c r="F293" s="2" t="str">
        <f t="shared" si="22"/>
        <v>Jan</v>
      </c>
      <c r="G293" s="1">
        <f t="shared" si="23"/>
        <v>1</v>
      </c>
      <c r="H293" s="1">
        <f t="shared" si="20"/>
        <v>5</v>
      </c>
      <c r="I293" s="1" t="s">
        <v>25</v>
      </c>
      <c r="J293" s="1" t="s">
        <v>1625</v>
      </c>
      <c r="K293" s="1" t="s">
        <v>1626</v>
      </c>
      <c r="L293" s="1" t="s">
        <v>28</v>
      </c>
      <c r="M293" s="1" t="s">
        <v>29</v>
      </c>
      <c r="N293" s="1" t="s">
        <v>459</v>
      </c>
      <c r="O293" s="1" t="s">
        <v>31</v>
      </c>
      <c r="P293" s="1">
        <v>77340</v>
      </c>
      <c r="Q293" s="1" t="s">
        <v>32</v>
      </c>
      <c r="R293" s="1" t="s">
        <v>1627</v>
      </c>
      <c r="S293" s="1" t="s">
        <v>45</v>
      </c>
      <c r="T293" s="1" t="s">
        <v>46</v>
      </c>
      <c r="U293" s="1" t="s">
        <v>1628</v>
      </c>
      <c r="V293" s="3">
        <v>76.727999999999994</v>
      </c>
      <c r="W293" s="1" t="str">
        <f t="shared" si="24"/>
        <v>Slow Delivery</v>
      </c>
    </row>
    <row r="294" spans="1:23" x14ac:dyDescent="0.25">
      <c r="A294" s="1">
        <v>850</v>
      </c>
      <c r="B294" s="2" t="s">
        <v>1629</v>
      </c>
      <c r="C294" s="2">
        <v>42042</v>
      </c>
      <c r="D294" s="2">
        <v>42047</v>
      </c>
      <c r="E294" s="1">
        <f t="shared" si="21"/>
        <v>2015</v>
      </c>
      <c r="F294" s="2" t="str">
        <f t="shared" si="22"/>
        <v>Feb</v>
      </c>
      <c r="G294" s="1">
        <f t="shared" si="23"/>
        <v>2</v>
      </c>
      <c r="H294" s="1">
        <f t="shared" si="20"/>
        <v>5</v>
      </c>
      <c r="I294" s="1" t="s">
        <v>25</v>
      </c>
      <c r="J294" s="1" t="s">
        <v>1630</v>
      </c>
      <c r="K294" s="1" t="s">
        <v>1631</v>
      </c>
      <c r="L294" s="1" t="s">
        <v>51</v>
      </c>
      <c r="M294" s="1" t="s">
        <v>29</v>
      </c>
      <c r="N294" s="1" t="s">
        <v>1632</v>
      </c>
      <c r="O294" s="1" t="s">
        <v>388</v>
      </c>
      <c r="P294" s="1">
        <v>7036</v>
      </c>
      <c r="Q294" s="1" t="s">
        <v>43</v>
      </c>
      <c r="R294" s="1" t="s">
        <v>1633</v>
      </c>
      <c r="S294" s="1" t="s">
        <v>64</v>
      </c>
      <c r="T294" s="1" t="s">
        <v>65</v>
      </c>
      <c r="U294" s="1" t="s">
        <v>1634</v>
      </c>
      <c r="V294" s="3">
        <v>115.36</v>
      </c>
      <c r="W294" s="1" t="str">
        <f t="shared" si="24"/>
        <v>Slow Delivery</v>
      </c>
    </row>
    <row r="295" spans="1:23" x14ac:dyDescent="0.25">
      <c r="A295" s="1">
        <v>9641</v>
      </c>
      <c r="B295" s="2" t="s">
        <v>1635</v>
      </c>
      <c r="C295" s="2">
        <v>42070</v>
      </c>
      <c r="D295" s="2">
        <v>42075</v>
      </c>
      <c r="E295" s="1">
        <f t="shared" si="21"/>
        <v>2015</v>
      </c>
      <c r="F295" s="2" t="str">
        <f t="shared" si="22"/>
        <v>Mar</v>
      </c>
      <c r="G295" s="1">
        <f t="shared" si="23"/>
        <v>3</v>
      </c>
      <c r="H295" s="1">
        <f t="shared" si="20"/>
        <v>5</v>
      </c>
      <c r="I295" s="1" t="s">
        <v>25</v>
      </c>
      <c r="J295" s="1" t="s">
        <v>1636</v>
      </c>
      <c r="K295" s="1" t="s">
        <v>1637</v>
      </c>
      <c r="L295" s="1" t="s">
        <v>51</v>
      </c>
      <c r="M295" s="1" t="s">
        <v>29</v>
      </c>
      <c r="N295" s="1" t="s">
        <v>488</v>
      </c>
      <c r="O295" s="1" t="s">
        <v>424</v>
      </c>
      <c r="P295" s="1">
        <v>98103</v>
      </c>
      <c r="Q295" s="1" t="s">
        <v>107</v>
      </c>
      <c r="R295" s="1" t="s">
        <v>1638</v>
      </c>
      <c r="S295" s="1" t="s">
        <v>34</v>
      </c>
      <c r="T295" s="1" t="s">
        <v>35</v>
      </c>
      <c r="U295" s="1" t="s">
        <v>1639</v>
      </c>
      <c r="V295" s="3">
        <v>20.65</v>
      </c>
      <c r="W295" s="1" t="str">
        <f t="shared" si="24"/>
        <v>Slow Delivery</v>
      </c>
    </row>
    <row r="296" spans="1:23" x14ac:dyDescent="0.25">
      <c r="A296" s="1">
        <v>5036</v>
      </c>
      <c r="B296" s="2" t="s">
        <v>1640</v>
      </c>
      <c r="C296" s="2">
        <v>42100</v>
      </c>
      <c r="D296" s="2">
        <v>42106</v>
      </c>
      <c r="E296" s="1">
        <f t="shared" si="21"/>
        <v>2015</v>
      </c>
      <c r="F296" s="2" t="str">
        <f t="shared" si="22"/>
        <v>Apr</v>
      </c>
      <c r="G296" s="1">
        <f t="shared" si="23"/>
        <v>4</v>
      </c>
      <c r="H296" s="1">
        <f t="shared" si="20"/>
        <v>6</v>
      </c>
      <c r="I296" s="1" t="s">
        <v>25</v>
      </c>
      <c r="J296" s="1" t="s">
        <v>1641</v>
      </c>
      <c r="K296" s="1" t="s">
        <v>1642</v>
      </c>
      <c r="L296" s="1" t="s">
        <v>51</v>
      </c>
      <c r="M296" s="1" t="s">
        <v>29</v>
      </c>
      <c r="N296" s="1" t="s">
        <v>488</v>
      </c>
      <c r="O296" s="1" t="s">
        <v>424</v>
      </c>
      <c r="P296" s="1">
        <v>98115</v>
      </c>
      <c r="Q296" s="1" t="s">
        <v>107</v>
      </c>
      <c r="R296" s="1" t="s">
        <v>1643</v>
      </c>
      <c r="S296" s="1" t="s">
        <v>45</v>
      </c>
      <c r="T296" s="1" t="s">
        <v>329</v>
      </c>
      <c r="U296" s="1" t="s">
        <v>1644</v>
      </c>
      <c r="V296" s="3">
        <v>653.54999999999995</v>
      </c>
      <c r="W296" s="1" t="str">
        <f t="shared" si="24"/>
        <v>Slow Delivery</v>
      </c>
    </row>
    <row r="297" spans="1:23" x14ac:dyDescent="0.25">
      <c r="A297" s="1">
        <v>6016</v>
      </c>
      <c r="B297" s="2" t="s">
        <v>1645</v>
      </c>
      <c r="C297" s="2">
        <v>42100</v>
      </c>
      <c r="D297" s="2">
        <v>42106</v>
      </c>
      <c r="E297" s="1">
        <f t="shared" si="21"/>
        <v>2015</v>
      </c>
      <c r="F297" s="2" t="str">
        <f t="shared" si="22"/>
        <v>Apr</v>
      </c>
      <c r="G297" s="1">
        <f t="shared" si="23"/>
        <v>4</v>
      </c>
      <c r="H297" s="1">
        <f t="shared" si="20"/>
        <v>6</v>
      </c>
      <c r="I297" s="1" t="s">
        <v>25</v>
      </c>
      <c r="J297" s="1" t="s">
        <v>1646</v>
      </c>
      <c r="K297" s="1" t="s">
        <v>1647</v>
      </c>
      <c r="L297" s="1" t="s">
        <v>51</v>
      </c>
      <c r="M297" s="1" t="s">
        <v>29</v>
      </c>
      <c r="N297" s="1" t="s">
        <v>132</v>
      </c>
      <c r="O297" s="1" t="s">
        <v>106</v>
      </c>
      <c r="P297" s="1">
        <v>90049</v>
      </c>
      <c r="Q297" s="1" t="s">
        <v>107</v>
      </c>
      <c r="R297" s="1" t="s">
        <v>1648</v>
      </c>
      <c r="S297" s="1" t="s">
        <v>45</v>
      </c>
      <c r="T297" s="1" t="s">
        <v>46</v>
      </c>
      <c r="U297" s="1" t="s">
        <v>1649</v>
      </c>
      <c r="V297" s="3">
        <v>91.96</v>
      </c>
      <c r="W297" s="1" t="str">
        <f t="shared" si="24"/>
        <v>Slow Delivery</v>
      </c>
    </row>
    <row r="298" spans="1:23" x14ac:dyDescent="0.25">
      <c r="A298" s="1">
        <v>5927</v>
      </c>
      <c r="B298" s="2" t="s">
        <v>1650</v>
      </c>
      <c r="C298" s="2">
        <v>42102</v>
      </c>
      <c r="D298" s="2">
        <v>42106</v>
      </c>
      <c r="E298" s="1">
        <f t="shared" si="21"/>
        <v>2015</v>
      </c>
      <c r="F298" s="2" t="str">
        <f t="shared" si="22"/>
        <v>Apr</v>
      </c>
      <c r="G298" s="1">
        <f t="shared" si="23"/>
        <v>4</v>
      </c>
      <c r="H298" s="1">
        <f t="shared" si="20"/>
        <v>4</v>
      </c>
      <c r="I298" s="1" t="s">
        <v>25</v>
      </c>
      <c r="J298" s="1" t="s">
        <v>1651</v>
      </c>
      <c r="K298" s="1" t="s">
        <v>1652</v>
      </c>
      <c r="L298" s="1" t="s">
        <v>51</v>
      </c>
      <c r="M298" s="1" t="s">
        <v>29</v>
      </c>
      <c r="N298" s="1" t="s">
        <v>669</v>
      </c>
      <c r="O298" s="1" t="s">
        <v>1326</v>
      </c>
      <c r="P298" s="1">
        <v>35601</v>
      </c>
      <c r="Q298" s="1" t="s">
        <v>54</v>
      </c>
      <c r="R298" s="1" t="s">
        <v>1653</v>
      </c>
      <c r="S298" s="1" t="s">
        <v>45</v>
      </c>
      <c r="T298" s="1" t="s">
        <v>329</v>
      </c>
      <c r="U298" s="1" t="s">
        <v>1654</v>
      </c>
      <c r="V298" s="3">
        <v>1215.92</v>
      </c>
      <c r="W298" s="1" t="str">
        <f t="shared" si="24"/>
        <v>Slow Delivery</v>
      </c>
    </row>
    <row r="299" spans="1:23" x14ac:dyDescent="0.25">
      <c r="A299" s="1">
        <v>7410</v>
      </c>
      <c r="B299" s="2" t="s">
        <v>1655</v>
      </c>
      <c r="C299" s="2">
        <v>42102</v>
      </c>
      <c r="D299" s="2">
        <v>42106</v>
      </c>
      <c r="E299" s="1">
        <f t="shared" si="21"/>
        <v>2015</v>
      </c>
      <c r="F299" s="2" t="str">
        <f t="shared" si="22"/>
        <v>Apr</v>
      </c>
      <c r="G299" s="1">
        <f t="shared" si="23"/>
        <v>4</v>
      </c>
      <c r="H299" s="1">
        <f t="shared" si="20"/>
        <v>4</v>
      </c>
      <c r="I299" s="1" t="s">
        <v>25</v>
      </c>
      <c r="J299" s="1" t="s">
        <v>1656</v>
      </c>
      <c r="K299" s="1" t="s">
        <v>1657</v>
      </c>
      <c r="L299" s="1" t="s">
        <v>28</v>
      </c>
      <c r="M299" s="1" t="s">
        <v>29</v>
      </c>
      <c r="N299" s="1" t="s">
        <v>1658</v>
      </c>
      <c r="O299" s="1" t="s">
        <v>72</v>
      </c>
      <c r="P299" s="1">
        <v>43615</v>
      </c>
      <c r="Q299" s="1" t="s">
        <v>43</v>
      </c>
      <c r="R299" s="1" t="s">
        <v>1659</v>
      </c>
      <c r="S299" s="1" t="s">
        <v>45</v>
      </c>
      <c r="T299" s="1" t="s">
        <v>329</v>
      </c>
      <c r="U299" s="1" t="s">
        <v>1660</v>
      </c>
      <c r="V299" s="3">
        <v>172.11</v>
      </c>
      <c r="W299" s="1" t="str">
        <f t="shared" si="24"/>
        <v>Slow Delivery</v>
      </c>
    </row>
    <row r="300" spans="1:23" x14ac:dyDescent="0.25">
      <c r="A300" s="1">
        <v>6563</v>
      </c>
      <c r="B300" s="2" t="s">
        <v>1661</v>
      </c>
      <c r="C300" s="2">
        <v>42131</v>
      </c>
      <c r="D300" s="2">
        <v>42136</v>
      </c>
      <c r="E300" s="1">
        <f t="shared" si="21"/>
        <v>2015</v>
      </c>
      <c r="F300" s="2" t="str">
        <f t="shared" si="22"/>
        <v>May</v>
      </c>
      <c r="G300" s="1">
        <f t="shared" si="23"/>
        <v>5</v>
      </c>
      <c r="H300" s="1">
        <f t="shared" si="20"/>
        <v>5</v>
      </c>
      <c r="I300" s="1" t="s">
        <v>25</v>
      </c>
      <c r="J300" s="1" t="s">
        <v>1662</v>
      </c>
      <c r="K300" s="1" t="s">
        <v>1663</v>
      </c>
      <c r="L300" s="1" t="s">
        <v>28</v>
      </c>
      <c r="M300" s="1" t="s">
        <v>29</v>
      </c>
      <c r="N300" s="1" t="s">
        <v>1664</v>
      </c>
      <c r="O300" s="1" t="s">
        <v>157</v>
      </c>
      <c r="P300" s="1">
        <v>1841</v>
      </c>
      <c r="Q300" s="1" t="s">
        <v>43</v>
      </c>
      <c r="R300" s="1" t="s">
        <v>1665</v>
      </c>
      <c r="S300" s="1" t="s">
        <v>34</v>
      </c>
      <c r="T300" s="1" t="s">
        <v>109</v>
      </c>
      <c r="U300" s="1" t="s">
        <v>1666</v>
      </c>
      <c r="V300" s="3">
        <v>16.14</v>
      </c>
      <c r="W300" s="1" t="str">
        <f t="shared" si="24"/>
        <v>Slow Delivery</v>
      </c>
    </row>
    <row r="301" spans="1:23" x14ac:dyDescent="0.25">
      <c r="A301" s="1">
        <v>6301</v>
      </c>
      <c r="B301" s="2" t="s">
        <v>1667</v>
      </c>
      <c r="C301" s="2">
        <v>42161</v>
      </c>
      <c r="D301" s="2">
        <v>42167</v>
      </c>
      <c r="E301" s="1">
        <f t="shared" si="21"/>
        <v>2015</v>
      </c>
      <c r="F301" s="2" t="str">
        <f t="shared" si="22"/>
        <v>Jun</v>
      </c>
      <c r="G301" s="1">
        <f t="shared" si="23"/>
        <v>6</v>
      </c>
      <c r="H301" s="1">
        <f t="shared" si="20"/>
        <v>6</v>
      </c>
      <c r="I301" s="1" t="s">
        <v>25</v>
      </c>
      <c r="J301" s="1" t="s">
        <v>1668</v>
      </c>
      <c r="K301" s="1" t="s">
        <v>1669</v>
      </c>
      <c r="L301" s="1" t="s">
        <v>28</v>
      </c>
      <c r="M301" s="1" t="s">
        <v>29</v>
      </c>
      <c r="N301" s="1" t="s">
        <v>221</v>
      </c>
      <c r="O301" s="1" t="s">
        <v>222</v>
      </c>
      <c r="P301" s="1">
        <v>60623</v>
      </c>
      <c r="Q301" s="1" t="s">
        <v>32</v>
      </c>
      <c r="R301" s="1" t="s">
        <v>1670</v>
      </c>
      <c r="S301" s="1" t="s">
        <v>34</v>
      </c>
      <c r="T301" s="1" t="s">
        <v>109</v>
      </c>
      <c r="U301" s="1" t="s">
        <v>1671</v>
      </c>
      <c r="V301" s="3">
        <v>24.588000000000001</v>
      </c>
      <c r="W301" s="1" t="str">
        <f t="shared" si="24"/>
        <v>Slow Delivery</v>
      </c>
    </row>
    <row r="302" spans="1:23" x14ac:dyDescent="0.25">
      <c r="A302" s="1">
        <v>3885</v>
      </c>
      <c r="B302" s="2" t="s">
        <v>1672</v>
      </c>
      <c r="C302" s="2">
        <v>42190</v>
      </c>
      <c r="D302" s="2">
        <v>42197</v>
      </c>
      <c r="E302" s="1">
        <f t="shared" si="21"/>
        <v>2015</v>
      </c>
      <c r="F302" s="2" t="str">
        <f t="shared" si="22"/>
        <v>Jul</v>
      </c>
      <c r="G302" s="1">
        <f t="shared" si="23"/>
        <v>7</v>
      </c>
      <c r="H302" s="1">
        <f t="shared" si="20"/>
        <v>7</v>
      </c>
      <c r="I302" s="1" t="s">
        <v>25</v>
      </c>
      <c r="J302" s="1" t="s">
        <v>1673</v>
      </c>
      <c r="K302" s="1" t="s">
        <v>1674</v>
      </c>
      <c r="L302" s="1" t="s">
        <v>51</v>
      </c>
      <c r="M302" s="1" t="s">
        <v>29</v>
      </c>
      <c r="N302" s="1" t="s">
        <v>1675</v>
      </c>
      <c r="O302" s="1" t="s">
        <v>1028</v>
      </c>
      <c r="P302" s="1">
        <v>37918</v>
      </c>
      <c r="Q302" s="1" t="s">
        <v>54</v>
      </c>
      <c r="R302" s="1" t="s">
        <v>1676</v>
      </c>
      <c r="S302" s="1" t="s">
        <v>34</v>
      </c>
      <c r="T302" s="1" t="s">
        <v>35</v>
      </c>
      <c r="U302" s="1" t="s">
        <v>1677</v>
      </c>
      <c r="V302" s="3">
        <v>4.3680000000000003</v>
      </c>
      <c r="W302" s="1" t="str">
        <f t="shared" si="24"/>
        <v>Slow Delivery</v>
      </c>
    </row>
    <row r="303" spans="1:23" x14ac:dyDescent="0.25">
      <c r="A303" s="1">
        <v>6846</v>
      </c>
      <c r="B303" s="2" t="s">
        <v>1678</v>
      </c>
      <c r="C303" s="2">
        <v>42191</v>
      </c>
      <c r="D303" s="2">
        <v>42197</v>
      </c>
      <c r="E303" s="1">
        <f t="shared" si="21"/>
        <v>2015</v>
      </c>
      <c r="F303" s="2" t="str">
        <f t="shared" si="22"/>
        <v>Jul</v>
      </c>
      <c r="G303" s="1">
        <f t="shared" si="23"/>
        <v>7</v>
      </c>
      <c r="H303" s="1">
        <f t="shared" si="20"/>
        <v>6</v>
      </c>
      <c r="I303" s="1" t="s">
        <v>25</v>
      </c>
      <c r="J303" s="1" t="s">
        <v>1679</v>
      </c>
      <c r="K303" s="1" t="s">
        <v>1680</v>
      </c>
      <c r="L303" s="1" t="s">
        <v>131</v>
      </c>
      <c r="M303" s="1" t="s">
        <v>29</v>
      </c>
      <c r="N303" s="1" t="s">
        <v>1681</v>
      </c>
      <c r="O303" s="1" t="s">
        <v>106</v>
      </c>
      <c r="P303" s="1">
        <v>92020</v>
      </c>
      <c r="Q303" s="1" t="s">
        <v>107</v>
      </c>
      <c r="R303" s="1" t="s">
        <v>1682</v>
      </c>
      <c r="S303" s="1" t="s">
        <v>45</v>
      </c>
      <c r="T303" s="1" t="s">
        <v>89</v>
      </c>
      <c r="U303" s="1" t="s">
        <v>1683</v>
      </c>
      <c r="V303" s="3">
        <v>478.48</v>
      </c>
      <c r="W303" s="1" t="str">
        <f t="shared" si="24"/>
        <v>Slow Delivery</v>
      </c>
    </row>
    <row r="304" spans="1:23" x14ac:dyDescent="0.25">
      <c r="A304" s="1">
        <v>6288</v>
      </c>
      <c r="B304" s="2" t="s">
        <v>1684</v>
      </c>
      <c r="C304" s="2">
        <v>42193</v>
      </c>
      <c r="D304" s="2">
        <v>42197</v>
      </c>
      <c r="E304" s="1">
        <f t="shared" si="21"/>
        <v>2015</v>
      </c>
      <c r="F304" s="2" t="str">
        <f t="shared" si="22"/>
        <v>Jul</v>
      </c>
      <c r="G304" s="1">
        <f t="shared" si="23"/>
        <v>7</v>
      </c>
      <c r="H304" s="1">
        <f t="shared" si="20"/>
        <v>4</v>
      </c>
      <c r="I304" s="1" t="s">
        <v>25</v>
      </c>
      <c r="J304" s="1" t="s">
        <v>1685</v>
      </c>
      <c r="K304" s="1" t="s">
        <v>1686</v>
      </c>
      <c r="L304" s="1" t="s">
        <v>51</v>
      </c>
      <c r="M304" s="1" t="s">
        <v>29</v>
      </c>
      <c r="N304" s="1" t="s">
        <v>105</v>
      </c>
      <c r="O304" s="1" t="s">
        <v>106</v>
      </c>
      <c r="P304" s="1">
        <v>94122</v>
      </c>
      <c r="Q304" s="1" t="s">
        <v>107</v>
      </c>
      <c r="R304" s="1" t="s">
        <v>1687</v>
      </c>
      <c r="S304" s="1" t="s">
        <v>45</v>
      </c>
      <c r="T304" s="1" t="s">
        <v>329</v>
      </c>
      <c r="U304" s="1" t="s">
        <v>1688</v>
      </c>
      <c r="V304" s="3">
        <v>502.488</v>
      </c>
      <c r="W304" s="1" t="str">
        <f t="shared" si="24"/>
        <v>Slow Delivery</v>
      </c>
    </row>
    <row r="305" spans="1:23" x14ac:dyDescent="0.25">
      <c r="A305" s="1">
        <v>8894</v>
      </c>
      <c r="B305" s="2" t="s">
        <v>1689</v>
      </c>
      <c r="C305" s="2">
        <v>42221</v>
      </c>
      <c r="D305" s="2">
        <v>42228</v>
      </c>
      <c r="E305" s="1">
        <f t="shared" si="21"/>
        <v>2015</v>
      </c>
      <c r="F305" s="2" t="str">
        <f t="shared" si="22"/>
        <v>Aug</v>
      </c>
      <c r="G305" s="1">
        <f t="shared" si="23"/>
        <v>8</v>
      </c>
      <c r="H305" s="1">
        <f t="shared" si="20"/>
        <v>7</v>
      </c>
      <c r="I305" s="1" t="s">
        <v>25</v>
      </c>
      <c r="J305" s="1" t="s">
        <v>1690</v>
      </c>
      <c r="K305" s="1" t="s">
        <v>1691</v>
      </c>
      <c r="L305" s="1" t="s">
        <v>28</v>
      </c>
      <c r="M305" s="1" t="s">
        <v>29</v>
      </c>
      <c r="N305" s="1" t="s">
        <v>1692</v>
      </c>
      <c r="O305" s="1" t="s">
        <v>31</v>
      </c>
      <c r="P305" s="1">
        <v>77590</v>
      </c>
      <c r="Q305" s="1" t="s">
        <v>32</v>
      </c>
      <c r="R305" s="1" t="s">
        <v>1693</v>
      </c>
      <c r="S305" s="1" t="s">
        <v>45</v>
      </c>
      <c r="T305" s="1" t="s">
        <v>329</v>
      </c>
      <c r="U305" s="1" t="s">
        <v>1694</v>
      </c>
      <c r="V305" s="3">
        <v>489.23</v>
      </c>
      <c r="W305" s="1" t="str">
        <f t="shared" si="24"/>
        <v>Slow Delivery</v>
      </c>
    </row>
    <row r="306" spans="1:23" x14ac:dyDescent="0.25">
      <c r="A306" s="1">
        <v>5069</v>
      </c>
      <c r="B306" s="2" t="s">
        <v>1695</v>
      </c>
      <c r="C306" s="2">
        <v>42224</v>
      </c>
      <c r="D306" s="2">
        <v>42228</v>
      </c>
      <c r="E306" s="1">
        <f t="shared" si="21"/>
        <v>2015</v>
      </c>
      <c r="F306" s="2" t="str">
        <f t="shared" si="22"/>
        <v>Aug</v>
      </c>
      <c r="G306" s="1">
        <f t="shared" si="23"/>
        <v>8</v>
      </c>
      <c r="H306" s="1">
        <f t="shared" si="20"/>
        <v>4</v>
      </c>
      <c r="I306" s="1" t="s">
        <v>25</v>
      </c>
      <c r="J306" s="1" t="s">
        <v>1696</v>
      </c>
      <c r="K306" s="1" t="s">
        <v>1697</v>
      </c>
      <c r="L306" s="1" t="s">
        <v>131</v>
      </c>
      <c r="M306" s="1" t="s">
        <v>29</v>
      </c>
      <c r="N306" s="1" t="s">
        <v>1698</v>
      </c>
      <c r="O306" s="1" t="s">
        <v>172</v>
      </c>
      <c r="P306" s="1">
        <v>48183</v>
      </c>
      <c r="Q306" s="1" t="s">
        <v>32</v>
      </c>
      <c r="R306" s="1" t="s">
        <v>144</v>
      </c>
      <c r="S306" s="1" t="s">
        <v>64</v>
      </c>
      <c r="T306" s="1" t="s">
        <v>145</v>
      </c>
      <c r="U306" s="1" t="s">
        <v>146</v>
      </c>
      <c r="V306" s="3">
        <v>549.99</v>
      </c>
      <c r="W306" s="1" t="str">
        <f t="shared" si="24"/>
        <v>Slow Delivery</v>
      </c>
    </row>
    <row r="307" spans="1:23" x14ac:dyDescent="0.25">
      <c r="A307" s="1">
        <v>8367</v>
      </c>
      <c r="B307" s="2" t="s">
        <v>1699</v>
      </c>
      <c r="C307" s="2">
        <v>42254</v>
      </c>
      <c r="D307" s="2">
        <v>42259</v>
      </c>
      <c r="E307" s="1">
        <f t="shared" si="21"/>
        <v>2015</v>
      </c>
      <c r="F307" s="2" t="str">
        <f t="shared" si="22"/>
        <v>Sep</v>
      </c>
      <c r="G307" s="1">
        <f t="shared" si="23"/>
        <v>9</v>
      </c>
      <c r="H307" s="1">
        <f t="shared" si="20"/>
        <v>5</v>
      </c>
      <c r="I307" s="1" t="s">
        <v>83</v>
      </c>
      <c r="J307" s="1" t="s">
        <v>1700</v>
      </c>
      <c r="K307" s="1" t="s">
        <v>1701</v>
      </c>
      <c r="L307" s="1" t="s">
        <v>51</v>
      </c>
      <c r="M307" s="1" t="s">
        <v>29</v>
      </c>
      <c r="N307" s="1" t="s">
        <v>1702</v>
      </c>
      <c r="O307" s="1" t="s">
        <v>106</v>
      </c>
      <c r="P307" s="1">
        <v>95051</v>
      </c>
      <c r="Q307" s="1" t="s">
        <v>107</v>
      </c>
      <c r="R307" s="1" t="s">
        <v>1703</v>
      </c>
      <c r="S307" s="1" t="s">
        <v>34</v>
      </c>
      <c r="T307" s="1" t="s">
        <v>638</v>
      </c>
      <c r="U307" s="1" t="s">
        <v>1704</v>
      </c>
      <c r="V307" s="3">
        <v>27.36</v>
      </c>
      <c r="W307" s="1" t="str">
        <f t="shared" si="24"/>
        <v>Slow Delivery</v>
      </c>
    </row>
    <row r="308" spans="1:23" x14ac:dyDescent="0.25">
      <c r="A308" s="1">
        <v>165</v>
      </c>
      <c r="B308" s="2" t="s">
        <v>1705</v>
      </c>
      <c r="C308" s="2">
        <v>42255</v>
      </c>
      <c r="D308" s="2">
        <v>42259</v>
      </c>
      <c r="E308" s="1">
        <f t="shared" si="21"/>
        <v>2015</v>
      </c>
      <c r="F308" s="2" t="str">
        <f t="shared" si="22"/>
        <v>Sep</v>
      </c>
      <c r="G308" s="1">
        <f t="shared" si="23"/>
        <v>9</v>
      </c>
      <c r="H308" s="1">
        <f t="shared" si="20"/>
        <v>4</v>
      </c>
      <c r="I308" s="1" t="s">
        <v>25</v>
      </c>
      <c r="J308" s="1" t="s">
        <v>1706</v>
      </c>
      <c r="K308" s="1" t="s">
        <v>1707</v>
      </c>
      <c r="L308" s="1" t="s">
        <v>28</v>
      </c>
      <c r="M308" s="1" t="s">
        <v>29</v>
      </c>
      <c r="N308" s="1" t="s">
        <v>938</v>
      </c>
      <c r="O308" s="1" t="s">
        <v>31</v>
      </c>
      <c r="P308" s="1">
        <v>78207</v>
      </c>
      <c r="Q308" s="1" t="s">
        <v>32</v>
      </c>
      <c r="R308" s="1" t="s">
        <v>1708</v>
      </c>
      <c r="S308" s="1" t="s">
        <v>34</v>
      </c>
      <c r="T308" s="1" t="s">
        <v>35</v>
      </c>
      <c r="U308" s="1" t="s">
        <v>1709</v>
      </c>
      <c r="V308" s="3">
        <v>9.9359999999999999</v>
      </c>
      <c r="W308" s="1" t="str">
        <f t="shared" si="24"/>
        <v>Slow Delivery</v>
      </c>
    </row>
    <row r="309" spans="1:23" x14ac:dyDescent="0.25">
      <c r="A309" s="1">
        <v>4314</v>
      </c>
      <c r="B309" s="2" t="s">
        <v>1710</v>
      </c>
      <c r="C309" s="2">
        <v>42255</v>
      </c>
      <c r="D309" s="2">
        <v>42259</v>
      </c>
      <c r="E309" s="1">
        <f t="shared" si="21"/>
        <v>2015</v>
      </c>
      <c r="F309" s="2" t="str">
        <f t="shared" si="22"/>
        <v>Sep</v>
      </c>
      <c r="G309" s="1">
        <f t="shared" si="23"/>
        <v>9</v>
      </c>
      <c r="H309" s="1">
        <f t="shared" si="20"/>
        <v>4</v>
      </c>
      <c r="I309" s="1" t="s">
        <v>25</v>
      </c>
      <c r="J309" s="1" t="s">
        <v>1711</v>
      </c>
      <c r="K309" s="1" t="s">
        <v>1712</v>
      </c>
      <c r="L309" s="1" t="s">
        <v>51</v>
      </c>
      <c r="M309" s="1" t="s">
        <v>29</v>
      </c>
      <c r="N309" s="1" t="s">
        <v>381</v>
      </c>
      <c r="O309" s="1" t="s">
        <v>115</v>
      </c>
      <c r="P309" s="1">
        <v>11561</v>
      </c>
      <c r="Q309" s="1" t="s">
        <v>43</v>
      </c>
      <c r="R309" s="1" t="s">
        <v>1713</v>
      </c>
      <c r="S309" s="1" t="s">
        <v>34</v>
      </c>
      <c r="T309" s="1" t="s">
        <v>74</v>
      </c>
      <c r="U309" s="1" t="s">
        <v>1714</v>
      </c>
      <c r="V309" s="3">
        <v>16.78</v>
      </c>
      <c r="W309" s="1" t="str">
        <f t="shared" si="24"/>
        <v>Slow Delivery</v>
      </c>
    </row>
    <row r="310" spans="1:23" x14ac:dyDescent="0.25">
      <c r="A310" s="1">
        <v>2671</v>
      </c>
      <c r="B310" s="2" t="s">
        <v>1715</v>
      </c>
      <c r="C310" s="2">
        <v>42256</v>
      </c>
      <c r="D310" s="2">
        <v>42259</v>
      </c>
      <c r="E310" s="1">
        <f t="shared" si="21"/>
        <v>2015</v>
      </c>
      <c r="F310" s="2" t="str">
        <f t="shared" si="22"/>
        <v>Sep</v>
      </c>
      <c r="G310" s="1">
        <f t="shared" si="23"/>
        <v>9</v>
      </c>
      <c r="H310" s="1">
        <f t="shared" si="20"/>
        <v>3</v>
      </c>
      <c r="I310" s="1" t="s">
        <v>83</v>
      </c>
      <c r="J310" s="1" t="s">
        <v>1716</v>
      </c>
      <c r="K310" s="1" t="s">
        <v>1717</v>
      </c>
      <c r="L310" s="1" t="s">
        <v>51</v>
      </c>
      <c r="M310" s="1" t="s">
        <v>29</v>
      </c>
      <c r="N310" s="1" t="s">
        <v>156</v>
      </c>
      <c r="O310" s="1" t="s">
        <v>157</v>
      </c>
      <c r="P310" s="1">
        <v>1852</v>
      </c>
      <c r="Q310" s="1" t="s">
        <v>43</v>
      </c>
      <c r="R310" s="1" t="s">
        <v>1718</v>
      </c>
      <c r="S310" s="1" t="s">
        <v>34</v>
      </c>
      <c r="T310" s="1" t="s">
        <v>174</v>
      </c>
      <c r="U310" s="1" t="s">
        <v>1719</v>
      </c>
      <c r="V310" s="3">
        <v>166.44</v>
      </c>
      <c r="W310" s="1" t="str">
        <f t="shared" si="24"/>
        <v>Fast Delivery</v>
      </c>
    </row>
    <row r="311" spans="1:23" x14ac:dyDescent="0.25">
      <c r="A311" s="1">
        <v>4831</v>
      </c>
      <c r="B311" s="2" t="s">
        <v>1720</v>
      </c>
      <c r="C311" s="2">
        <v>42315</v>
      </c>
      <c r="D311" s="2">
        <v>42320</v>
      </c>
      <c r="E311" s="1">
        <f t="shared" si="21"/>
        <v>2015</v>
      </c>
      <c r="F311" s="2" t="str">
        <f t="shared" si="22"/>
        <v>Nov</v>
      </c>
      <c r="G311" s="1">
        <f t="shared" si="23"/>
        <v>11</v>
      </c>
      <c r="H311" s="1">
        <f t="shared" si="20"/>
        <v>5</v>
      </c>
      <c r="I311" s="1" t="s">
        <v>25</v>
      </c>
      <c r="J311" s="1" t="s">
        <v>1721</v>
      </c>
      <c r="K311" s="1" t="s">
        <v>1722</v>
      </c>
      <c r="L311" s="1" t="s">
        <v>28</v>
      </c>
      <c r="M311" s="1" t="s">
        <v>29</v>
      </c>
      <c r="N311" s="1" t="s">
        <v>1723</v>
      </c>
      <c r="O311" s="1" t="s">
        <v>101</v>
      </c>
      <c r="P311" s="1">
        <v>54401</v>
      </c>
      <c r="Q311" s="1" t="s">
        <v>32</v>
      </c>
      <c r="R311" s="1" t="s">
        <v>1724</v>
      </c>
      <c r="S311" s="1" t="s">
        <v>34</v>
      </c>
      <c r="T311" s="1" t="s">
        <v>74</v>
      </c>
      <c r="U311" s="1" t="s">
        <v>1725</v>
      </c>
      <c r="V311" s="3">
        <v>245.88</v>
      </c>
      <c r="W311" s="1" t="str">
        <f t="shared" si="24"/>
        <v>Slow Delivery</v>
      </c>
    </row>
    <row r="312" spans="1:23" x14ac:dyDescent="0.25">
      <c r="A312" s="1">
        <v>1863</v>
      </c>
      <c r="B312" s="2" t="s">
        <v>1726</v>
      </c>
      <c r="C312" s="2">
        <v>42320</v>
      </c>
      <c r="D312" s="2">
        <v>42320</v>
      </c>
      <c r="E312" s="1">
        <f t="shared" si="21"/>
        <v>2015</v>
      </c>
      <c r="F312" s="2" t="str">
        <f t="shared" si="22"/>
        <v>Nov</v>
      </c>
      <c r="G312" s="1">
        <f t="shared" si="23"/>
        <v>11</v>
      </c>
      <c r="H312" s="1">
        <f t="shared" si="20"/>
        <v>0</v>
      </c>
      <c r="I312" s="1" t="s">
        <v>68</v>
      </c>
      <c r="J312" s="1" t="s">
        <v>1727</v>
      </c>
      <c r="K312" s="1" t="s">
        <v>1728</v>
      </c>
      <c r="L312" s="1" t="s">
        <v>28</v>
      </c>
      <c r="M312" s="1" t="s">
        <v>29</v>
      </c>
      <c r="N312" s="1" t="s">
        <v>938</v>
      </c>
      <c r="O312" s="1" t="s">
        <v>31</v>
      </c>
      <c r="P312" s="1">
        <v>78207</v>
      </c>
      <c r="Q312" s="1" t="s">
        <v>32</v>
      </c>
      <c r="R312" s="1" t="s">
        <v>1729</v>
      </c>
      <c r="S312" s="1" t="s">
        <v>34</v>
      </c>
      <c r="T312" s="1" t="s">
        <v>270</v>
      </c>
      <c r="U312" s="1" t="s">
        <v>1730</v>
      </c>
      <c r="V312" s="3">
        <v>49.631999999999998</v>
      </c>
      <c r="W312" s="1" t="str">
        <f t="shared" si="24"/>
        <v>Fast Delivery</v>
      </c>
    </row>
    <row r="313" spans="1:23" x14ac:dyDescent="0.25">
      <c r="A313" s="1">
        <v>921</v>
      </c>
      <c r="B313" s="2" t="s">
        <v>1731</v>
      </c>
      <c r="C313" s="2">
        <v>42343</v>
      </c>
      <c r="D313" s="2">
        <v>42350</v>
      </c>
      <c r="E313" s="1">
        <f t="shared" si="21"/>
        <v>2015</v>
      </c>
      <c r="F313" s="2" t="str">
        <f t="shared" si="22"/>
        <v>Dec</v>
      </c>
      <c r="G313" s="1">
        <f t="shared" si="23"/>
        <v>12</v>
      </c>
      <c r="H313" s="1">
        <f t="shared" si="20"/>
        <v>7</v>
      </c>
      <c r="I313" s="1" t="s">
        <v>25</v>
      </c>
      <c r="J313" s="1" t="s">
        <v>1732</v>
      </c>
      <c r="K313" s="1" t="s">
        <v>1733</v>
      </c>
      <c r="L313" s="1" t="s">
        <v>28</v>
      </c>
      <c r="M313" s="1" t="s">
        <v>29</v>
      </c>
      <c r="N313" s="1" t="s">
        <v>1128</v>
      </c>
      <c r="O313" s="1" t="s">
        <v>53</v>
      </c>
      <c r="P313" s="1">
        <v>22304</v>
      </c>
      <c r="Q313" s="1" t="s">
        <v>54</v>
      </c>
      <c r="R313" s="1" t="s">
        <v>1734</v>
      </c>
      <c r="S313" s="1" t="s">
        <v>34</v>
      </c>
      <c r="T313" s="1" t="s">
        <v>270</v>
      </c>
      <c r="U313" s="1" t="s">
        <v>1735</v>
      </c>
      <c r="V313" s="3">
        <v>24.56</v>
      </c>
      <c r="W313" s="1" t="str">
        <f t="shared" si="24"/>
        <v>Slow Delivery</v>
      </c>
    </row>
    <row r="314" spans="1:23" x14ac:dyDescent="0.25">
      <c r="A314" s="1">
        <v>3142</v>
      </c>
      <c r="B314" s="2" t="s">
        <v>1736</v>
      </c>
      <c r="C314" s="2">
        <v>42350</v>
      </c>
      <c r="D314" s="2">
        <v>42350</v>
      </c>
      <c r="E314" s="1">
        <f t="shared" si="21"/>
        <v>2015</v>
      </c>
      <c r="F314" s="2" t="str">
        <f t="shared" si="22"/>
        <v>Dec</v>
      </c>
      <c r="G314" s="1">
        <f t="shared" si="23"/>
        <v>12</v>
      </c>
      <c r="H314" s="1">
        <f t="shared" si="20"/>
        <v>0</v>
      </c>
      <c r="I314" s="1" t="s">
        <v>68</v>
      </c>
      <c r="J314" s="1" t="s">
        <v>1737</v>
      </c>
      <c r="K314" s="1" t="s">
        <v>1738</v>
      </c>
      <c r="L314" s="1" t="s">
        <v>51</v>
      </c>
      <c r="M314" s="1" t="s">
        <v>29</v>
      </c>
      <c r="N314" s="1" t="s">
        <v>938</v>
      </c>
      <c r="O314" s="1" t="s">
        <v>31</v>
      </c>
      <c r="P314" s="1">
        <v>78207</v>
      </c>
      <c r="Q314" s="1" t="s">
        <v>32</v>
      </c>
      <c r="R314" s="1" t="s">
        <v>1739</v>
      </c>
      <c r="S314" s="1" t="s">
        <v>34</v>
      </c>
      <c r="T314" s="1" t="s">
        <v>109</v>
      </c>
      <c r="U314" s="1" t="s">
        <v>1740</v>
      </c>
      <c r="V314" s="3">
        <v>210.392</v>
      </c>
      <c r="W314" s="1" t="str">
        <f t="shared" si="24"/>
        <v>Fast Delivery</v>
      </c>
    </row>
    <row r="315" spans="1:23" x14ac:dyDescent="0.25">
      <c r="A315" s="1">
        <v>1794</v>
      </c>
      <c r="B315" s="2" t="s">
        <v>1741</v>
      </c>
      <c r="C315" s="2">
        <v>42346</v>
      </c>
      <c r="D315" s="2">
        <v>42351</v>
      </c>
      <c r="E315" s="1">
        <f t="shared" si="21"/>
        <v>2015</v>
      </c>
      <c r="F315" s="2" t="str">
        <f t="shared" si="22"/>
        <v>Dec</v>
      </c>
      <c r="G315" s="1">
        <f t="shared" si="23"/>
        <v>12</v>
      </c>
      <c r="H315" s="1">
        <f t="shared" si="20"/>
        <v>5</v>
      </c>
      <c r="I315" s="1" t="s">
        <v>25</v>
      </c>
      <c r="J315" s="1" t="s">
        <v>1742</v>
      </c>
      <c r="K315" s="1" t="s">
        <v>1743</v>
      </c>
      <c r="L315" s="1" t="s">
        <v>51</v>
      </c>
      <c r="M315" s="1" t="s">
        <v>29</v>
      </c>
      <c r="N315" s="1" t="s">
        <v>150</v>
      </c>
      <c r="O315" s="1" t="s">
        <v>31</v>
      </c>
      <c r="P315" s="1">
        <v>77041</v>
      </c>
      <c r="Q315" s="1" t="s">
        <v>32</v>
      </c>
      <c r="R315" s="1" t="s">
        <v>1744</v>
      </c>
      <c r="S315" s="1" t="s">
        <v>34</v>
      </c>
      <c r="T315" s="1" t="s">
        <v>270</v>
      </c>
      <c r="U315" s="1" t="s">
        <v>1745</v>
      </c>
      <c r="V315" s="3">
        <v>60.415999999999997</v>
      </c>
      <c r="W315" s="1" t="str">
        <f t="shared" si="24"/>
        <v>Slow Delivery</v>
      </c>
    </row>
    <row r="316" spans="1:23" x14ac:dyDescent="0.25">
      <c r="A316" s="1">
        <v>3665</v>
      </c>
      <c r="B316" s="2" t="s">
        <v>1746</v>
      </c>
      <c r="C316" s="2">
        <v>42346</v>
      </c>
      <c r="D316" s="2">
        <v>42351</v>
      </c>
      <c r="E316" s="1">
        <f t="shared" si="21"/>
        <v>2015</v>
      </c>
      <c r="F316" s="2" t="str">
        <f t="shared" si="22"/>
        <v>Dec</v>
      </c>
      <c r="G316" s="1">
        <f t="shared" si="23"/>
        <v>12</v>
      </c>
      <c r="H316" s="1">
        <f t="shared" si="20"/>
        <v>5</v>
      </c>
      <c r="I316" s="1" t="s">
        <v>25</v>
      </c>
      <c r="J316" s="1" t="s">
        <v>1747</v>
      </c>
      <c r="K316" s="1" t="s">
        <v>1748</v>
      </c>
      <c r="L316" s="1" t="s">
        <v>28</v>
      </c>
      <c r="M316" s="1" t="s">
        <v>29</v>
      </c>
      <c r="N316" s="1" t="s">
        <v>1749</v>
      </c>
      <c r="O316" s="1" t="s">
        <v>370</v>
      </c>
      <c r="P316" s="1">
        <v>97301</v>
      </c>
      <c r="Q316" s="1" t="s">
        <v>107</v>
      </c>
      <c r="R316" s="1" t="s">
        <v>572</v>
      </c>
      <c r="S316" s="1" t="s">
        <v>34</v>
      </c>
      <c r="T316" s="1" t="s">
        <v>56</v>
      </c>
      <c r="U316" s="1" t="s">
        <v>573</v>
      </c>
      <c r="V316" s="3">
        <v>27.888000000000002</v>
      </c>
      <c r="W316" s="1" t="str">
        <f t="shared" si="24"/>
        <v>Slow Delivery</v>
      </c>
    </row>
    <row r="317" spans="1:23" x14ac:dyDescent="0.25">
      <c r="A317" s="1">
        <v>4565</v>
      </c>
      <c r="B317" s="2" t="s">
        <v>1750</v>
      </c>
      <c r="C317" s="2">
        <v>42347</v>
      </c>
      <c r="D317" s="2">
        <v>42352</v>
      </c>
      <c r="E317" s="1">
        <f t="shared" si="21"/>
        <v>2015</v>
      </c>
      <c r="F317" s="2" t="str">
        <f t="shared" si="22"/>
        <v>Dec</v>
      </c>
      <c r="G317" s="1">
        <f t="shared" si="23"/>
        <v>12</v>
      </c>
      <c r="H317" s="1">
        <f t="shared" si="20"/>
        <v>5</v>
      </c>
      <c r="I317" s="1" t="s">
        <v>25</v>
      </c>
      <c r="J317" s="1" t="s">
        <v>1751</v>
      </c>
      <c r="K317" s="1" t="s">
        <v>1752</v>
      </c>
      <c r="L317" s="1" t="s">
        <v>51</v>
      </c>
      <c r="M317" s="1" t="s">
        <v>29</v>
      </c>
      <c r="N317" s="1" t="s">
        <v>1753</v>
      </c>
      <c r="O317" s="1" t="s">
        <v>229</v>
      </c>
      <c r="P317" s="1">
        <v>85204</v>
      </c>
      <c r="Q317" s="1" t="s">
        <v>107</v>
      </c>
      <c r="R317" s="1" t="s">
        <v>1754</v>
      </c>
      <c r="S317" s="1" t="s">
        <v>34</v>
      </c>
      <c r="T317" s="1" t="s">
        <v>270</v>
      </c>
      <c r="U317" s="1" t="s">
        <v>1755</v>
      </c>
      <c r="V317" s="3">
        <v>100.70399999999999</v>
      </c>
      <c r="W317" s="1" t="str">
        <f t="shared" si="24"/>
        <v>Slow Delivery</v>
      </c>
    </row>
    <row r="318" spans="1:23" x14ac:dyDescent="0.25">
      <c r="A318" s="1">
        <v>5999</v>
      </c>
      <c r="B318" s="2" t="s">
        <v>1756</v>
      </c>
      <c r="C318" s="2">
        <v>42348</v>
      </c>
      <c r="D318" s="2">
        <v>42352</v>
      </c>
      <c r="E318" s="1">
        <f t="shared" si="21"/>
        <v>2015</v>
      </c>
      <c r="F318" s="2" t="str">
        <f t="shared" si="22"/>
        <v>Dec</v>
      </c>
      <c r="G318" s="1">
        <f t="shared" si="23"/>
        <v>12</v>
      </c>
      <c r="H318" s="1">
        <f t="shared" si="20"/>
        <v>4</v>
      </c>
      <c r="I318" s="1" t="s">
        <v>25</v>
      </c>
      <c r="J318" s="1" t="s">
        <v>1757</v>
      </c>
      <c r="K318" s="1" t="s">
        <v>1758</v>
      </c>
      <c r="L318" s="1" t="s">
        <v>51</v>
      </c>
      <c r="M318" s="1" t="s">
        <v>29</v>
      </c>
      <c r="N318" s="1" t="s">
        <v>1759</v>
      </c>
      <c r="O318" s="1" t="s">
        <v>249</v>
      </c>
      <c r="P318" s="1">
        <v>83605</v>
      </c>
      <c r="Q318" s="1" t="s">
        <v>107</v>
      </c>
      <c r="R318" s="1" t="s">
        <v>1760</v>
      </c>
      <c r="S318" s="1" t="s">
        <v>45</v>
      </c>
      <c r="T318" s="1" t="s">
        <v>89</v>
      </c>
      <c r="U318" s="1" t="s">
        <v>1761</v>
      </c>
      <c r="V318" s="3">
        <v>338.35199999999998</v>
      </c>
      <c r="W318" s="1" t="str">
        <f t="shared" si="24"/>
        <v>Slow Delivery</v>
      </c>
    </row>
    <row r="319" spans="1:23" x14ac:dyDescent="0.25">
      <c r="A319" s="1">
        <v>9213</v>
      </c>
      <c r="B319" s="2" t="s">
        <v>1762</v>
      </c>
      <c r="C319" s="2">
        <v>42346</v>
      </c>
      <c r="D319" s="2">
        <v>42353</v>
      </c>
      <c r="E319" s="1">
        <f t="shared" si="21"/>
        <v>2015</v>
      </c>
      <c r="F319" s="2" t="str">
        <f t="shared" si="22"/>
        <v>Dec</v>
      </c>
      <c r="G319" s="1">
        <f t="shared" si="23"/>
        <v>12</v>
      </c>
      <c r="H319" s="1">
        <f t="shared" si="20"/>
        <v>7</v>
      </c>
      <c r="I319" s="1" t="s">
        <v>25</v>
      </c>
      <c r="J319" s="1" t="s">
        <v>1763</v>
      </c>
      <c r="K319" s="1" t="s">
        <v>1764</v>
      </c>
      <c r="L319" s="1" t="s">
        <v>51</v>
      </c>
      <c r="M319" s="1" t="s">
        <v>29</v>
      </c>
      <c r="N319" s="1" t="s">
        <v>105</v>
      </c>
      <c r="O319" s="1" t="s">
        <v>106</v>
      </c>
      <c r="P319" s="1">
        <v>94110</v>
      </c>
      <c r="Q319" s="1" t="s">
        <v>107</v>
      </c>
      <c r="R319" s="1" t="s">
        <v>1765</v>
      </c>
      <c r="S319" s="1" t="s">
        <v>45</v>
      </c>
      <c r="T319" s="1" t="s">
        <v>46</v>
      </c>
      <c r="U319" s="1" t="s">
        <v>1766</v>
      </c>
      <c r="V319" s="3">
        <v>39.880000000000003</v>
      </c>
      <c r="W319" s="1" t="str">
        <f t="shared" si="24"/>
        <v>Slow Delivery</v>
      </c>
    </row>
    <row r="320" spans="1:23" x14ac:dyDescent="0.25">
      <c r="A320" s="1">
        <v>873</v>
      </c>
      <c r="B320" s="2" t="s">
        <v>1767</v>
      </c>
      <c r="C320" s="2">
        <v>42348</v>
      </c>
      <c r="D320" s="2">
        <v>42353</v>
      </c>
      <c r="E320" s="1">
        <f t="shared" si="21"/>
        <v>2015</v>
      </c>
      <c r="F320" s="2" t="str">
        <f t="shared" si="22"/>
        <v>Dec</v>
      </c>
      <c r="G320" s="1">
        <f t="shared" si="23"/>
        <v>12</v>
      </c>
      <c r="H320" s="1">
        <f t="shared" si="20"/>
        <v>5</v>
      </c>
      <c r="I320" s="1" t="s">
        <v>25</v>
      </c>
      <c r="J320" s="1" t="s">
        <v>1768</v>
      </c>
      <c r="K320" s="1" t="s">
        <v>1769</v>
      </c>
      <c r="L320" s="1" t="s">
        <v>28</v>
      </c>
      <c r="M320" s="1" t="s">
        <v>29</v>
      </c>
      <c r="N320" s="1" t="s">
        <v>114</v>
      </c>
      <c r="O320" s="1" t="s">
        <v>115</v>
      </c>
      <c r="P320" s="1">
        <v>10009</v>
      </c>
      <c r="Q320" s="1" t="s">
        <v>43</v>
      </c>
      <c r="R320" s="1" t="s">
        <v>1770</v>
      </c>
      <c r="S320" s="1" t="s">
        <v>34</v>
      </c>
      <c r="T320" s="1" t="s">
        <v>174</v>
      </c>
      <c r="U320" s="1" t="s">
        <v>1771</v>
      </c>
      <c r="V320" s="3">
        <v>11.36</v>
      </c>
      <c r="W320" s="1" t="str">
        <f t="shared" si="24"/>
        <v>Slow Delivery</v>
      </c>
    </row>
    <row r="321" spans="1:23" x14ac:dyDescent="0.25">
      <c r="A321" s="1">
        <v>4854</v>
      </c>
      <c r="B321" s="2" t="s">
        <v>1772</v>
      </c>
      <c r="C321" s="2">
        <v>42350</v>
      </c>
      <c r="D321" s="2">
        <v>42353</v>
      </c>
      <c r="E321" s="1">
        <f t="shared" si="21"/>
        <v>2015</v>
      </c>
      <c r="F321" s="2" t="str">
        <f t="shared" si="22"/>
        <v>Dec</v>
      </c>
      <c r="G321" s="1">
        <f t="shared" si="23"/>
        <v>12</v>
      </c>
      <c r="H321" s="1">
        <f t="shared" si="20"/>
        <v>3</v>
      </c>
      <c r="I321" s="1" t="s">
        <v>83</v>
      </c>
      <c r="J321" s="1" t="s">
        <v>1773</v>
      </c>
      <c r="K321" s="1" t="s">
        <v>1774</v>
      </c>
      <c r="L321" s="1" t="s">
        <v>28</v>
      </c>
      <c r="M321" s="1" t="s">
        <v>29</v>
      </c>
      <c r="N321" s="1" t="s">
        <v>1775</v>
      </c>
      <c r="O321" s="1" t="s">
        <v>106</v>
      </c>
      <c r="P321" s="1">
        <v>94601</v>
      </c>
      <c r="Q321" s="1" t="s">
        <v>107</v>
      </c>
      <c r="R321" s="1" t="s">
        <v>1776</v>
      </c>
      <c r="S321" s="1" t="s">
        <v>45</v>
      </c>
      <c r="T321" s="1" t="s">
        <v>46</v>
      </c>
      <c r="U321" s="1" t="s">
        <v>1777</v>
      </c>
      <c r="V321" s="3">
        <v>12.54</v>
      </c>
      <c r="W321" s="1" t="str">
        <f t="shared" si="24"/>
        <v>Fast Delivery</v>
      </c>
    </row>
    <row r="322" spans="1:23" x14ac:dyDescent="0.25">
      <c r="A322" s="1">
        <v>5486</v>
      </c>
      <c r="B322" s="2" t="s">
        <v>1778</v>
      </c>
      <c r="C322" s="2">
        <v>42350</v>
      </c>
      <c r="D322" s="2">
        <v>42355</v>
      </c>
      <c r="E322" s="1">
        <f t="shared" si="21"/>
        <v>2015</v>
      </c>
      <c r="F322" s="2" t="str">
        <f t="shared" si="22"/>
        <v>Dec</v>
      </c>
      <c r="G322" s="1">
        <f t="shared" si="23"/>
        <v>12</v>
      </c>
      <c r="H322" s="1">
        <f t="shared" ref="H322:H385" si="25">D322-C322</f>
        <v>5</v>
      </c>
      <c r="I322" s="1" t="s">
        <v>25</v>
      </c>
      <c r="J322" s="1" t="s">
        <v>1779</v>
      </c>
      <c r="K322" s="1" t="s">
        <v>1780</v>
      </c>
      <c r="L322" s="1" t="s">
        <v>28</v>
      </c>
      <c r="M322" s="1" t="s">
        <v>29</v>
      </c>
      <c r="N322" s="1" t="s">
        <v>236</v>
      </c>
      <c r="O322" s="1" t="s">
        <v>190</v>
      </c>
      <c r="P322" s="1">
        <v>33178</v>
      </c>
      <c r="Q322" s="1" t="s">
        <v>54</v>
      </c>
      <c r="R322" s="1" t="s">
        <v>1781</v>
      </c>
      <c r="S322" s="1" t="s">
        <v>34</v>
      </c>
      <c r="T322" s="1" t="s">
        <v>426</v>
      </c>
      <c r="U322" s="1" t="s">
        <v>883</v>
      </c>
      <c r="V322" s="3">
        <v>23.472000000000001</v>
      </c>
      <c r="W322" s="1" t="str">
        <f t="shared" si="24"/>
        <v>Slow Delivery</v>
      </c>
    </row>
    <row r="323" spans="1:23" x14ac:dyDescent="0.25">
      <c r="A323" s="1">
        <v>6918</v>
      </c>
      <c r="B323" s="2" t="s">
        <v>1782</v>
      </c>
      <c r="C323" s="2">
        <v>42354</v>
      </c>
      <c r="D323" s="2">
        <v>42359</v>
      </c>
      <c r="E323" s="1">
        <f t="shared" ref="E323:E386" si="26">YEAR(C323)</f>
        <v>2015</v>
      </c>
      <c r="F323" s="2" t="str">
        <f t="shared" ref="F323:F386" si="27">TEXT(C323,"mmm")</f>
        <v>Dec</v>
      </c>
      <c r="G323" s="1">
        <f t="shared" ref="G323:G386" si="28">MONTH(C323)</f>
        <v>12</v>
      </c>
      <c r="H323" s="1">
        <f t="shared" si="25"/>
        <v>5</v>
      </c>
      <c r="I323" s="1" t="s">
        <v>25</v>
      </c>
      <c r="J323" s="1" t="s">
        <v>1783</v>
      </c>
      <c r="K323" s="1" t="s">
        <v>1784</v>
      </c>
      <c r="L323" s="1" t="s">
        <v>51</v>
      </c>
      <c r="M323" s="1" t="s">
        <v>29</v>
      </c>
      <c r="N323" s="1" t="s">
        <v>1785</v>
      </c>
      <c r="O323" s="1" t="s">
        <v>106</v>
      </c>
      <c r="P323" s="1">
        <v>95823</v>
      </c>
      <c r="Q323" s="1" t="s">
        <v>107</v>
      </c>
      <c r="R323" s="1" t="s">
        <v>139</v>
      </c>
      <c r="S323" s="1" t="s">
        <v>45</v>
      </c>
      <c r="T323" s="1" t="s">
        <v>89</v>
      </c>
      <c r="U323" s="1" t="s">
        <v>140</v>
      </c>
      <c r="V323" s="3">
        <v>1403.92</v>
      </c>
      <c r="W323" s="1" t="str">
        <f t="shared" ref="W323:W386" si="29">IF(H323&lt;=3,"Fast Delivery","Slow Delivery")</f>
        <v>Slow Delivery</v>
      </c>
    </row>
    <row r="324" spans="1:23" x14ac:dyDescent="0.25">
      <c r="A324" s="1">
        <v>9442</v>
      </c>
      <c r="B324" s="2" t="s">
        <v>1786</v>
      </c>
      <c r="C324" s="2">
        <v>42367</v>
      </c>
      <c r="D324" s="2">
        <v>42369</v>
      </c>
      <c r="E324" s="1">
        <f t="shared" si="26"/>
        <v>2015</v>
      </c>
      <c r="F324" s="2" t="str">
        <f t="shared" si="27"/>
        <v>Dec</v>
      </c>
      <c r="G324" s="1">
        <f t="shared" si="28"/>
        <v>12</v>
      </c>
      <c r="H324" s="1">
        <f t="shared" si="25"/>
        <v>2</v>
      </c>
      <c r="I324" s="1" t="s">
        <v>83</v>
      </c>
      <c r="J324" s="1" t="s">
        <v>1787</v>
      </c>
      <c r="K324" s="1" t="s">
        <v>1788</v>
      </c>
      <c r="L324" s="1" t="s">
        <v>28</v>
      </c>
      <c r="M324" s="1" t="s">
        <v>29</v>
      </c>
      <c r="N324" s="1" t="s">
        <v>423</v>
      </c>
      <c r="O324" s="1" t="s">
        <v>72</v>
      </c>
      <c r="P324" s="1">
        <v>44240</v>
      </c>
      <c r="Q324" s="1" t="s">
        <v>43</v>
      </c>
      <c r="R324" s="1" t="s">
        <v>1789</v>
      </c>
      <c r="S324" s="1" t="s">
        <v>34</v>
      </c>
      <c r="T324" s="1" t="s">
        <v>74</v>
      </c>
      <c r="U324" s="1" t="s">
        <v>1790</v>
      </c>
      <c r="V324" s="3">
        <v>48.36</v>
      </c>
      <c r="W324" s="1" t="str">
        <f t="shared" si="29"/>
        <v>Fast Delivery</v>
      </c>
    </row>
    <row r="325" spans="1:23" x14ac:dyDescent="0.25">
      <c r="A325" s="1">
        <v>7091</v>
      </c>
      <c r="B325" s="2" t="s">
        <v>1791</v>
      </c>
      <c r="C325" s="2">
        <v>42378</v>
      </c>
      <c r="D325" s="2">
        <v>42382</v>
      </c>
      <c r="E325" s="1">
        <f t="shared" si="26"/>
        <v>2016</v>
      </c>
      <c r="F325" s="2" t="str">
        <f t="shared" si="27"/>
        <v>Jan</v>
      </c>
      <c r="G325" s="1">
        <f t="shared" si="28"/>
        <v>1</v>
      </c>
      <c r="H325" s="1">
        <f t="shared" si="25"/>
        <v>4</v>
      </c>
      <c r="I325" s="1" t="s">
        <v>25</v>
      </c>
      <c r="J325" s="1" t="s">
        <v>1792</v>
      </c>
      <c r="K325" s="1" t="s">
        <v>1793</v>
      </c>
      <c r="L325" s="1" t="s">
        <v>28</v>
      </c>
      <c r="M325" s="1" t="s">
        <v>29</v>
      </c>
      <c r="N325" s="1" t="s">
        <v>1302</v>
      </c>
      <c r="O325" s="1" t="s">
        <v>165</v>
      </c>
      <c r="P325" s="1">
        <v>42420</v>
      </c>
      <c r="Q325" s="1" t="s">
        <v>54</v>
      </c>
      <c r="R325" s="1" t="s">
        <v>826</v>
      </c>
      <c r="S325" s="1" t="s">
        <v>34</v>
      </c>
      <c r="T325" s="1" t="s">
        <v>174</v>
      </c>
      <c r="U325" s="1" t="s">
        <v>827</v>
      </c>
      <c r="V325" s="3">
        <v>106.32</v>
      </c>
      <c r="W325" s="1" t="str">
        <f t="shared" si="29"/>
        <v>Slow Delivery</v>
      </c>
    </row>
    <row r="326" spans="1:23" x14ac:dyDescent="0.25">
      <c r="A326" s="1">
        <v>1670</v>
      </c>
      <c r="B326" s="2" t="s">
        <v>1794</v>
      </c>
      <c r="C326" s="2">
        <v>42379</v>
      </c>
      <c r="D326" s="2">
        <v>42384</v>
      </c>
      <c r="E326" s="1">
        <f t="shared" si="26"/>
        <v>2016</v>
      </c>
      <c r="F326" s="2" t="str">
        <f t="shared" si="27"/>
        <v>Jan</v>
      </c>
      <c r="G326" s="1">
        <f t="shared" si="28"/>
        <v>1</v>
      </c>
      <c r="H326" s="1">
        <f t="shared" si="25"/>
        <v>5</v>
      </c>
      <c r="I326" s="1" t="s">
        <v>25</v>
      </c>
      <c r="J326" s="1" t="s">
        <v>1795</v>
      </c>
      <c r="K326" s="1" t="s">
        <v>1796</v>
      </c>
      <c r="L326" s="1" t="s">
        <v>28</v>
      </c>
      <c r="M326" s="1" t="s">
        <v>29</v>
      </c>
      <c r="N326" s="1" t="s">
        <v>114</v>
      </c>
      <c r="O326" s="1" t="s">
        <v>115</v>
      </c>
      <c r="P326" s="1">
        <v>10011</v>
      </c>
      <c r="Q326" s="1" t="s">
        <v>43</v>
      </c>
      <c r="R326" s="1" t="s">
        <v>1797</v>
      </c>
      <c r="S326" s="1" t="s">
        <v>45</v>
      </c>
      <c r="T326" s="1" t="s">
        <v>329</v>
      </c>
      <c r="U326" s="1" t="s">
        <v>1798</v>
      </c>
      <c r="V326" s="3">
        <v>1018.104</v>
      </c>
      <c r="W326" s="1" t="str">
        <f t="shared" si="29"/>
        <v>Slow Delivery</v>
      </c>
    </row>
    <row r="327" spans="1:23" x14ac:dyDescent="0.25">
      <c r="A327" s="1">
        <v>9797</v>
      </c>
      <c r="B327" s="2" t="s">
        <v>1799</v>
      </c>
      <c r="C327" s="2">
        <v>42381</v>
      </c>
      <c r="D327" s="2">
        <v>42386</v>
      </c>
      <c r="E327" s="1">
        <f t="shared" si="26"/>
        <v>2016</v>
      </c>
      <c r="F327" s="2" t="str">
        <f t="shared" si="27"/>
        <v>Jan</v>
      </c>
      <c r="G327" s="1">
        <f t="shared" si="28"/>
        <v>1</v>
      </c>
      <c r="H327" s="1">
        <f t="shared" si="25"/>
        <v>5</v>
      </c>
      <c r="I327" s="1" t="s">
        <v>25</v>
      </c>
      <c r="J327" s="1" t="s">
        <v>1800</v>
      </c>
      <c r="K327" s="1" t="s">
        <v>1801</v>
      </c>
      <c r="L327" s="1" t="s">
        <v>51</v>
      </c>
      <c r="M327" s="1" t="s">
        <v>29</v>
      </c>
      <c r="N327" s="1" t="s">
        <v>1658</v>
      </c>
      <c r="O327" s="1" t="s">
        <v>72</v>
      </c>
      <c r="P327" s="1">
        <v>43615</v>
      </c>
      <c r="Q327" s="1" t="s">
        <v>43</v>
      </c>
      <c r="R327" s="1" t="s">
        <v>1802</v>
      </c>
      <c r="S327" s="1" t="s">
        <v>34</v>
      </c>
      <c r="T327" s="1" t="s">
        <v>35</v>
      </c>
      <c r="U327" s="1" t="s">
        <v>1803</v>
      </c>
      <c r="V327" s="3">
        <v>10.368</v>
      </c>
      <c r="W327" s="1" t="str">
        <f t="shared" si="29"/>
        <v>Slow Delivery</v>
      </c>
    </row>
    <row r="328" spans="1:23" x14ac:dyDescent="0.25">
      <c r="A328" s="1">
        <v>3454</v>
      </c>
      <c r="B328" s="2" t="s">
        <v>1804</v>
      </c>
      <c r="C328" s="2">
        <v>42430</v>
      </c>
      <c r="D328" s="2">
        <v>42431</v>
      </c>
      <c r="E328" s="1">
        <f t="shared" si="26"/>
        <v>2016</v>
      </c>
      <c r="F328" s="2" t="str">
        <f t="shared" si="27"/>
        <v>Mar</v>
      </c>
      <c r="G328" s="1">
        <f t="shared" si="28"/>
        <v>3</v>
      </c>
      <c r="H328" s="1">
        <f t="shared" si="25"/>
        <v>1</v>
      </c>
      <c r="I328" s="1" t="s">
        <v>83</v>
      </c>
      <c r="J328" s="1" t="s">
        <v>1805</v>
      </c>
      <c r="K328" s="1" t="s">
        <v>1806</v>
      </c>
      <c r="L328" s="1" t="s">
        <v>28</v>
      </c>
      <c r="M328" s="1" t="s">
        <v>29</v>
      </c>
      <c r="N328" s="1" t="s">
        <v>1545</v>
      </c>
      <c r="O328" s="1" t="s">
        <v>62</v>
      </c>
      <c r="P328" s="1">
        <v>31204</v>
      </c>
      <c r="Q328" s="1" t="s">
        <v>54</v>
      </c>
      <c r="R328" s="1" t="s">
        <v>1807</v>
      </c>
      <c r="S328" s="1" t="s">
        <v>34</v>
      </c>
      <c r="T328" s="1" t="s">
        <v>109</v>
      </c>
      <c r="U328" s="1" t="s">
        <v>1808</v>
      </c>
      <c r="V328" s="3">
        <v>58.72</v>
      </c>
      <c r="W328" s="1" t="str">
        <f t="shared" si="29"/>
        <v>Fast Delivery</v>
      </c>
    </row>
    <row r="329" spans="1:23" x14ac:dyDescent="0.25">
      <c r="A329" s="1">
        <v>9445</v>
      </c>
      <c r="B329" s="2" t="s">
        <v>1809</v>
      </c>
      <c r="C329" s="2">
        <v>42430</v>
      </c>
      <c r="D329" s="2">
        <v>42431</v>
      </c>
      <c r="E329" s="1">
        <f t="shared" si="26"/>
        <v>2016</v>
      </c>
      <c r="F329" s="2" t="str">
        <f t="shared" si="27"/>
        <v>Mar</v>
      </c>
      <c r="G329" s="1">
        <f t="shared" si="28"/>
        <v>3</v>
      </c>
      <c r="H329" s="1">
        <f t="shared" si="25"/>
        <v>1</v>
      </c>
      <c r="I329" s="1" t="s">
        <v>38</v>
      </c>
      <c r="J329" s="1" t="s">
        <v>1810</v>
      </c>
      <c r="K329" s="1" t="s">
        <v>1811</v>
      </c>
      <c r="L329" s="1" t="s">
        <v>51</v>
      </c>
      <c r="M329" s="1" t="s">
        <v>29</v>
      </c>
      <c r="N329" s="1" t="s">
        <v>1812</v>
      </c>
      <c r="O329" s="1" t="s">
        <v>31</v>
      </c>
      <c r="P329" s="1">
        <v>75019</v>
      </c>
      <c r="Q329" s="1" t="s">
        <v>32</v>
      </c>
      <c r="R329" s="1" t="s">
        <v>1813</v>
      </c>
      <c r="S329" s="1" t="s">
        <v>64</v>
      </c>
      <c r="T329" s="1" t="s">
        <v>159</v>
      </c>
      <c r="U329" s="1" t="s">
        <v>1814</v>
      </c>
      <c r="V329" s="3">
        <v>95.84</v>
      </c>
      <c r="W329" s="1" t="str">
        <f t="shared" si="29"/>
        <v>Fast Delivery</v>
      </c>
    </row>
    <row r="330" spans="1:23" x14ac:dyDescent="0.25">
      <c r="A330" s="1">
        <v>1167</v>
      </c>
      <c r="B330" s="2" t="s">
        <v>1815</v>
      </c>
      <c r="C330" s="2">
        <v>42676</v>
      </c>
      <c r="D330" s="2">
        <v>42676</v>
      </c>
      <c r="E330" s="1">
        <f t="shared" si="26"/>
        <v>2016</v>
      </c>
      <c r="F330" s="2" t="str">
        <f t="shared" si="27"/>
        <v>Nov</v>
      </c>
      <c r="G330" s="1">
        <f t="shared" si="28"/>
        <v>11</v>
      </c>
      <c r="H330" s="1">
        <f t="shared" si="25"/>
        <v>0</v>
      </c>
      <c r="I330" s="1" t="s">
        <v>68</v>
      </c>
      <c r="J330" s="1" t="s">
        <v>1816</v>
      </c>
      <c r="K330" s="1" t="s">
        <v>1817</v>
      </c>
      <c r="L330" s="1" t="s">
        <v>28</v>
      </c>
      <c r="M330" s="1" t="s">
        <v>29</v>
      </c>
      <c r="N330" s="1" t="s">
        <v>488</v>
      </c>
      <c r="O330" s="1" t="s">
        <v>424</v>
      </c>
      <c r="P330" s="1">
        <v>98115</v>
      </c>
      <c r="Q330" s="1" t="s">
        <v>107</v>
      </c>
      <c r="R330" s="1" t="s">
        <v>1818</v>
      </c>
      <c r="S330" s="1" t="s">
        <v>64</v>
      </c>
      <c r="T330" s="1" t="s">
        <v>65</v>
      </c>
      <c r="U330" s="1" t="s">
        <v>1819</v>
      </c>
      <c r="V330" s="3">
        <v>447.93</v>
      </c>
      <c r="W330" s="1" t="str">
        <f t="shared" si="29"/>
        <v>Fast Delivery</v>
      </c>
    </row>
    <row r="331" spans="1:23" x14ac:dyDescent="0.25">
      <c r="A331" s="1">
        <v>1474</v>
      </c>
      <c r="B331" s="2" t="s">
        <v>1820</v>
      </c>
      <c r="C331" s="2">
        <v>42705</v>
      </c>
      <c r="D331" s="2">
        <v>42706</v>
      </c>
      <c r="E331" s="1">
        <f t="shared" si="26"/>
        <v>2016</v>
      </c>
      <c r="F331" s="2" t="str">
        <f t="shared" si="27"/>
        <v>Dec</v>
      </c>
      <c r="G331" s="1">
        <f t="shared" si="28"/>
        <v>12</v>
      </c>
      <c r="H331" s="1">
        <f t="shared" si="25"/>
        <v>1</v>
      </c>
      <c r="I331" s="1" t="s">
        <v>68</v>
      </c>
      <c r="J331" s="1" t="s">
        <v>1821</v>
      </c>
      <c r="K331" s="1" t="s">
        <v>1822</v>
      </c>
      <c r="L331" s="1" t="s">
        <v>28</v>
      </c>
      <c r="M331" s="1" t="s">
        <v>29</v>
      </c>
      <c r="N331" s="1" t="s">
        <v>150</v>
      </c>
      <c r="O331" s="1" t="s">
        <v>31</v>
      </c>
      <c r="P331" s="1">
        <v>77036</v>
      </c>
      <c r="Q331" s="1" t="s">
        <v>32</v>
      </c>
      <c r="R331" s="1" t="s">
        <v>1776</v>
      </c>
      <c r="S331" s="1" t="s">
        <v>45</v>
      </c>
      <c r="T331" s="1" t="s">
        <v>46</v>
      </c>
      <c r="U331" s="1" t="s">
        <v>1777</v>
      </c>
      <c r="V331" s="3">
        <v>6.6879999999999997</v>
      </c>
      <c r="W331" s="1" t="str">
        <f t="shared" si="29"/>
        <v>Fast Delivery</v>
      </c>
    </row>
    <row r="332" spans="1:23" x14ac:dyDescent="0.25">
      <c r="A332" s="1">
        <v>8126</v>
      </c>
      <c r="B332" s="2" t="s">
        <v>1823</v>
      </c>
      <c r="C332" s="2">
        <v>42406</v>
      </c>
      <c r="D332" s="2">
        <v>42413</v>
      </c>
      <c r="E332" s="1">
        <f t="shared" si="26"/>
        <v>2016</v>
      </c>
      <c r="F332" s="2" t="str">
        <f t="shared" si="27"/>
        <v>Feb</v>
      </c>
      <c r="G332" s="1">
        <f t="shared" si="28"/>
        <v>2</v>
      </c>
      <c r="H332" s="1">
        <f t="shared" si="25"/>
        <v>7</v>
      </c>
      <c r="I332" s="1" t="s">
        <v>25</v>
      </c>
      <c r="J332" s="1" t="s">
        <v>1824</v>
      </c>
      <c r="K332" s="1" t="s">
        <v>1825</v>
      </c>
      <c r="L332" s="1" t="s">
        <v>28</v>
      </c>
      <c r="M332" s="1" t="s">
        <v>29</v>
      </c>
      <c r="N332" s="1" t="s">
        <v>150</v>
      </c>
      <c r="O332" s="1" t="s">
        <v>31</v>
      </c>
      <c r="P332" s="1">
        <v>77070</v>
      </c>
      <c r="Q332" s="1" t="s">
        <v>32</v>
      </c>
      <c r="R332" s="1" t="s">
        <v>1826</v>
      </c>
      <c r="S332" s="1" t="s">
        <v>34</v>
      </c>
      <c r="T332" s="1" t="s">
        <v>109</v>
      </c>
      <c r="U332" s="1" t="s">
        <v>1827</v>
      </c>
      <c r="V332" s="3">
        <v>2.9340000000000002</v>
      </c>
      <c r="W332" s="1" t="str">
        <f t="shared" si="29"/>
        <v>Slow Delivery</v>
      </c>
    </row>
    <row r="333" spans="1:23" x14ac:dyDescent="0.25">
      <c r="A333" s="1">
        <v>8502</v>
      </c>
      <c r="B333" s="2" t="s">
        <v>1828</v>
      </c>
      <c r="C333" s="2">
        <v>42430</v>
      </c>
      <c r="D333" s="2">
        <v>42432</v>
      </c>
      <c r="E333" s="1">
        <f t="shared" si="26"/>
        <v>2016</v>
      </c>
      <c r="F333" s="2" t="str">
        <f t="shared" si="27"/>
        <v>Mar</v>
      </c>
      <c r="G333" s="1">
        <f t="shared" si="28"/>
        <v>3</v>
      </c>
      <c r="H333" s="1">
        <f t="shared" si="25"/>
        <v>2</v>
      </c>
      <c r="I333" s="1" t="s">
        <v>83</v>
      </c>
      <c r="J333" s="1" t="s">
        <v>1829</v>
      </c>
      <c r="K333" s="1" t="s">
        <v>1830</v>
      </c>
      <c r="L333" s="1" t="s">
        <v>51</v>
      </c>
      <c r="M333" s="1" t="s">
        <v>29</v>
      </c>
      <c r="N333" s="1" t="s">
        <v>132</v>
      </c>
      <c r="O333" s="1" t="s">
        <v>106</v>
      </c>
      <c r="P333" s="1">
        <v>90045</v>
      </c>
      <c r="Q333" s="1" t="s">
        <v>107</v>
      </c>
      <c r="R333" s="1" t="s">
        <v>611</v>
      </c>
      <c r="S333" s="1" t="s">
        <v>64</v>
      </c>
      <c r="T333" s="1" t="s">
        <v>159</v>
      </c>
      <c r="U333" s="1" t="s">
        <v>612</v>
      </c>
      <c r="V333" s="3">
        <v>15.984</v>
      </c>
      <c r="W333" s="1" t="str">
        <f t="shared" si="29"/>
        <v>Fast Delivery</v>
      </c>
    </row>
    <row r="334" spans="1:23" x14ac:dyDescent="0.25">
      <c r="A334" s="1">
        <v>6953</v>
      </c>
      <c r="B334" s="2" t="s">
        <v>1831</v>
      </c>
      <c r="C334" s="2">
        <v>42645</v>
      </c>
      <c r="D334" s="2">
        <v>42646</v>
      </c>
      <c r="E334" s="1">
        <f t="shared" si="26"/>
        <v>2016</v>
      </c>
      <c r="F334" s="2" t="str">
        <f t="shared" si="27"/>
        <v>Oct</v>
      </c>
      <c r="G334" s="1">
        <f t="shared" si="28"/>
        <v>10</v>
      </c>
      <c r="H334" s="1">
        <f t="shared" si="25"/>
        <v>1</v>
      </c>
      <c r="I334" s="1" t="s">
        <v>38</v>
      </c>
      <c r="J334" s="1" t="s">
        <v>1832</v>
      </c>
      <c r="K334" s="1" t="s">
        <v>1833</v>
      </c>
      <c r="L334" s="1" t="s">
        <v>28</v>
      </c>
      <c r="M334" s="1" t="s">
        <v>29</v>
      </c>
      <c r="N334" s="1" t="s">
        <v>132</v>
      </c>
      <c r="O334" s="1" t="s">
        <v>106</v>
      </c>
      <c r="P334" s="1">
        <v>90008</v>
      </c>
      <c r="Q334" s="1" t="s">
        <v>107</v>
      </c>
      <c r="R334" s="1" t="s">
        <v>1834</v>
      </c>
      <c r="S334" s="1" t="s">
        <v>34</v>
      </c>
      <c r="T334" s="1" t="s">
        <v>109</v>
      </c>
      <c r="U334" s="1" t="s">
        <v>1835</v>
      </c>
      <c r="V334" s="3">
        <v>11.808</v>
      </c>
      <c r="W334" s="1" t="str">
        <f t="shared" si="29"/>
        <v>Fast Delivery</v>
      </c>
    </row>
    <row r="335" spans="1:23" x14ac:dyDescent="0.25">
      <c r="A335" s="1">
        <v>6551</v>
      </c>
      <c r="B335" s="2" t="s">
        <v>1836</v>
      </c>
      <c r="C335" s="2">
        <v>42675</v>
      </c>
      <c r="D335" s="2">
        <v>42677</v>
      </c>
      <c r="E335" s="1">
        <f t="shared" si="26"/>
        <v>2016</v>
      </c>
      <c r="F335" s="2" t="str">
        <f t="shared" si="27"/>
        <v>Nov</v>
      </c>
      <c r="G335" s="1">
        <f t="shared" si="28"/>
        <v>11</v>
      </c>
      <c r="H335" s="1">
        <f t="shared" si="25"/>
        <v>2</v>
      </c>
      <c r="I335" s="1" t="s">
        <v>83</v>
      </c>
      <c r="J335" s="1" t="s">
        <v>1837</v>
      </c>
      <c r="K335" s="1" t="s">
        <v>1838</v>
      </c>
      <c r="L335" s="1" t="s">
        <v>28</v>
      </c>
      <c r="M335" s="1" t="s">
        <v>29</v>
      </c>
      <c r="N335" s="1" t="s">
        <v>114</v>
      </c>
      <c r="O335" s="1" t="s">
        <v>115</v>
      </c>
      <c r="P335" s="1">
        <v>10035</v>
      </c>
      <c r="Q335" s="1" t="s">
        <v>43</v>
      </c>
      <c r="R335" s="1" t="s">
        <v>1839</v>
      </c>
      <c r="S335" s="1" t="s">
        <v>45</v>
      </c>
      <c r="T335" s="1" t="s">
        <v>89</v>
      </c>
      <c r="U335" s="1" t="s">
        <v>1840</v>
      </c>
      <c r="V335" s="3">
        <v>327.56400000000002</v>
      </c>
      <c r="W335" s="1" t="str">
        <f t="shared" si="29"/>
        <v>Fast Delivery</v>
      </c>
    </row>
    <row r="336" spans="1:23" x14ac:dyDescent="0.25">
      <c r="A336" s="1">
        <v>4167</v>
      </c>
      <c r="B336" s="2" t="s">
        <v>1841</v>
      </c>
      <c r="C336" s="2">
        <v>42437</v>
      </c>
      <c r="D336" s="2">
        <v>42442</v>
      </c>
      <c r="E336" s="1">
        <f t="shared" si="26"/>
        <v>2016</v>
      </c>
      <c r="F336" s="2" t="str">
        <f t="shared" si="27"/>
        <v>Mar</v>
      </c>
      <c r="G336" s="1">
        <f t="shared" si="28"/>
        <v>3</v>
      </c>
      <c r="H336" s="1">
        <f t="shared" si="25"/>
        <v>5</v>
      </c>
      <c r="I336" s="1" t="s">
        <v>25</v>
      </c>
      <c r="J336" s="1" t="s">
        <v>1842</v>
      </c>
      <c r="K336" s="1" t="s">
        <v>1843</v>
      </c>
      <c r="L336" s="1" t="s">
        <v>51</v>
      </c>
      <c r="M336" s="1" t="s">
        <v>29</v>
      </c>
      <c r="N336" s="1" t="s">
        <v>381</v>
      </c>
      <c r="O336" s="1" t="s">
        <v>115</v>
      </c>
      <c r="P336" s="1">
        <v>11561</v>
      </c>
      <c r="Q336" s="1" t="s">
        <v>43</v>
      </c>
      <c r="R336" s="1" t="s">
        <v>1844</v>
      </c>
      <c r="S336" s="1" t="s">
        <v>34</v>
      </c>
      <c r="T336" s="1" t="s">
        <v>174</v>
      </c>
      <c r="U336" s="1" t="s">
        <v>1845</v>
      </c>
      <c r="V336" s="3">
        <v>19.440000000000001</v>
      </c>
      <c r="W336" s="1" t="str">
        <f t="shared" si="29"/>
        <v>Slow Delivery</v>
      </c>
    </row>
    <row r="337" spans="1:23" x14ac:dyDescent="0.25">
      <c r="A337" s="1">
        <v>7878</v>
      </c>
      <c r="B337" s="2" t="s">
        <v>1846</v>
      </c>
      <c r="C337" s="2">
        <v>42441</v>
      </c>
      <c r="D337" s="2">
        <v>42447</v>
      </c>
      <c r="E337" s="1">
        <f t="shared" si="26"/>
        <v>2016</v>
      </c>
      <c r="F337" s="2" t="str">
        <f t="shared" si="27"/>
        <v>Mar</v>
      </c>
      <c r="G337" s="1">
        <f t="shared" si="28"/>
        <v>3</v>
      </c>
      <c r="H337" s="1">
        <f t="shared" si="25"/>
        <v>6</v>
      </c>
      <c r="I337" s="1" t="s">
        <v>25</v>
      </c>
      <c r="J337" s="1" t="s">
        <v>1847</v>
      </c>
      <c r="K337" s="1" t="s">
        <v>1848</v>
      </c>
      <c r="L337" s="1" t="s">
        <v>28</v>
      </c>
      <c r="M337" s="1" t="s">
        <v>29</v>
      </c>
      <c r="N337" s="1" t="s">
        <v>319</v>
      </c>
      <c r="O337" s="1" t="s">
        <v>320</v>
      </c>
      <c r="P337" s="1">
        <v>28205</v>
      </c>
      <c r="Q337" s="1" t="s">
        <v>54</v>
      </c>
      <c r="R337" s="1" t="s">
        <v>1118</v>
      </c>
      <c r="S337" s="1" t="s">
        <v>34</v>
      </c>
      <c r="T337" s="1" t="s">
        <v>56</v>
      </c>
      <c r="U337" s="1" t="s">
        <v>1119</v>
      </c>
      <c r="V337" s="3">
        <v>5.04</v>
      </c>
      <c r="W337" s="1" t="str">
        <f t="shared" si="29"/>
        <v>Slow Delivery</v>
      </c>
    </row>
    <row r="338" spans="1:23" x14ac:dyDescent="0.25">
      <c r="A338" s="1">
        <v>1559</v>
      </c>
      <c r="B338" s="2" t="s">
        <v>1849</v>
      </c>
      <c r="C338" s="2">
        <v>42445</v>
      </c>
      <c r="D338" s="2">
        <v>42447</v>
      </c>
      <c r="E338" s="1">
        <f t="shared" si="26"/>
        <v>2016</v>
      </c>
      <c r="F338" s="2" t="str">
        <f t="shared" si="27"/>
        <v>Mar</v>
      </c>
      <c r="G338" s="1">
        <f t="shared" si="28"/>
        <v>3</v>
      </c>
      <c r="H338" s="1">
        <f t="shared" si="25"/>
        <v>2</v>
      </c>
      <c r="I338" s="1" t="s">
        <v>83</v>
      </c>
      <c r="J338" s="1" t="s">
        <v>1850</v>
      </c>
      <c r="K338" s="1" t="s">
        <v>1851</v>
      </c>
      <c r="L338" s="1" t="s">
        <v>28</v>
      </c>
      <c r="M338" s="1" t="s">
        <v>29</v>
      </c>
      <c r="N338" s="1" t="s">
        <v>488</v>
      </c>
      <c r="O338" s="1" t="s">
        <v>424</v>
      </c>
      <c r="P338" s="1">
        <v>98103</v>
      </c>
      <c r="Q338" s="1" t="s">
        <v>107</v>
      </c>
      <c r="R338" s="1" t="s">
        <v>1215</v>
      </c>
      <c r="S338" s="1" t="s">
        <v>45</v>
      </c>
      <c r="T338" s="1" t="s">
        <v>329</v>
      </c>
      <c r="U338" s="1" t="s">
        <v>705</v>
      </c>
      <c r="V338" s="3">
        <v>171.96</v>
      </c>
      <c r="W338" s="1" t="str">
        <f t="shared" si="29"/>
        <v>Fast Delivery</v>
      </c>
    </row>
    <row r="339" spans="1:23" x14ac:dyDescent="0.25">
      <c r="A339" s="1">
        <v>2564</v>
      </c>
      <c r="B339" s="2" t="s">
        <v>1852</v>
      </c>
      <c r="C339" s="2">
        <v>42446</v>
      </c>
      <c r="D339" s="2">
        <v>42451</v>
      </c>
      <c r="E339" s="1">
        <f t="shared" si="26"/>
        <v>2016</v>
      </c>
      <c r="F339" s="2" t="str">
        <f t="shared" si="27"/>
        <v>Mar</v>
      </c>
      <c r="G339" s="1">
        <f t="shared" si="28"/>
        <v>3</v>
      </c>
      <c r="H339" s="1">
        <f t="shared" si="25"/>
        <v>5</v>
      </c>
      <c r="I339" s="1" t="s">
        <v>83</v>
      </c>
      <c r="J339" s="1" t="s">
        <v>1853</v>
      </c>
      <c r="K339" s="1" t="s">
        <v>1854</v>
      </c>
      <c r="L339" s="1" t="s">
        <v>51</v>
      </c>
      <c r="M339" s="1" t="s">
        <v>29</v>
      </c>
      <c r="N339" s="1" t="s">
        <v>114</v>
      </c>
      <c r="O339" s="1" t="s">
        <v>115</v>
      </c>
      <c r="P339" s="1">
        <v>10009</v>
      </c>
      <c r="Q339" s="1" t="s">
        <v>43</v>
      </c>
      <c r="R339" s="1" t="s">
        <v>1855</v>
      </c>
      <c r="S339" s="1" t="s">
        <v>64</v>
      </c>
      <c r="T339" s="1" t="s">
        <v>65</v>
      </c>
      <c r="U339" s="1" t="s">
        <v>1856</v>
      </c>
      <c r="V339" s="3">
        <v>15.02</v>
      </c>
      <c r="W339" s="1" t="str">
        <f t="shared" si="29"/>
        <v>Slow Delivery</v>
      </c>
    </row>
    <row r="340" spans="1:23" x14ac:dyDescent="0.25">
      <c r="A340" s="1">
        <v>2487</v>
      </c>
      <c r="B340" s="2" t="s">
        <v>1857</v>
      </c>
      <c r="C340" s="2">
        <v>42371</v>
      </c>
      <c r="D340" s="2">
        <v>42373</v>
      </c>
      <c r="E340" s="1">
        <f t="shared" si="26"/>
        <v>2016</v>
      </c>
      <c r="F340" s="2" t="str">
        <f t="shared" si="27"/>
        <v>Jan</v>
      </c>
      <c r="G340" s="1">
        <f t="shared" si="28"/>
        <v>1</v>
      </c>
      <c r="H340" s="1">
        <f t="shared" si="25"/>
        <v>2</v>
      </c>
      <c r="I340" s="1" t="s">
        <v>83</v>
      </c>
      <c r="J340" s="1" t="s">
        <v>1858</v>
      </c>
      <c r="K340" s="1" t="s">
        <v>1859</v>
      </c>
      <c r="L340" s="1" t="s">
        <v>51</v>
      </c>
      <c r="M340" s="1" t="s">
        <v>29</v>
      </c>
      <c r="N340" s="1" t="s">
        <v>855</v>
      </c>
      <c r="O340" s="1" t="s">
        <v>42</v>
      </c>
      <c r="P340" s="1">
        <v>19711</v>
      </c>
      <c r="Q340" s="1" t="s">
        <v>43</v>
      </c>
      <c r="R340" s="1" t="s">
        <v>1860</v>
      </c>
      <c r="S340" s="1" t="s">
        <v>34</v>
      </c>
      <c r="T340" s="1" t="s">
        <v>270</v>
      </c>
      <c r="U340" s="1" t="s">
        <v>1861</v>
      </c>
      <c r="V340" s="3">
        <v>85.52</v>
      </c>
      <c r="W340" s="1" t="str">
        <f t="shared" si="29"/>
        <v>Fast Delivery</v>
      </c>
    </row>
    <row r="341" spans="1:23" x14ac:dyDescent="0.25">
      <c r="A341" s="1">
        <v>1909</v>
      </c>
      <c r="B341" s="2" t="s">
        <v>1862</v>
      </c>
      <c r="C341" s="2">
        <v>42403</v>
      </c>
      <c r="D341" s="2">
        <v>42404</v>
      </c>
      <c r="E341" s="1">
        <f t="shared" si="26"/>
        <v>2016</v>
      </c>
      <c r="F341" s="2" t="str">
        <f t="shared" si="27"/>
        <v>Feb</v>
      </c>
      <c r="G341" s="1">
        <f t="shared" si="28"/>
        <v>2</v>
      </c>
      <c r="H341" s="1">
        <f t="shared" si="25"/>
        <v>1</v>
      </c>
      <c r="I341" s="1" t="s">
        <v>38</v>
      </c>
      <c r="J341" s="1" t="s">
        <v>1863</v>
      </c>
      <c r="K341" s="1" t="s">
        <v>1864</v>
      </c>
      <c r="L341" s="1" t="s">
        <v>51</v>
      </c>
      <c r="M341" s="1" t="s">
        <v>29</v>
      </c>
      <c r="N341" s="1" t="s">
        <v>132</v>
      </c>
      <c r="O341" s="1" t="s">
        <v>106</v>
      </c>
      <c r="P341" s="1">
        <v>90008</v>
      </c>
      <c r="Q341" s="1" t="s">
        <v>107</v>
      </c>
      <c r="R341" s="1" t="s">
        <v>1865</v>
      </c>
      <c r="S341" s="1" t="s">
        <v>45</v>
      </c>
      <c r="T341" s="1" t="s">
        <v>46</v>
      </c>
      <c r="U341" s="1" t="s">
        <v>1866</v>
      </c>
      <c r="V341" s="3">
        <v>136.91999999999999</v>
      </c>
      <c r="W341" s="1" t="str">
        <f t="shared" si="29"/>
        <v>Fast Delivery</v>
      </c>
    </row>
    <row r="342" spans="1:23" x14ac:dyDescent="0.25">
      <c r="A342" s="1">
        <v>1816</v>
      </c>
      <c r="B342" s="2" t="s">
        <v>1867</v>
      </c>
      <c r="C342" s="2">
        <v>42525</v>
      </c>
      <c r="D342" s="2">
        <v>42525</v>
      </c>
      <c r="E342" s="1">
        <f t="shared" si="26"/>
        <v>2016</v>
      </c>
      <c r="F342" s="2" t="str">
        <f t="shared" si="27"/>
        <v>Jun</v>
      </c>
      <c r="G342" s="1">
        <f t="shared" si="28"/>
        <v>6</v>
      </c>
      <c r="H342" s="1">
        <f t="shared" si="25"/>
        <v>0</v>
      </c>
      <c r="I342" s="1" t="s">
        <v>68</v>
      </c>
      <c r="J342" s="1" t="s">
        <v>1868</v>
      </c>
      <c r="K342" s="1" t="s">
        <v>1869</v>
      </c>
      <c r="L342" s="1" t="s">
        <v>28</v>
      </c>
      <c r="M342" s="1" t="s">
        <v>29</v>
      </c>
      <c r="N342" s="1" t="s">
        <v>488</v>
      </c>
      <c r="O342" s="1" t="s">
        <v>424</v>
      </c>
      <c r="P342" s="1">
        <v>98105</v>
      </c>
      <c r="Q342" s="1" t="s">
        <v>107</v>
      </c>
      <c r="R342" s="1" t="s">
        <v>1870</v>
      </c>
      <c r="S342" s="1" t="s">
        <v>34</v>
      </c>
      <c r="T342" s="1" t="s">
        <v>56</v>
      </c>
      <c r="U342" s="1" t="s">
        <v>1871</v>
      </c>
      <c r="V342" s="3">
        <v>7.38</v>
      </c>
      <c r="W342" s="1" t="str">
        <f t="shared" si="29"/>
        <v>Fast Delivery</v>
      </c>
    </row>
    <row r="343" spans="1:23" x14ac:dyDescent="0.25">
      <c r="A343" s="1">
        <v>8849</v>
      </c>
      <c r="B343" s="2" t="s">
        <v>1872</v>
      </c>
      <c r="C343" s="2">
        <v>42553</v>
      </c>
      <c r="D343" s="2">
        <v>42555</v>
      </c>
      <c r="E343" s="1">
        <f t="shared" si="26"/>
        <v>2016</v>
      </c>
      <c r="F343" s="2" t="str">
        <f t="shared" si="27"/>
        <v>Jul</v>
      </c>
      <c r="G343" s="1">
        <f t="shared" si="28"/>
        <v>7</v>
      </c>
      <c r="H343" s="1">
        <f t="shared" si="25"/>
        <v>2</v>
      </c>
      <c r="I343" s="1" t="s">
        <v>38</v>
      </c>
      <c r="J343" s="1" t="s">
        <v>1873</v>
      </c>
      <c r="K343" s="1" t="s">
        <v>1874</v>
      </c>
      <c r="L343" s="1" t="s">
        <v>51</v>
      </c>
      <c r="M343" s="1" t="s">
        <v>29</v>
      </c>
      <c r="N343" s="1" t="s">
        <v>1875</v>
      </c>
      <c r="O343" s="1" t="s">
        <v>320</v>
      </c>
      <c r="P343" s="1">
        <v>27604</v>
      </c>
      <c r="Q343" s="1" t="s">
        <v>54</v>
      </c>
      <c r="R343" s="1" t="s">
        <v>1876</v>
      </c>
      <c r="S343" s="1" t="s">
        <v>64</v>
      </c>
      <c r="T343" s="1" t="s">
        <v>159</v>
      </c>
      <c r="U343" s="1" t="s">
        <v>1877</v>
      </c>
      <c r="V343" s="3">
        <v>74.239999999999995</v>
      </c>
      <c r="W343" s="1" t="str">
        <f t="shared" si="29"/>
        <v>Fast Delivery</v>
      </c>
    </row>
    <row r="344" spans="1:23" x14ac:dyDescent="0.25">
      <c r="A344" s="1">
        <v>335</v>
      </c>
      <c r="B344" s="2" t="s">
        <v>1878</v>
      </c>
      <c r="C344" s="2">
        <v>42614</v>
      </c>
      <c r="D344" s="2">
        <v>42617</v>
      </c>
      <c r="E344" s="1">
        <f t="shared" si="26"/>
        <v>2016</v>
      </c>
      <c r="F344" s="2" t="str">
        <f t="shared" si="27"/>
        <v>Sep</v>
      </c>
      <c r="G344" s="1">
        <f t="shared" si="28"/>
        <v>9</v>
      </c>
      <c r="H344" s="1">
        <f t="shared" si="25"/>
        <v>3</v>
      </c>
      <c r="I344" s="1" t="s">
        <v>83</v>
      </c>
      <c r="J344" s="1" t="s">
        <v>1879</v>
      </c>
      <c r="K344" s="1" t="s">
        <v>1880</v>
      </c>
      <c r="L344" s="1" t="s">
        <v>28</v>
      </c>
      <c r="M344" s="1" t="s">
        <v>29</v>
      </c>
      <c r="N344" s="1" t="s">
        <v>132</v>
      </c>
      <c r="O344" s="1" t="s">
        <v>106</v>
      </c>
      <c r="P344" s="1">
        <v>90045</v>
      </c>
      <c r="Q344" s="1" t="s">
        <v>107</v>
      </c>
      <c r="R344" s="1" t="s">
        <v>1881</v>
      </c>
      <c r="S344" s="1" t="s">
        <v>34</v>
      </c>
      <c r="T344" s="1" t="s">
        <v>109</v>
      </c>
      <c r="U344" s="1" t="s">
        <v>694</v>
      </c>
      <c r="V344" s="3">
        <v>4.7519999999999998</v>
      </c>
      <c r="W344" s="1" t="str">
        <f t="shared" si="29"/>
        <v>Fast Delivery</v>
      </c>
    </row>
    <row r="345" spans="1:23" x14ac:dyDescent="0.25">
      <c r="A345" s="1">
        <v>6268</v>
      </c>
      <c r="B345" s="2" t="s">
        <v>1882</v>
      </c>
      <c r="C345" s="2">
        <v>42644</v>
      </c>
      <c r="D345" s="2">
        <v>42647</v>
      </c>
      <c r="E345" s="1">
        <f t="shared" si="26"/>
        <v>2016</v>
      </c>
      <c r="F345" s="2" t="str">
        <f t="shared" si="27"/>
        <v>Oct</v>
      </c>
      <c r="G345" s="1">
        <f t="shared" si="28"/>
        <v>10</v>
      </c>
      <c r="H345" s="1">
        <f t="shared" si="25"/>
        <v>3</v>
      </c>
      <c r="I345" s="1" t="s">
        <v>83</v>
      </c>
      <c r="J345" s="1" t="s">
        <v>1883</v>
      </c>
      <c r="K345" s="1" t="s">
        <v>1884</v>
      </c>
      <c r="L345" s="1" t="s">
        <v>131</v>
      </c>
      <c r="M345" s="1" t="s">
        <v>29</v>
      </c>
      <c r="N345" s="1" t="s">
        <v>1885</v>
      </c>
      <c r="O345" s="1" t="s">
        <v>157</v>
      </c>
      <c r="P345" s="1">
        <v>2138</v>
      </c>
      <c r="Q345" s="1" t="s">
        <v>43</v>
      </c>
      <c r="R345" s="1" t="s">
        <v>1886</v>
      </c>
      <c r="S345" s="1" t="s">
        <v>64</v>
      </c>
      <c r="T345" s="1" t="s">
        <v>159</v>
      </c>
      <c r="U345" s="1" t="s">
        <v>1887</v>
      </c>
      <c r="V345" s="3">
        <v>311.98</v>
      </c>
      <c r="W345" s="1" t="str">
        <f t="shared" si="29"/>
        <v>Fast Delivery</v>
      </c>
    </row>
    <row r="346" spans="1:23" x14ac:dyDescent="0.25">
      <c r="A346" s="1">
        <v>8466</v>
      </c>
      <c r="B346" s="2" t="s">
        <v>1888</v>
      </c>
      <c r="C346" s="2">
        <v>42469</v>
      </c>
      <c r="D346" s="2">
        <v>42474</v>
      </c>
      <c r="E346" s="1">
        <f t="shared" si="26"/>
        <v>2016</v>
      </c>
      <c r="F346" s="2" t="str">
        <f t="shared" si="27"/>
        <v>Apr</v>
      </c>
      <c r="G346" s="1">
        <f t="shared" si="28"/>
        <v>4</v>
      </c>
      <c r="H346" s="1">
        <f t="shared" si="25"/>
        <v>5</v>
      </c>
      <c r="I346" s="1" t="s">
        <v>25</v>
      </c>
      <c r="J346" s="1" t="s">
        <v>1889</v>
      </c>
      <c r="K346" s="1" t="s">
        <v>1890</v>
      </c>
      <c r="L346" s="1" t="s">
        <v>28</v>
      </c>
      <c r="M346" s="1" t="s">
        <v>29</v>
      </c>
      <c r="N346" s="1" t="s">
        <v>114</v>
      </c>
      <c r="O346" s="1" t="s">
        <v>115</v>
      </c>
      <c r="P346" s="1">
        <v>10024</v>
      </c>
      <c r="Q346" s="1" t="s">
        <v>43</v>
      </c>
      <c r="R346" s="1" t="s">
        <v>1891</v>
      </c>
      <c r="S346" s="1" t="s">
        <v>34</v>
      </c>
      <c r="T346" s="1" t="s">
        <v>270</v>
      </c>
      <c r="U346" s="1" t="s">
        <v>1892</v>
      </c>
      <c r="V346" s="3">
        <v>17.940000000000001</v>
      </c>
      <c r="W346" s="1" t="str">
        <f t="shared" si="29"/>
        <v>Slow Delivery</v>
      </c>
    </row>
    <row r="347" spans="1:23" x14ac:dyDescent="0.25">
      <c r="A347" s="1">
        <v>8467</v>
      </c>
      <c r="B347" s="2" t="s">
        <v>1893</v>
      </c>
      <c r="C347" s="2">
        <v>42469</v>
      </c>
      <c r="D347" s="2">
        <v>42474</v>
      </c>
      <c r="E347" s="1">
        <f t="shared" si="26"/>
        <v>2016</v>
      </c>
      <c r="F347" s="2" t="str">
        <f t="shared" si="27"/>
        <v>Apr</v>
      </c>
      <c r="G347" s="1">
        <f t="shared" si="28"/>
        <v>4</v>
      </c>
      <c r="H347" s="1">
        <f t="shared" si="25"/>
        <v>5</v>
      </c>
      <c r="I347" s="1" t="s">
        <v>25</v>
      </c>
      <c r="J347" s="1" t="s">
        <v>1894</v>
      </c>
      <c r="K347" s="1" t="s">
        <v>1895</v>
      </c>
      <c r="L347" s="1" t="s">
        <v>28</v>
      </c>
      <c r="M347" s="1" t="s">
        <v>29</v>
      </c>
      <c r="N347" s="1" t="s">
        <v>1896</v>
      </c>
      <c r="O347" s="1" t="s">
        <v>197</v>
      </c>
      <c r="P347" s="1">
        <v>6360</v>
      </c>
      <c r="Q347" s="1" t="s">
        <v>43</v>
      </c>
      <c r="R347" s="1" t="s">
        <v>1897</v>
      </c>
      <c r="S347" s="1" t="s">
        <v>34</v>
      </c>
      <c r="T347" s="1" t="s">
        <v>74</v>
      </c>
      <c r="U347" s="1" t="s">
        <v>1898</v>
      </c>
      <c r="V347" s="3">
        <v>370.14</v>
      </c>
      <c r="W347" s="1" t="str">
        <f t="shared" si="29"/>
        <v>Slow Delivery</v>
      </c>
    </row>
    <row r="348" spans="1:23" x14ac:dyDescent="0.25">
      <c r="A348" s="1">
        <v>7461</v>
      </c>
      <c r="B348" s="2" t="s">
        <v>1899</v>
      </c>
      <c r="C348" s="2">
        <v>42471</v>
      </c>
      <c r="D348" s="2">
        <v>42474</v>
      </c>
      <c r="E348" s="1">
        <f t="shared" si="26"/>
        <v>2016</v>
      </c>
      <c r="F348" s="2" t="str">
        <f t="shared" si="27"/>
        <v>Apr</v>
      </c>
      <c r="G348" s="1">
        <f t="shared" si="28"/>
        <v>4</v>
      </c>
      <c r="H348" s="1">
        <f t="shared" si="25"/>
        <v>3</v>
      </c>
      <c r="I348" s="1" t="s">
        <v>83</v>
      </c>
      <c r="J348" s="1" t="s">
        <v>1900</v>
      </c>
      <c r="K348" s="1" t="s">
        <v>1901</v>
      </c>
      <c r="L348" s="1" t="s">
        <v>28</v>
      </c>
      <c r="M348" s="1" t="s">
        <v>29</v>
      </c>
      <c r="N348" s="1" t="s">
        <v>132</v>
      </c>
      <c r="O348" s="1" t="s">
        <v>106</v>
      </c>
      <c r="P348" s="1">
        <v>90004</v>
      </c>
      <c r="Q348" s="1" t="s">
        <v>107</v>
      </c>
      <c r="R348" s="1" t="s">
        <v>1902</v>
      </c>
      <c r="S348" s="1" t="s">
        <v>64</v>
      </c>
      <c r="T348" s="1" t="s">
        <v>145</v>
      </c>
      <c r="U348" s="1" t="s">
        <v>1903</v>
      </c>
      <c r="V348" s="3">
        <v>639.96799999999996</v>
      </c>
      <c r="W348" s="1" t="str">
        <f t="shared" si="29"/>
        <v>Fast Delivery</v>
      </c>
    </row>
    <row r="349" spans="1:23" x14ac:dyDescent="0.25">
      <c r="A349" s="1">
        <v>4170</v>
      </c>
      <c r="B349" s="2" t="s">
        <v>1904</v>
      </c>
      <c r="C349" s="2">
        <v>42473</v>
      </c>
      <c r="D349" s="2">
        <v>42474</v>
      </c>
      <c r="E349" s="1">
        <f t="shared" si="26"/>
        <v>2016</v>
      </c>
      <c r="F349" s="2" t="str">
        <f t="shared" si="27"/>
        <v>Apr</v>
      </c>
      <c r="G349" s="1">
        <f t="shared" si="28"/>
        <v>4</v>
      </c>
      <c r="H349" s="1">
        <f t="shared" si="25"/>
        <v>1</v>
      </c>
      <c r="I349" s="1" t="s">
        <v>38</v>
      </c>
      <c r="J349" s="1" t="s">
        <v>1905</v>
      </c>
      <c r="K349" s="1" t="s">
        <v>1906</v>
      </c>
      <c r="L349" s="1" t="s">
        <v>131</v>
      </c>
      <c r="M349" s="1" t="s">
        <v>29</v>
      </c>
      <c r="N349" s="1" t="s">
        <v>1753</v>
      </c>
      <c r="O349" s="1" t="s">
        <v>229</v>
      </c>
      <c r="P349" s="1">
        <v>85204</v>
      </c>
      <c r="Q349" s="1" t="s">
        <v>107</v>
      </c>
      <c r="R349" s="1" t="s">
        <v>1258</v>
      </c>
      <c r="S349" s="1" t="s">
        <v>34</v>
      </c>
      <c r="T349" s="1" t="s">
        <v>174</v>
      </c>
      <c r="U349" s="1" t="s">
        <v>1259</v>
      </c>
      <c r="V349" s="3">
        <v>31.103999999999999</v>
      </c>
      <c r="W349" s="1" t="str">
        <f t="shared" si="29"/>
        <v>Fast Delivery</v>
      </c>
    </row>
    <row r="350" spans="1:23" x14ac:dyDescent="0.25">
      <c r="A350" s="1">
        <v>6061</v>
      </c>
      <c r="B350" s="2" t="s">
        <v>1907</v>
      </c>
      <c r="C350" s="2">
        <v>42470</v>
      </c>
      <c r="D350" s="2">
        <v>42476</v>
      </c>
      <c r="E350" s="1">
        <f t="shared" si="26"/>
        <v>2016</v>
      </c>
      <c r="F350" s="2" t="str">
        <f t="shared" si="27"/>
        <v>Apr</v>
      </c>
      <c r="G350" s="1">
        <f t="shared" si="28"/>
        <v>4</v>
      </c>
      <c r="H350" s="1">
        <f t="shared" si="25"/>
        <v>6</v>
      </c>
      <c r="I350" s="1" t="s">
        <v>25</v>
      </c>
      <c r="J350" s="1" t="s">
        <v>1908</v>
      </c>
      <c r="K350" s="1" t="s">
        <v>1909</v>
      </c>
      <c r="L350" s="1" t="s">
        <v>131</v>
      </c>
      <c r="M350" s="1" t="s">
        <v>29</v>
      </c>
      <c r="N350" s="1" t="s">
        <v>1296</v>
      </c>
      <c r="O350" s="1" t="s">
        <v>115</v>
      </c>
      <c r="P350" s="1">
        <v>14609</v>
      </c>
      <c r="Q350" s="1" t="s">
        <v>43</v>
      </c>
      <c r="R350" s="1" t="s">
        <v>1910</v>
      </c>
      <c r="S350" s="1" t="s">
        <v>34</v>
      </c>
      <c r="T350" s="1" t="s">
        <v>270</v>
      </c>
      <c r="U350" s="1" t="s">
        <v>1911</v>
      </c>
      <c r="V350" s="3">
        <v>142.04</v>
      </c>
      <c r="W350" s="1" t="str">
        <f t="shared" si="29"/>
        <v>Slow Delivery</v>
      </c>
    </row>
    <row r="351" spans="1:23" x14ac:dyDescent="0.25">
      <c r="A351" s="1">
        <v>808</v>
      </c>
      <c r="B351" s="2" t="s">
        <v>1912</v>
      </c>
      <c r="C351" s="2">
        <v>42403</v>
      </c>
      <c r="D351" s="2">
        <v>42405</v>
      </c>
      <c r="E351" s="1">
        <f t="shared" si="26"/>
        <v>2016</v>
      </c>
      <c r="F351" s="2" t="str">
        <f t="shared" si="27"/>
        <v>Feb</v>
      </c>
      <c r="G351" s="1">
        <f t="shared" si="28"/>
        <v>2</v>
      </c>
      <c r="H351" s="1">
        <f t="shared" si="25"/>
        <v>2</v>
      </c>
      <c r="I351" s="1" t="s">
        <v>38</v>
      </c>
      <c r="J351" s="1" t="s">
        <v>1913</v>
      </c>
      <c r="K351" s="1" t="s">
        <v>1914</v>
      </c>
      <c r="L351" s="1" t="s">
        <v>28</v>
      </c>
      <c r="M351" s="1" t="s">
        <v>29</v>
      </c>
      <c r="N351" s="1" t="s">
        <v>775</v>
      </c>
      <c r="O351" s="1" t="s">
        <v>776</v>
      </c>
      <c r="P351" s="1">
        <v>68104</v>
      </c>
      <c r="Q351" s="1" t="s">
        <v>32</v>
      </c>
      <c r="R351" s="1" t="s">
        <v>1915</v>
      </c>
      <c r="S351" s="1" t="s">
        <v>45</v>
      </c>
      <c r="T351" s="1" t="s">
        <v>46</v>
      </c>
      <c r="U351" s="1" t="s">
        <v>1916</v>
      </c>
      <c r="V351" s="3">
        <v>28.4</v>
      </c>
      <c r="W351" s="1" t="str">
        <f t="shared" si="29"/>
        <v>Fast Delivery</v>
      </c>
    </row>
    <row r="352" spans="1:23" x14ac:dyDescent="0.25">
      <c r="A352" s="1">
        <v>3992</v>
      </c>
      <c r="B352" s="2" t="s">
        <v>1917</v>
      </c>
      <c r="C352" s="2">
        <v>42491</v>
      </c>
      <c r="D352" s="2">
        <v>42495</v>
      </c>
      <c r="E352" s="1">
        <f t="shared" si="26"/>
        <v>2016</v>
      </c>
      <c r="F352" s="2" t="str">
        <f t="shared" si="27"/>
        <v>May</v>
      </c>
      <c r="G352" s="1">
        <f t="shared" si="28"/>
        <v>5</v>
      </c>
      <c r="H352" s="1">
        <f t="shared" si="25"/>
        <v>4</v>
      </c>
      <c r="I352" s="1" t="s">
        <v>25</v>
      </c>
      <c r="J352" s="1" t="s">
        <v>1918</v>
      </c>
      <c r="K352" s="1" t="s">
        <v>1919</v>
      </c>
      <c r="L352" s="1" t="s">
        <v>51</v>
      </c>
      <c r="M352" s="1" t="s">
        <v>29</v>
      </c>
      <c r="N352" s="1" t="s">
        <v>1920</v>
      </c>
      <c r="O352" s="1" t="s">
        <v>190</v>
      </c>
      <c r="P352" s="1">
        <v>33614</v>
      </c>
      <c r="Q352" s="1" t="s">
        <v>54</v>
      </c>
      <c r="R352" s="1" t="s">
        <v>1921</v>
      </c>
      <c r="S352" s="1" t="s">
        <v>45</v>
      </c>
      <c r="T352" s="1" t="s">
        <v>46</v>
      </c>
      <c r="U352" s="1" t="s">
        <v>1922</v>
      </c>
      <c r="V352" s="3">
        <v>63.552</v>
      </c>
      <c r="W352" s="1" t="str">
        <f t="shared" si="29"/>
        <v>Slow Delivery</v>
      </c>
    </row>
    <row r="353" spans="1:23" x14ac:dyDescent="0.25">
      <c r="A353" s="1">
        <v>4967</v>
      </c>
      <c r="B353" s="2" t="s">
        <v>1923</v>
      </c>
      <c r="C353" s="2">
        <v>42584</v>
      </c>
      <c r="D353" s="2">
        <v>42587</v>
      </c>
      <c r="E353" s="1">
        <f t="shared" si="26"/>
        <v>2016</v>
      </c>
      <c r="F353" s="2" t="str">
        <f t="shared" si="27"/>
        <v>Aug</v>
      </c>
      <c r="G353" s="1">
        <f t="shared" si="28"/>
        <v>8</v>
      </c>
      <c r="H353" s="1">
        <f t="shared" si="25"/>
        <v>3</v>
      </c>
      <c r="I353" s="1" t="s">
        <v>83</v>
      </c>
      <c r="J353" s="1" t="s">
        <v>1924</v>
      </c>
      <c r="K353" s="1" t="s">
        <v>1925</v>
      </c>
      <c r="L353" s="1" t="s">
        <v>131</v>
      </c>
      <c r="M353" s="1" t="s">
        <v>29</v>
      </c>
      <c r="N353" s="1" t="s">
        <v>1926</v>
      </c>
      <c r="O353" s="1" t="s">
        <v>1927</v>
      </c>
      <c r="P353" s="1">
        <v>2908</v>
      </c>
      <c r="Q353" s="1" t="s">
        <v>43</v>
      </c>
      <c r="R353" s="1" t="s">
        <v>1928</v>
      </c>
      <c r="S353" s="1" t="s">
        <v>64</v>
      </c>
      <c r="T353" s="1" t="s">
        <v>159</v>
      </c>
      <c r="U353" s="1" t="s">
        <v>1929</v>
      </c>
      <c r="V353" s="3">
        <v>128.85</v>
      </c>
      <c r="W353" s="1" t="str">
        <f t="shared" si="29"/>
        <v>Fast Delivery</v>
      </c>
    </row>
    <row r="354" spans="1:23" x14ac:dyDescent="0.25">
      <c r="A354" s="1">
        <v>9035</v>
      </c>
      <c r="B354" s="2" t="s">
        <v>1930</v>
      </c>
      <c r="C354" s="2">
        <v>42644</v>
      </c>
      <c r="D354" s="2">
        <v>42648</v>
      </c>
      <c r="E354" s="1">
        <f t="shared" si="26"/>
        <v>2016</v>
      </c>
      <c r="F354" s="2" t="str">
        <f t="shared" si="27"/>
        <v>Oct</v>
      </c>
      <c r="G354" s="1">
        <f t="shared" si="28"/>
        <v>10</v>
      </c>
      <c r="H354" s="1">
        <f t="shared" si="25"/>
        <v>4</v>
      </c>
      <c r="I354" s="1" t="s">
        <v>25</v>
      </c>
      <c r="J354" s="1" t="s">
        <v>1931</v>
      </c>
      <c r="K354" s="1" t="s">
        <v>1932</v>
      </c>
      <c r="L354" s="1" t="s">
        <v>28</v>
      </c>
      <c r="M354" s="1" t="s">
        <v>29</v>
      </c>
      <c r="N354" s="1" t="s">
        <v>1933</v>
      </c>
      <c r="O354" s="1" t="s">
        <v>222</v>
      </c>
      <c r="P354" s="1">
        <v>62301</v>
      </c>
      <c r="Q354" s="1" t="s">
        <v>32</v>
      </c>
      <c r="R354" s="1" t="s">
        <v>1934</v>
      </c>
      <c r="S354" s="1" t="s">
        <v>34</v>
      </c>
      <c r="T354" s="1" t="s">
        <v>109</v>
      </c>
      <c r="U354" s="1" t="s">
        <v>1935</v>
      </c>
      <c r="V354" s="3">
        <v>2.992</v>
      </c>
      <c r="W354" s="1" t="str">
        <f t="shared" si="29"/>
        <v>Slow Delivery</v>
      </c>
    </row>
    <row r="355" spans="1:23" x14ac:dyDescent="0.25">
      <c r="A355" s="1">
        <v>8189</v>
      </c>
      <c r="B355" s="2" t="s">
        <v>1936</v>
      </c>
      <c r="C355" s="2">
        <v>42645</v>
      </c>
      <c r="D355" s="2">
        <v>42648</v>
      </c>
      <c r="E355" s="1">
        <f t="shared" si="26"/>
        <v>2016</v>
      </c>
      <c r="F355" s="2" t="str">
        <f t="shared" si="27"/>
        <v>Oct</v>
      </c>
      <c r="G355" s="1">
        <f t="shared" si="28"/>
        <v>10</v>
      </c>
      <c r="H355" s="1">
        <f t="shared" si="25"/>
        <v>3</v>
      </c>
      <c r="I355" s="1" t="s">
        <v>83</v>
      </c>
      <c r="J355" s="1" t="s">
        <v>1937</v>
      </c>
      <c r="K355" s="1" t="s">
        <v>1938</v>
      </c>
      <c r="L355" s="1" t="s">
        <v>28</v>
      </c>
      <c r="M355" s="1" t="s">
        <v>29</v>
      </c>
      <c r="N355" s="1" t="s">
        <v>1939</v>
      </c>
      <c r="O355" s="1" t="s">
        <v>794</v>
      </c>
      <c r="P355" s="1">
        <v>20852</v>
      </c>
      <c r="Q355" s="1" t="s">
        <v>43</v>
      </c>
      <c r="R355" s="1" t="s">
        <v>1940</v>
      </c>
      <c r="S355" s="1" t="s">
        <v>34</v>
      </c>
      <c r="T355" s="1" t="s">
        <v>174</v>
      </c>
      <c r="U355" s="1" t="s">
        <v>1941</v>
      </c>
      <c r="V355" s="3">
        <v>19.440000000000001</v>
      </c>
      <c r="W355" s="1" t="str">
        <f t="shared" si="29"/>
        <v>Fast Delivery</v>
      </c>
    </row>
    <row r="356" spans="1:23" x14ac:dyDescent="0.25">
      <c r="A356" s="1">
        <v>7006</v>
      </c>
      <c r="B356" s="2" t="s">
        <v>1942</v>
      </c>
      <c r="C356" s="2">
        <v>42675</v>
      </c>
      <c r="D356" s="2">
        <v>42679</v>
      </c>
      <c r="E356" s="1">
        <f t="shared" si="26"/>
        <v>2016</v>
      </c>
      <c r="F356" s="2" t="str">
        <f t="shared" si="27"/>
        <v>Nov</v>
      </c>
      <c r="G356" s="1">
        <f t="shared" si="28"/>
        <v>11</v>
      </c>
      <c r="H356" s="1">
        <f t="shared" si="25"/>
        <v>4</v>
      </c>
      <c r="I356" s="1" t="s">
        <v>25</v>
      </c>
      <c r="J356" s="1" t="s">
        <v>1943</v>
      </c>
      <c r="K356" s="1" t="s">
        <v>1944</v>
      </c>
      <c r="L356" s="1" t="s">
        <v>28</v>
      </c>
      <c r="M356" s="1" t="s">
        <v>29</v>
      </c>
      <c r="N356" s="1" t="s">
        <v>114</v>
      </c>
      <c r="O356" s="1" t="s">
        <v>115</v>
      </c>
      <c r="P356" s="1">
        <v>10009</v>
      </c>
      <c r="Q356" s="1" t="s">
        <v>43</v>
      </c>
      <c r="R356" s="1" t="s">
        <v>1945</v>
      </c>
      <c r="S356" s="1" t="s">
        <v>45</v>
      </c>
      <c r="T356" s="1" t="s">
        <v>89</v>
      </c>
      <c r="U356" s="1" t="s">
        <v>1946</v>
      </c>
      <c r="V356" s="3">
        <v>205.16399999999999</v>
      </c>
      <c r="W356" s="1" t="str">
        <f t="shared" si="29"/>
        <v>Slow Delivery</v>
      </c>
    </row>
    <row r="357" spans="1:23" x14ac:dyDescent="0.25">
      <c r="A357" s="1">
        <v>9605</v>
      </c>
      <c r="B357" s="2" t="s">
        <v>1947</v>
      </c>
      <c r="C357" s="2">
        <v>42676</v>
      </c>
      <c r="D357" s="2">
        <v>42679</v>
      </c>
      <c r="E357" s="1">
        <f t="shared" si="26"/>
        <v>2016</v>
      </c>
      <c r="F357" s="2" t="str">
        <f t="shared" si="27"/>
        <v>Nov</v>
      </c>
      <c r="G357" s="1">
        <f t="shared" si="28"/>
        <v>11</v>
      </c>
      <c r="H357" s="1">
        <f t="shared" si="25"/>
        <v>3</v>
      </c>
      <c r="I357" s="1" t="s">
        <v>38</v>
      </c>
      <c r="J357" s="1" t="s">
        <v>1948</v>
      </c>
      <c r="K357" s="1" t="s">
        <v>1949</v>
      </c>
      <c r="L357" s="1" t="s">
        <v>28</v>
      </c>
      <c r="M357" s="1" t="s">
        <v>29</v>
      </c>
      <c r="N357" s="1" t="s">
        <v>79</v>
      </c>
      <c r="O357" s="1" t="s">
        <v>53</v>
      </c>
      <c r="P357" s="1">
        <v>23320</v>
      </c>
      <c r="Q357" s="1" t="s">
        <v>54</v>
      </c>
      <c r="R357" s="1" t="s">
        <v>1950</v>
      </c>
      <c r="S357" s="1" t="s">
        <v>34</v>
      </c>
      <c r="T357" s="1" t="s">
        <v>74</v>
      </c>
      <c r="U357" s="1" t="s">
        <v>1951</v>
      </c>
      <c r="V357" s="3">
        <v>197.72</v>
      </c>
      <c r="W357" s="1" t="str">
        <f t="shared" si="29"/>
        <v>Fast Delivery</v>
      </c>
    </row>
    <row r="358" spans="1:23" x14ac:dyDescent="0.25">
      <c r="A358" s="1">
        <v>5764</v>
      </c>
      <c r="B358" s="2" t="s">
        <v>1952</v>
      </c>
      <c r="C358" s="2">
        <v>42677</v>
      </c>
      <c r="D358" s="2">
        <v>42679</v>
      </c>
      <c r="E358" s="1">
        <f t="shared" si="26"/>
        <v>2016</v>
      </c>
      <c r="F358" s="2" t="str">
        <f t="shared" si="27"/>
        <v>Nov</v>
      </c>
      <c r="G358" s="1">
        <f t="shared" si="28"/>
        <v>11</v>
      </c>
      <c r="H358" s="1">
        <f t="shared" si="25"/>
        <v>2</v>
      </c>
      <c r="I358" s="1" t="s">
        <v>38</v>
      </c>
      <c r="J358" s="1" t="s">
        <v>1953</v>
      </c>
      <c r="K358" s="1" t="s">
        <v>1954</v>
      </c>
      <c r="L358" s="1" t="s">
        <v>51</v>
      </c>
      <c r="M358" s="1" t="s">
        <v>29</v>
      </c>
      <c r="N358" s="1" t="s">
        <v>381</v>
      </c>
      <c r="O358" s="1" t="s">
        <v>115</v>
      </c>
      <c r="P358" s="1">
        <v>11561</v>
      </c>
      <c r="Q358" s="1" t="s">
        <v>43</v>
      </c>
      <c r="R358" s="1" t="s">
        <v>1955</v>
      </c>
      <c r="S358" s="1" t="s">
        <v>45</v>
      </c>
      <c r="T358" s="1" t="s">
        <v>89</v>
      </c>
      <c r="U358" s="1" t="s">
        <v>1956</v>
      </c>
      <c r="V358" s="3">
        <v>1448.82</v>
      </c>
      <c r="W358" s="1" t="str">
        <f t="shared" si="29"/>
        <v>Fast Delivery</v>
      </c>
    </row>
    <row r="359" spans="1:23" x14ac:dyDescent="0.25">
      <c r="A359" s="1">
        <v>6880</v>
      </c>
      <c r="B359" s="2" t="s">
        <v>1957</v>
      </c>
      <c r="C359" s="2">
        <v>42705</v>
      </c>
      <c r="D359" s="2">
        <v>42709</v>
      </c>
      <c r="E359" s="1">
        <f t="shared" si="26"/>
        <v>2016</v>
      </c>
      <c r="F359" s="2" t="str">
        <f t="shared" si="27"/>
        <v>Dec</v>
      </c>
      <c r="G359" s="1">
        <f t="shared" si="28"/>
        <v>12</v>
      </c>
      <c r="H359" s="1">
        <f t="shared" si="25"/>
        <v>4</v>
      </c>
      <c r="I359" s="1" t="s">
        <v>83</v>
      </c>
      <c r="J359" s="1" t="s">
        <v>1958</v>
      </c>
      <c r="K359" s="1" t="s">
        <v>1959</v>
      </c>
      <c r="L359" s="1" t="s">
        <v>131</v>
      </c>
      <c r="M359" s="1" t="s">
        <v>29</v>
      </c>
      <c r="N359" s="1" t="s">
        <v>488</v>
      </c>
      <c r="O359" s="1" t="s">
        <v>424</v>
      </c>
      <c r="P359" s="1">
        <v>98105</v>
      </c>
      <c r="Q359" s="1" t="s">
        <v>107</v>
      </c>
      <c r="R359" s="1" t="s">
        <v>1960</v>
      </c>
      <c r="S359" s="1" t="s">
        <v>45</v>
      </c>
      <c r="T359" s="1" t="s">
        <v>89</v>
      </c>
      <c r="U359" s="1" t="s">
        <v>1961</v>
      </c>
      <c r="V359" s="3">
        <v>2003.92</v>
      </c>
      <c r="W359" s="1" t="str">
        <f t="shared" si="29"/>
        <v>Slow Delivery</v>
      </c>
    </row>
    <row r="360" spans="1:23" x14ac:dyDescent="0.25">
      <c r="A360" s="1">
        <v>5708</v>
      </c>
      <c r="B360" s="2" t="s">
        <v>1962</v>
      </c>
      <c r="C360" s="2">
        <v>42498</v>
      </c>
      <c r="D360" s="2">
        <v>42505</v>
      </c>
      <c r="E360" s="1">
        <f t="shared" si="26"/>
        <v>2016</v>
      </c>
      <c r="F360" s="2" t="str">
        <f t="shared" si="27"/>
        <v>May</v>
      </c>
      <c r="G360" s="1">
        <f t="shared" si="28"/>
        <v>5</v>
      </c>
      <c r="H360" s="1">
        <f t="shared" si="25"/>
        <v>7</v>
      </c>
      <c r="I360" s="1" t="s">
        <v>25</v>
      </c>
      <c r="J360" s="1" t="s">
        <v>1963</v>
      </c>
      <c r="K360" s="1" t="s">
        <v>1964</v>
      </c>
      <c r="L360" s="1" t="s">
        <v>28</v>
      </c>
      <c r="M360" s="1" t="s">
        <v>29</v>
      </c>
      <c r="N360" s="1" t="s">
        <v>114</v>
      </c>
      <c r="O360" s="1" t="s">
        <v>115</v>
      </c>
      <c r="P360" s="1">
        <v>10024</v>
      </c>
      <c r="Q360" s="1" t="s">
        <v>43</v>
      </c>
      <c r="R360" s="1" t="s">
        <v>1921</v>
      </c>
      <c r="S360" s="1" t="s">
        <v>45</v>
      </c>
      <c r="T360" s="1" t="s">
        <v>46</v>
      </c>
      <c r="U360" s="1" t="s">
        <v>1922</v>
      </c>
      <c r="V360" s="3">
        <v>79.44</v>
      </c>
      <c r="W360" s="1" t="str">
        <f t="shared" si="29"/>
        <v>Slow Delivery</v>
      </c>
    </row>
    <row r="361" spans="1:23" x14ac:dyDescent="0.25">
      <c r="A361" s="1">
        <v>8465</v>
      </c>
      <c r="B361" s="2" t="s">
        <v>1965</v>
      </c>
      <c r="C361" s="2">
        <v>42500</v>
      </c>
      <c r="D361" s="2">
        <v>42505</v>
      </c>
      <c r="E361" s="1">
        <f t="shared" si="26"/>
        <v>2016</v>
      </c>
      <c r="F361" s="2" t="str">
        <f t="shared" si="27"/>
        <v>May</v>
      </c>
      <c r="G361" s="1">
        <f t="shared" si="28"/>
        <v>5</v>
      </c>
      <c r="H361" s="1">
        <f t="shared" si="25"/>
        <v>5</v>
      </c>
      <c r="I361" s="1" t="s">
        <v>25</v>
      </c>
      <c r="J361" s="1" t="s">
        <v>1966</v>
      </c>
      <c r="K361" s="1" t="s">
        <v>1967</v>
      </c>
      <c r="L361" s="1" t="s">
        <v>28</v>
      </c>
      <c r="M361" s="1" t="s">
        <v>29</v>
      </c>
      <c r="N361" s="1" t="s">
        <v>1581</v>
      </c>
      <c r="O361" s="1" t="s">
        <v>327</v>
      </c>
      <c r="P361" s="1">
        <v>80027</v>
      </c>
      <c r="Q361" s="1" t="s">
        <v>107</v>
      </c>
      <c r="R361" s="1" t="s">
        <v>1968</v>
      </c>
      <c r="S361" s="1" t="s">
        <v>64</v>
      </c>
      <c r="T361" s="1" t="s">
        <v>65</v>
      </c>
      <c r="U361" s="1" t="s">
        <v>1969</v>
      </c>
      <c r="V361" s="3">
        <v>46.688000000000002</v>
      </c>
      <c r="W361" s="1" t="str">
        <f t="shared" si="29"/>
        <v>Slow Delivery</v>
      </c>
    </row>
    <row r="362" spans="1:23" x14ac:dyDescent="0.25">
      <c r="A362" s="1">
        <v>9541</v>
      </c>
      <c r="B362" s="2" t="s">
        <v>1970</v>
      </c>
      <c r="C362" s="2">
        <v>42501</v>
      </c>
      <c r="D362" s="2">
        <v>42506</v>
      </c>
      <c r="E362" s="1">
        <f t="shared" si="26"/>
        <v>2016</v>
      </c>
      <c r="F362" s="2" t="str">
        <f t="shared" si="27"/>
        <v>May</v>
      </c>
      <c r="G362" s="1">
        <f t="shared" si="28"/>
        <v>5</v>
      </c>
      <c r="H362" s="1">
        <f t="shared" si="25"/>
        <v>5</v>
      </c>
      <c r="I362" s="1" t="s">
        <v>83</v>
      </c>
      <c r="J362" s="1" t="s">
        <v>1971</v>
      </c>
      <c r="K362" s="1" t="s">
        <v>1972</v>
      </c>
      <c r="L362" s="1" t="s">
        <v>131</v>
      </c>
      <c r="M362" s="1" t="s">
        <v>29</v>
      </c>
      <c r="N362" s="1" t="s">
        <v>1973</v>
      </c>
      <c r="O362" s="1" t="s">
        <v>229</v>
      </c>
      <c r="P362" s="1">
        <v>85023</v>
      </c>
      <c r="Q362" s="1" t="s">
        <v>107</v>
      </c>
      <c r="R362" s="1" t="s">
        <v>1974</v>
      </c>
      <c r="S362" s="1" t="s">
        <v>45</v>
      </c>
      <c r="T362" s="1" t="s">
        <v>89</v>
      </c>
      <c r="U362" s="1" t="s">
        <v>1975</v>
      </c>
      <c r="V362" s="3">
        <v>191.96799999999999</v>
      </c>
      <c r="W362" s="1" t="str">
        <f t="shared" si="29"/>
        <v>Slow Delivery</v>
      </c>
    </row>
    <row r="363" spans="1:23" x14ac:dyDescent="0.25">
      <c r="A363" s="1">
        <v>2804</v>
      </c>
      <c r="B363" s="2" t="s">
        <v>1976</v>
      </c>
      <c r="C363" s="2">
        <v>42502</v>
      </c>
      <c r="D363" s="2">
        <v>42506</v>
      </c>
      <c r="E363" s="1">
        <f t="shared" si="26"/>
        <v>2016</v>
      </c>
      <c r="F363" s="2" t="str">
        <f t="shared" si="27"/>
        <v>May</v>
      </c>
      <c r="G363" s="1">
        <f t="shared" si="28"/>
        <v>5</v>
      </c>
      <c r="H363" s="1">
        <f t="shared" si="25"/>
        <v>4</v>
      </c>
      <c r="I363" s="1" t="s">
        <v>25</v>
      </c>
      <c r="J363" s="1" t="s">
        <v>1977</v>
      </c>
      <c r="K363" s="1" t="s">
        <v>1978</v>
      </c>
      <c r="L363" s="1" t="s">
        <v>28</v>
      </c>
      <c r="M363" s="1" t="s">
        <v>29</v>
      </c>
      <c r="N363" s="1" t="s">
        <v>105</v>
      </c>
      <c r="O363" s="1" t="s">
        <v>106</v>
      </c>
      <c r="P363" s="1">
        <v>94122</v>
      </c>
      <c r="Q363" s="1" t="s">
        <v>107</v>
      </c>
      <c r="R363" s="1" t="s">
        <v>1979</v>
      </c>
      <c r="S363" s="1" t="s">
        <v>34</v>
      </c>
      <c r="T363" s="1" t="s">
        <v>174</v>
      </c>
      <c r="U363" s="1" t="s">
        <v>1980</v>
      </c>
      <c r="V363" s="3">
        <v>12.84</v>
      </c>
      <c r="W363" s="1" t="str">
        <f t="shared" si="29"/>
        <v>Slow Delivery</v>
      </c>
    </row>
    <row r="364" spans="1:23" x14ac:dyDescent="0.25">
      <c r="A364" s="1">
        <v>5212</v>
      </c>
      <c r="B364" s="2" t="s">
        <v>1981</v>
      </c>
      <c r="C364" s="2">
        <v>42502</v>
      </c>
      <c r="D364" s="2">
        <v>42506</v>
      </c>
      <c r="E364" s="1">
        <f t="shared" si="26"/>
        <v>2016</v>
      </c>
      <c r="F364" s="2" t="str">
        <f t="shared" si="27"/>
        <v>May</v>
      </c>
      <c r="G364" s="1">
        <f t="shared" si="28"/>
        <v>5</v>
      </c>
      <c r="H364" s="1">
        <f t="shared" si="25"/>
        <v>4</v>
      </c>
      <c r="I364" s="1" t="s">
        <v>83</v>
      </c>
      <c r="J364" s="1" t="s">
        <v>1982</v>
      </c>
      <c r="K364" s="1" t="s">
        <v>1983</v>
      </c>
      <c r="L364" s="1" t="s">
        <v>28</v>
      </c>
      <c r="M364" s="1" t="s">
        <v>29</v>
      </c>
      <c r="N364" s="1" t="s">
        <v>114</v>
      </c>
      <c r="O364" s="1" t="s">
        <v>115</v>
      </c>
      <c r="P364" s="1">
        <v>10024</v>
      </c>
      <c r="Q364" s="1" t="s">
        <v>43</v>
      </c>
      <c r="R364" s="1" t="s">
        <v>1984</v>
      </c>
      <c r="S364" s="1" t="s">
        <v>34</v>
      </c>
      <c r="T364" s="1" t="s">
        <v>270</v>
      </c>
      <c r="U364" s="1" t="s">
        <v>1985</v>
      </c>
      <c r="V364" s="3">
        <v>36.630000000000003</v>
      </c>
      <c r="W364" s="1" t="str">
        <f t="shared" si="29"/>
        <v>Slow Delivery</v>
      </c>
    </row>
    <row r="365" spans="1:23" x14ac:dyDescent="0.25">
      <c r="A365" s="1">
        <v>8662</v>
      </c>
      <c r="B365" s="2" t="s">
        <v>1986</v>
      </c>
      <c r="C365" s="2">
        <v>42502</v>
      </c>
      <c r="D365" s="2">
        <v>42507</v>
      </c>
      <c r="E365" s="1">
        <f t="shared" si="26"/>
        <v>2016</v>
      </c>
      <c r="F365" s="2" t="str">
        <f t="shared" si="27"/>
        <v>May</v>
      </c>
      <c r="G365" s="1">
        <f t="shared" si="28"/>
        <v>5</v>
      </c>
      <c r="H365" s="1">
        <f t="shared" si="25"/>
        <v>5</v>
      </c>
      <c r="I365" s="1" t="s">
        <v>25</v>
      </c>
      <c r="J365" s="1" t="s">
        <v>1987</v>
      </c>
      <c r="K365" s="1" t="s">
        <v>1988</v>
      </c>
      <c r="L365" s="1" t="s">
        <v>28</v>
      </c>
      <c r="M365" s="1" t="s">
        <v>29</v>
      </c>
      <c r="N365" s="1" t="s">
        <v>150</v>
      </c>
      <c r="O365" s="1" t="s">
        <v>31</v>
      </c>
      <c r="P365" s="1">
        <v>77041</v>
      </c>
      <c r="Q365" s="1" t="s">
        <v>32</v>
      </c>
      <c r="R365" s="1" t="s">
        <v>1989</v>
      </c>
      <c r="S365" s="1" t="s">
        <v>45</v>
      </c>
      <c r="T365" s="1" t="s">
        <v>46</v>
      </c>
      <c r="U365" s="1" t="s">
        <v>1990</v>
      </c>
      <c r="V365" s="3">
        <v>21.968</v>
      </c>
      <c r="W365" s="1" t="str">
        <f t="shared" si="29"/>
        <v>Slow Delivery</v>
      </c>
    </row>
    <row r="366" spans="1:23" x14ac:dyDescent="0.25">
      <c r="A366" s="1">
        <v>5337</v>
      </c>
      <c r="B366" s="2" t="s">
        <v>1991</v>
      </c>
      <c r="C366" s="2">
        <v>42511</v>
      </c>
      <c r="D366" s="2">
        <v>42515</v>
      </c>
      <c r="E366" s="1">
        <f t="shared" si="26"/>
        <v>2016</v>
      </c>
      <c r="F366" s="2" t="str">
        <f t="shared" si="27"/>
        <v>May</v>
      </c>
      <c r="G366" s="1">
        <f t="shared" si="28"/>
        <v>5</v>
      </c>
      <c r="H366" s="1">
        <f t="shared" si="25"/>
        <v>4</v>
      </c>
      <c r="I366" s="1" t="s">
        <v>25</v>
      </c>
      <c r="J366" s="1" t="s">
        <v>1992</v>
      </c>
      <c r="K366" s="1" t="s">
        <v>1993</v>
      </c>
      <c r="L366" s="1" t="s">
        <v>51</v>
      </c>
      <c r="M366" s="1" t="s">
        <v>29</v>
      </c>
      <c r="N366" s="1" t="s">
        <v>488</v>
      </c>
      <c r="O366" s="1" t="s">
        <v>424</v>
      </c>
      <c r="P366" s="1">
        <v>98105</v>
      </c>
      <c r="Q366" s="1" t="s">
        <v>107</v>
      </c>
      <c r="R366" s="1" t="s">
        <v>1994</v>
      </c>
      <c r="S366" s="1" t="s">
        <v>34</v>
      </c>
      <c r="T366" s="1" t="s">
        <v>109</v>
      </c>
      <c r="U366" s="1" t="s">
        <v>1995</v>
      </c>
      <c r="V366" s="3">
        <v>26.975999999999999</v>
      </c>
      <c r="W366" s="1" t="str">
        <f t="shared" si="29"/>
        <v>Slow Delivery</v>
      </c>
    </row>
    <row r="367" spans="1:23" x14ac:dyDescent="0.25">
      <c r="A367" s="1">
        <v>118</v>
      </c>
      <c r="B367" s="2" t="s">
        <v>1996</v>
      </c>
      <c r="C367" s="2">
        <v>42431</v>
      </c>
      <c r="D367" s="2">
        <v>42435</v>
      </c>
      <c r="E367" s="1">
        <f t="shared" si="26"/>
        <v>2016</v>
      </c>
      <c r="F367" s="2" t="str">
        <f t="shared" si="27"/>
        <v>Mar</v>
      </c>
      <c r="G367" s="1">
        <f t="shared" si="28"/>
        <v>3</v>
      </c>
      <c r="H367" s="1">
        <f t="shared" si="25"/>
        <v>4</v>
      </c>
      <c r="I367" s="1" t="s">
        <v>25</v>
      </c>
      <c r="J367" s="1" t="s">
        <v>1997</v>
      </c>
      <c r="K367" s="1" t="s">
        <v>1998</v>
      </c>
      <c r="L367" s="1" t="s">
        <v>28</v>
      </c>
      <c r="M367" s="1" t="s">
        <v>29</v>
      </c>
      <c r="N367" s="1" t="s">
        <v>488</v>
      </c>
      <c r="O367" s="1" t="s">
        <v>424</v>
      </c>
      <c r="P367" s="1">
        <v>98103</v>
      </c>
      <c r="Q367" s="1" t="s">
        <v>107</v>
      </c>
      <c r="R367" s="1" t="s">
        <v>1999</v>
      </c>
      <c r="S367" s="1" t="s">
        <v>45</v>
      </c>
      <c r="T367" s="1" t="s">
        <v>329</v>
      </c>
      <c r="U367" s="1" t="s">
        <v>2000</v>
      </c>
      <c r="V367" s="3">
        <v>787.53</v>
      </c>
      <c r="W367" s="1" t="str">
        <f t="shared" si="29"/>
        <v>Slow Delivery</v>
      </c>
    </row>
    <row r="368" spans="1:23" x14ac:dyDescent="0.25">
      <c r="A368" s="1">
        <v>9004</v>
      </c>
      <c r="B368" s="2" t="s">
        <v>2001</v>
      </c>
      <c r="C368" s="2">
        <v>42465</v>
      </c>
      <c r="D368" s="2">
        <v>42466</v>
      </c>
      <c r="E368" s="1">
        <f t="shared" si="26"/>
        <v>2016</v>
      </c>
      <c r="F368" s="2" t="str">
        <f t="shared" si="27"/>
        <v>Apr</v>
      </c>
      <c r="G368" s="1">
        <f t="shared" si="28"/>
        <v>4</v>
      </c>
      <c r="H368" s="1">
        <f t="shared" si="25"/>
        <v>1</v>
      </c>
      <c r="I368" s="1" t="s">
        <v>68</v>
      </c>
      <c r="J368" s="1" t="s">
        <v>2002</v>
      </c>
      <c r="K368" s="1" t="s">
        <v>2003</v>
      </c>
      <c r="L368" s="1" t="s">
        <v>28</v>
      </c>
      <c r="M368" s="1" t="s">
        <v>29</v>
      </c>
      <c r="N368" s="1" t="s">
        <v>2004</v>
      </c>
      <c r="O368" s="1" t="s">
        <v>424</v>
      </c>
      <c r="P368" s="1">
        <v>99207</v>
      </c>
      <c r="Q368" s="1" t="s">
        <v>107</v>
      </c>
      <c r="R368" s="1" t="s">
        <v>2005</v>
      </c>
      <c r="S368" s="1" t="s">
        <v>64</v>
      </c>
      <c r="T368" s="1" t="s">
        <v>65</v>
      </c>
      <c r="U368" s="1" t="s">
        <v>2006</v>
      </c>
      <c r="V368" s="3">
        <v>239.94</v>
      </c>
      <c r="W368" s="1" t="str">
        <f t="shared" si="29"/>
        <v>Fast Delivery</v>
      </c>
    </row>
    <row r="369" spans="1:23" x14ac:dyDescent="0.25">
      <c r="A369" s="1">
        <v>7217</v>
      </c>
      <c r="B369" s="2" t="s">
        <v>2007</v>
      </c>
      <c r="C369" s="2">
        <v>42493</v>
      </c>
      <c r="D369" s="2">
        <v>42496</v>
      </c>
      <c r="E369" s="1">
        <f t="shared" si="26"/>
        <v>2016</v>
      </c>
      <c r="F369" s="2" t="str">
        <f t="shared" si="27"/>
        <v>May</v>
      </c>
      <c r="G369" s="1">
        <f t="shared" si="28"/>
        <v>5</v>
      </c>
      <c r="H369" s="1">
        <f t="shared" si="25"/>
        <v>3</v>
      </c>
      <c r="I369" s="1" t="s">
        <v>38</v>
      </c>
      <c r="J369" s="1" t="s">
        <v>2008</v>
      </c>
      <c r="K369" s="1" t="s">
        <v>2009</v>
      </c>
      <c r="L369" s="1" t="s">
        <v>28</v>
      </c>
      <c r="M369" s="1" t="s">
        <v>29</v>
      </c>
      <c r="N369" s="1" t="s">
        <v>105</v>
      </c>
      <c r="O369" s="1" t="s">
        <v>106</v>
      </c>
      <c r="P369" s="1">
        <v>94109</v>
      </c>
      <c r="Q369" s="1" t="s">
        <v>107</v>
      </c>
      <c r="R369" s="1" t="s">
        <v>2010</v>
      </c>
      <c r="S369" s="1" t="s">
        <v>34</v>
      </c>
      <c r="T369" s="1" t="s">
        <v>35</v>
      </c>
      <c r="U369" s="1" t="s">
        <v>2011</v>
      </c>
      <c r="V369" s="3">
        <v>8.82</v>
      </c>
      <c r="W369" s="1" t="str">
        <f t="shared" si="29"/>
        <v>Fast Delivery</v>
      </c>
    </row>
    <row r="370" spans="1:23" x14ac:dyDescent="0.25">
      <c r="A370" s="1">
        <v>3489</v>
      </c>
      <c r="B370" s="2" t="s">
        <v>2012</v>
      </c>
      <c r="C370" s="2">
        <v>42553</v>
      </c>
      <c r="D370" s="2">
        <v>42557</v>
      </c>
      <c r="E370" s="1">
        <f t="shared" si="26"/>
        <v>2016</v>
      </c>
      <c r="F370" s="2" t="str">
        <f t="shared" si="27"/>
        <v>Jul</v>
      </c>
      <c r="G370" s="1">
        <f t="shared" si="28"/>
        <v>7</v>
      </c>
      <c r="H370" s="1">
        <f t="shared" si="25"/>
        <v>4</v>
      </c>
      <c r="I370" s="1" t="s">
        <v>25</v>
      </c>
      <c r="J370" s="1" t="s">
        <v>2013</v>
      </c>
      <c r="K370" s="1" t="s">
        <v>2014</v>
      </c>
      <c r="L370" s="1" t="s">
        <v>28</v>
      </c>
      <c r="M370" s="1" t="s">
        <v>29</v>
      </c>
      <c r="N370" s="1" t="s">
        <v>2015</v>
      </c>
      <c r="O370" s="1" t="s">
        <v>222</v>
      </c>
      <c r="P370" s="1">
        <v>60188</v>
      </c>
      <c r="Q370" s="1" t="s">
        <v>32</v>
      </c>
      <c r="R370" s="1" t="s">
        <v>2016</v>
      </c>
      <c r="S370" s="1" t="s">
        <v>45</v>
      </c>
      <c r="T370" s="1" t="s">
        <v>89</v>
      </c>
      <c r="U370" s="1" t="s">
        <v>2017</v>
      </c>
      <c r="V370" s="3">
        <v>408.42200000000003</v>
      </c>
      <c r="W370" s="1" t="str">
        <f t="shared" si="29"/>
        <v>Slow Delivery</v>
      </c>
    </row>
    <row r="371" spans="1:23" x14ac:dyDescent="0.25">
      <c r="A371" s="1">
        <v>4644</v>
      </c>
      <c r="B371" s="2" t="s">
        <v>2018</v>
      </c>
      <c r="C371" s="2">
        <v>42584</v>
      </c>
      <c r="D371" s="2">
        <v>42588</v>
      </c>
      <c r="E371" s="1">
        <f t="shared" si="26"/>
        <v>2016</v>
      </c>
      <c r="F371" s="2" t="str">
        <f t="shared" si="27"/>
        <v>Aug</v>
      </c>
      <c r="G371" s="1">
        <f t="shared" si="28"/>
        <v>8</v>
      </c>
      <c r="H371" s="1">
        <f t="shared" si="25"/>
        <v>4</v>
      </c>
      <c r="I371" s="1" t="s">
        <v>25</v>
      </c>
      <c r="J371" s="1" t="s">
        <v>2019</v>
      </c>
      <c r="K371" s="1" t="s">
        <v>2020</v>
      </c>
      <c r="L371" s="1" t="s">
        <v>28</v>
      </c>
      <c r="M371" s="1" t="s">
        <v>29</v>
      </c>
      <c r="N371" s="1" t="s">
        <v>488</v>
      </c>
      <c r="O371" s="1" t="s">
        <v>424</v>
      </c>
      <c r="P371" s="1">
        <v>98105</v>
      </c>
      <c r="Q371" s="1" t="s">
        <v>107</v>
      </c>
      <c r="R371" s="1" t="s">
        <v>2021</v>
      </c>
      <c r="S371" s="1" t="s">
        <v>34</v>
      </c>
      <c r="T371" s="1" t="s">
        <v>109</v>
      </c>
      <c r="U371" s="1" t="s">
        <v>2022</v>
      </c>
      <c r="V371" s="3">
        <v>6.3680000000000003</v>
      </c>
      <c r="W371" s="1" t="str">
        <f t="shared" si="29"/>
        <v>Slow Delivery</v>
      </c>
    </row>
    <row r="372" spans="1:23" x14ac:dyDescent="0.25">
      <c r="A372" s="1">
        <v>8180</v>
      </c>
      <c r="B372" s="2" t="s">
        <v>2023</v>
      </c>
      <c r="C372" s="2">
        <v>42584</v>
      </c>
      <c r="D372" s="2">
        <v>42588</v>
      </c>
      <c r="E372" s="1">
        <f t="shared" si="26"/>
        <v>2016</v>
      </c>
      <c r="F372" s="2" t="str">
        <f t="shared" si="27"/>
        <v>Aug</v>
      </c>
      <c r="G372" s="1">
        <f t="shared" si="28"/>
        <v>8</v>
      </c>
      <c r="H372" s="1">
        <f t="shared" si="25"/>
        <v>4</v>
      </c>
      <c r="I372" s="1" t="s">
        <v>25</v>
      </c>
      <c r="J372" s="1" t="s">
        <v>2024</v>
      </c>
      <c r="K372" s="1" t="s">
        <v>2025</v>
      </c>
      <c r="L372" s="1" t="s">
        <v>28</v>
      </c>
      <c r="M372" s="1" t="s">
        <v>29</v>
      </c>
      <c r="N372" s="1" t="s">
        <v>52</v>
      </c>
      <c r="O372" s="1" t="s">
        <v>370</v>
      </c>
      <c r="P372" s="1">
        <v>97477</v>
      </c>
      <c r="Q372" s="1" t="s">
        <v>107</v>
      </c>
      <c r="R372" s="1" t="s">
        <v>2026</v>
      </c>
      <c r="S372" s="1" t="s">
        <v>45</v>
      </c>
      <c r="T372" s="1" t="s">
        <v>329</v>
      </c>
      <c r="U372" s="1" t="s">
        <v>2027</v>
      </c>
      <c r="V372" s="3">
        <v>277.5</v>
      </c>
      <c r="W372" s="1" t="str">
        <f t="shared" si="29"/>
        <v>Slow Delivery</v>
      </c>
    </row>
    <row r="373" spans="1:23" x14ac:dyDescent="0.25">
      <c r="A373" s="1">
        <v>1444</v>
      </c>
      <c r="B373" s="2" t="s">
        <v>2028</v>
      </c>
      <c r="C373" s="2">
        <v>42644</v>
      </c>
      <c r="D373" s="2">
        <v>42649</v>
      </c>
      <c r="E373" s="1">
        <f t="shared" si="26"/>
        <v>2016</v>
      </c>
      <c r="F373" s="2" t="str">
        <f t="shared" si="27"/>
        <v>Oct</v>
      </c>
      <c r="G373" s="1">
        <f t="shared" si="28"/>
        <v>10</v>
      </c>
      <c r="H373" s="1">
        <f t="shared" si="25"/>
        <v>5</v>
      </c>
      <c r="I373" s="1" t="s">
        <v>25</v>
      </c>
      <c r="J373" s="1" t="s">
        <v>2029</v>
      </c>
      <c r="K373" s="1" t="s">
        <v>2030</v>
      </c>
      <c r="L373" s="1" t="s">
        <v>51</v>
      </c>
      <c r="M373" s="1" t="s">
        <v>29</v>
      </c>
      <c r="N373" s="1" t="s">
        <v>715</v>
      </c>
      <c r="O373" s="1" t="s">
        <v>327</v>
      </c>
      <c r="P373" s="1">
        <v>80013</v>
      </c>
      <c r="Q373" s="1" t="s">
        <v>107</v>
      </c>
      <c r="R373" s="1" t="s">
        <v>2031</v>
      </c>
      <c r="S373" s="1" t="s">
        <v>34</v>
      </c>
      <c r="T373" s="1" t="s">
        <v>270</v>
      </c>
      <c r="U373" s="1" t="s">
        <v>2032</v>
      </c>
      <c r="V373" s="3">
        <v>139.42400000000001</v>
      </c>
      <c r="W373" s="1" t="str">
        <f t="shared" si="29"/>
        <v>Slow Delivery</v>
      </c>
    </row>
    <row r="374" spans="1:23" x14ac:dyDescent="0.25">
      <c r="A374" s="1">
        <v>7797</v>
      </c>
      <c r="B374" s="2" t="s">
        <v>2033</v>
      </c>
      <c r="C374" s="2">
        <v>42645</v>
      </c>
      <c r="D374" s="2">
        <v>42649</v>
      </c>
      <c r="E374" s="1">
        <f t="shared" si="26"/>
        <v>2016</v>
      </c>
      <c r="F374" s="2" t="str">
        <f t="shared" si="27"/>
        <v>Oct</v>
      </c>
      <c r="G374" s="1">
        <f t="shared" si="28"/>
        <v>10</v>
      </c>
      <c r="H374" s="1">
        <f t="shared" si="25"/>
        <v>4</v>
      </c>
      <c r="I374" s="1" t="s">
        <v>25</v>
      </c>
      <c r="J374" s="1" t="s">
        <v>2034</v>
      </c>
      <c r="K374" s="1" t="s">
        <v>2035</v>
      </c>
      <c r="L374" s="1" t="s">
        <v>51</v>
      </c>
      <c r="M374" s="1" t="s">
        <v>29</v>
      </c>
      <c r="N374" s="1" t="s">
        <v>196</v>
      </c>
      <c r="O374" s="1" t="s">
        <v>197</v>
      </c>
      <c r="P374" s="1">
        <v>6457</v>
      </c>
      <c r="Q374" s="1" t="s">
        <v>43</v>
      </c>
      <c r="R374" s="1" t="s">
        <v>1665</v>
      </c>
      <c r="S374" s="1" t="s">
        <v>34</v>
      </c>
      <c r="T374" s="1" t="s">
        <v>109</v>
      </c>
      <c r="U374" s="1" t="s">
        <v>1666</v>
      </c>
      <c r="V374" s="3">
        <v>26.9</v>
      </c>
      <c r="W374" s="1" t="str">
        <f t="shared" si="29"/>
        <v>Slow Delivery</v>
      </c>
    </row>
    <row r="375" spans="1:23" x14ac:dyDescent="0.25">
      <c r="A375" s="1">
        <v>283</v>
      </c>
      <c r="B375" s="2" t="s">
        <v>2036</v>
      </c>
      <c r="C375" s="2">
        <v>42676</v>
      </c>
      <c r="D375" s="2">
        <v>42680</v>
      </c>
      <c r="E375" s="1">
        <f t="shared" si="26"/>
        <v>2016</v>
      </c>
      <c r="F375" s="2" t="str">
        <f t="shared" si="27"/>
        <v>Nov</v>
      </c>
      <c r="G375" s="1">
        <f t="shared" si="28"/>
        <v>11</v>
      </c>
      <c r="H375" s="1">
        <f t="shared" si="25"/>
        <v>4</v>
      </c>
      <c r="I375" s="1" t="s">
        <v>25</v>
      </c>
      <c r="J375" s="1" t="s">
        <v>2037</v>
      </c>
      <c r="K375" s="1" t="s">
        <v>2038</v>
      </c>
      <c r="L375" s="1" t="s">
        <v>28</v>
      </c>
      <c r="M375" s="1" t="s">
        <v>29</v>
      </c>
      <c r="N375" s="1" t="s">
        <v>132</v>
      </c>
      <c r="O375" s="1" t="s">
        <v>106</v>
      </c>
      <c r="P375" s="1">
        <v>90004</v>
      </c>
      <c r="Q375" s="1" t="s">
        <v>107</v>
      </c>
      <c r="R375" s="1" t="s">
        <v>2039</v>
      </c>
      <c r="S375" s="1" t="s">
        <v>45</v>
      </c>
      <c r="T375" s="1" t="s">
        <v>329</v>
      </c>
      <c r="U375" s="1" t="s">
        <v>2040</v>
      </c>
      <c r="V375" s="3">
        <v>1038.8399999999999</v>
      </c>
      <c r="W375" s="1" t="str">
        <f t="shared" si="29"/>
        <v>Slow Delivery</v>
      </c>
    </row>
    <row r="376" spans="1:23" x14ac:dyDescent="0.25">
      <c r="A376" s="1">
        <v>2715</v>
      </c>
      <c r="B376" s="2" t="s">
        <v>2041</v>
      </c>
      <c r="C376" s="2">
        <v>42705</v>
      </c>
      <c r="D376" s="2">
        <v>42710</v>
      </c>
      <c r="E376" s="1">
        <f t="shared" si="26"/>
        <v>2016</v>
      </c>
      <c r="F376" s="2" t="str">
        <f t="shared" si="27"/>
        <v>Dec</v>
      </c>
      <c r="G376" s="1">
        <f t="shared" si="28"/>
        <v>12</v>
      </c>
      <c r="H376" s="1">
        <f t="shared" si="25"/>
        <v>5</v>
      </c>
      <c r="I376" s="1" t="s">
        <v>25</v>
      </c>
      <c r="J376" s="1" t="s">
        <v>2042</v>
      </c>
      <c r="K376" s="1" t="s">
        <v>2043</v>
      </c>
      <c r="L376" s="1" t="s">
        <v>131</v>
      </c>
      <c r="M376" s="1" t="s">
        <v>29</v>
      </c>
      <c r="N376" s="1" t="s">
        <v>488</v>
      </c>
      <c r="O376" s="1" t="s">
        <v>424</v>
      </c>
      <c r="P376" s="1">
        <v>98105</v>
      </c>
      <c r="Q376" s="1" t="s">
        <v>107</v>
      </c>
      <c r="R376" s="1" t="s">
        <v>2044</v>
      </c>
      <c r="S376" s="1" t="s">
        <v>34</v>
      </c>
      <c r="T376" s="1" t="s">
        <v>35</v>
      </c>
      <c r="U376" s="1" t="s">
        <v>2045</v>
      </c>
      <c r="V376" s="3">
        <v>13.9</v>
      </c>
      <c r="W376" s="1" t="str">
        <f t="shared" si="29"/>
        <v>Slow Delivery</v>
      </c>
    </row>
    <row r="377" spans="1:23" x14ac:dyDescent="0.25">
      <c r="A377" s="1">
        <v>8893</v>
      </c>
      <c r="B377" s="2" t="s">
        <v>2046</v>
      </c>
      <c r="C377" s="2">
        <v>42705</v>
      </c>
      <c r="D377" s="2">
        <v>42710</v>
      </c>
      <c r="E377" s="1">
        <f t="shared" si="26"/>
        <v>2016</v>
      </c>
      <c r="F377" s="2" t="str">
        <f t="shared" si="27"/>
        <v>Dec</v>
      </c>
      <c r="G377" s="1">
        <f t="shared" si="28"/>
        <v>12</v>
      </c>
      <c r="H377" s="1">
        <f t="shared" si="25"/>
        <v>5</v>
      </c>
      <c r="I377" s="1" t="s">
        <v>25</v>
      </c>
      <c r="J377" s="1" t="s">
        <v>2047</v>
      </c>
      <c r="K377" s="1" t="s">
        <v>2048</v>
      </c>
      <c r="L377" s="1" t="s">
        <v>131</v>
      </c>
      <c r="M377" s="1" t="s">
        <v>29</v>
      </c>
      <c r="N377" s="1" t="s">
        <v>478</v>
      </c>
      <c r="O377" s="1" t="s">
        <v>106</v>
      </c>
      <c r="P377" s="1">
        <v>92037</v>
      </c>
      <c r="Q377" s="1" t="s">
        <v>107</v>
      </c>
      <c r="R377" s="1" t="s">
        <v>2049</v>
      </c>
      <c r="S377" s="1" t="s">
        <v>45</v>
      </c>
      <c r="T377" s="1" t="s">
        <v>89</v>
      </c>
      <c r="U377" s="1" t="s">
        <v>2050</v>
      </c>
      <c r="V377" s="3">
        <v>2676.672</v>
      </c>
      <c r="W377" s="1" t="str">
        <f t="shared" si="29"/>
        <v>Slow Delivery</v>
      </c>
    </row>
    <row r="378" spans="1:23" x14ac:dyDescent="0.25">
      <c r="A378" s="1">
        <v>5635</v>
      </c>
      <c r="B378" s="2" t="s">
        <v>2051</v>
      </c>
      <c r="C378" s="2">
        <v>42709</v>
      </c>
      <c r="D378" s="2">
        <v>42710</v>
      </c>
      <c r="E378" s="1">
        <f t="shared" si="26"/>
        <v>2016</v>
      </c>
      <c r="F378" s="2" t="str">
        <f t="shared" si="27"/>
        <v>Dec</v>
      </c>
      <c r="G378" s="1">
        <f t="shared" si="28"/>
        <v>12</v>
      </c>
      <c r="H378" s="1">
        <f t="shared" si="25"/>
        <v>1</v>
      </c>
      <c r="I378" s="1" t="s">
        <v>38</v>
      </c>
      <c r="J378" s="1" t="s">
        <v>2052</v>
      </c>
      <c r="K378" s="1" t="s">
        <v>2053</v>
      </c>
      <c r="L378" s="1" t="s">
        <v>131</v>
      </c>
      <c r="M378" s="1" t="s">
        <v>29</v>
      </c>
      <c r="N378" s="1" t="s">
        <v>2054</v>
      </c>
      <c r="O378" s="1" t="s">
        <v>172</v>
      </c>
      <c r="P378" s="1">
        <v>48104</v>
      </c>
      <c r="Q378" s="1" t="s">
        <v>32</v>
      </c>
      <c r="R378" s="1" t="s">
        <v>1108</v>
      </c>
      <c r="S378" s="1" t="s">
        <v>34</v>
      </c>
      <c r="T378" s="1" t="s">
        <v>109</v>
      </c>
      <c r="U378" s="1" t="s">
        <v>1109</v>
      </c>
      <c r="V378" s="3">
        <v>152.80000000000001</v>
      </c>
      <c r="W378" s="1" t="str">
        <f t="shared" si="29"/>
        <v>Fast Delivery</v>
      </c>
    </row>
    <row r="379" spans="1:23" x14ac:dyDescent="0.25">
      <c r="A379" s="1">
        <v>4579</v>
      </c>
      <c r="B379" s="2" t="s">
        <v>2055</v>
      </c>
      <c r="C379" s="2">
        <v>42530</v>
      </c>
      <c r="D379" s="2">
        <v>42536</v>
      </c>
      <c r="E379" s="1">
        <f t="shared" si="26"/>
        <v>2016</v>
      </c>
      <c r="F379" s="2" t="str">
        <f t="shared" si="27"/>
        <v>Jun</v>
      </c>
      <c r="G379" s="1">
        <f t="shared" si="28"/>
        <v>6</v>
      </c>
      <c r="H379" s="1">
        <f t="shared" si="25"/>
        <v>6</v>
      </c>
      <c r="I379" s="1" t="s">
        <v>25</v>
      </c>
      <c r="J379" s="1" t="s">
        <v>2056</v>
      </c>
      <c r="K379" s="1" t="s">
        <v>2057</v>
      </c>
      <c r="L379" s="1" t="s">
        <v>131</v>
      </c>
      <c r="M379" s="1" t="s">
        <v>29</v>
      </c>
      <c r="N379" s="1" t="s">
        <v>399</v>
      </c>
      <c r="O379" s="1" t="s">
        <v>53</v>
      </c>
      <c r="P379" s="1">
        <v>23666</v>
      </c>
      <c r="Q379" s="1" t="s">
        <v>54</v>
      </c>
      <c r="R379" s="1" t="s">
        <v>1519</v>
      </c>
      <c r="S379" s="1" t="s">
        <v>34</v>
      </c>
      <c r="T379" s="1" t="s">
        <v>109</v>
      </c>
      <c r="U379" s="1" t="s">
        <v>1520</v>
      </c>
      <c r="V379" s="3">
        <v>113.1</v>
      </c>
      <c r="W379" s="1" t="str">
        <f t="shared" si="29"/>
        <v>Slow Delivery</v>
      </c>
    </row>
    <row r="380" spans="1:23" x14ac:dyDescent="0.25">
      <c r="A380" s="1">
        <v>5835</v>
      </c>
      <c r="B380" s="2" t="s">
        <v>2058</v>
      </c>
      <c r="C380" s="2">
        <v>42530</v>
      </c>
      <c r="D380" s="2">
        <v>42537</v>
      </c>
      <c r="E380" s="1">
        <f t="shared" si="26"/>
        <v>2016</v>
      </c>
      <c r="F380" s="2" t="str">
        <f t="shared" si="27"/>
        <v>Jun</v>
      </c>
      <c r="G380" s="1">
        <f t="shared" si="28"/>
        <v>6</v>
      </c>
      <c r="H380" s="1">
        <f t="shared" si="25"/>
        <v>7</v>
      </c>
      <c r="I380" s="1" t="s">
        <v>25</v>
      </c>
      <c r="J380" s="1" t="s">
        <v>2059</v>
      </c>
      <c r="K380" s="1" t="s">
        <v>2060</v>
      </c>
      <c r="L380" s="1" t="s">
        <v>28</v>
      </c>
      <c r="M380" s="1" t="s">
        <v>29</v>
      </c>
      <c r="N380" s="1" t="s">
        <v>236</v>
      </c>
      <c r="O380" s="1" t="s">
        <v>190</v>
      </c>
      <c r="P380" s="1">
        <v>33178</v>
      </c>
      <c r="Q380" s="1" t="s">
        <v>54</v>
      </c>
      <c r="R380" s="1" t="s">
        <v>606</v>
      </c>
      <c r="S380" s="1" t="s">
        <v>34</v>
      </c>
      <c r="T380" s="1" t="s">
        <v>109</v>
      </c>
      <c r="U380" s="1" t="s">
        <v>607</v>
      </c>
      <c r="V380" s="3">
        <v>64.2</v>
      </c>
      <c r="W380" s="1" t="str">
        <f t="shared" si="29"/>
        <v>Slow Delivery</v>
      </c>
    </row>
    <row r="381" spans="1:23" x14ac:dyDescent="0.25">
      <c r="A381" s="1">
        <v>3035</v>
      </c>
      <c r="B381" s="2" t="s">
        <v>2061</v>
      </c>
      <c r="C381" s="2">
        <v>42532</v>
      </c>
      <c r="D381" s="2">
        <v>42537</v>
      </c>
      <c r="E381" s="1">
        <f t="shared" si="26"/>
        <v>2016</v>
      </c>
      <c r="F381" s="2" t="str">
        <f t="shared" si="27"/>
        <v>Jun</v>
      </c>
      <c r="G381" s="1">
        <f t="shared" si="28"/>
        <v>6</v>
      </c>
      <c r="H381" s="1">
        <f t="shared" si="25"/>
        <v>5</v>
      </c>
      <c r="I381" s="1" t="s">
        <v>25</v>
      </c>
      <c r="J381" s="1" t="s">
        <v>2062</v>
      </c>
      <c r="K381" s="1" t="s">
        <v>2063</v>
      </c>
      <c r="L381" s="1" t="s">
        <v>28</v>
      </c>
      <c r="M381" s="1" t="s">
        <v>29</v>
      </c>
      <c r="N381" s="1" t="s">
        <v>2064</v>
      </c>
      <c r="O381" s="1" t="s">
        <v>921</v>
      </c>
      <c r="P381" s="1">
        <v>71203</v>
      </c>
      <c r="Q381" s="1" t="s">
        <v>54</v>
      </c>
      <c r="R381" s="1" t="s">
        <v>2065</v>
      </c>
      <c r="S381" s="1" t="s">
        <v>64</v>
      </c>
      <c r="T381" s="1" t="s">
        <v>65</v>
      </c>
      <c r="U381" s="1" t="s">
        <v>2066</v>
      </c>
      <c r="V381" s="3">
        <v>53.7</v>
      </c>
      <c r="W381" s="1" t="str">
        <f t="shared" si="29"/>
        <v>Slow Delivery</v>
      </c>
    </row>
    <row r="382" spans="1:23" x14ac:dyDescent="0.25">
      <c r="A382" s="1">
        <v>6914</v>
      </c>
      <c r="B382" s="2" t="s">
        <v>2067</v>
      </c>
      <c r="C382" s="2">
        <v>42533</v>
      </c>
      <c r="D382" s="2">
        <v>42537</v>
      </c>
      <c r="E382" s="1">
        <f t="shared" si="26"/>
        <v>2016</v>
      </c>
      <c r="F382" s="2" t="str">
        <f t="shared" si="27"/>
        <v>Jun</v>
      </c>
      <c r="G382" s="1">
        <f t="shared" si="28"/>
        <v>6</v>
      </c>
      <c r="H382" s="1">
        <f t="shared" si="25"/>
        <v>4</v>
      </c>
      <c r="I382" s="1" t="s">
        <v>25</v>
      </c>
      <c r="J382" s="1" t="s">
        <v>2068</v>
      </c>
      <c r="K382" s="1" t="s">
        <v>2069</v>
      </c>
      <c r="L382" s="1" t="s">
        <v>28</v>
      </c>
      <c r="M382" s="1" t="s">
        <v>29</v>
      </c>
      <c r="N382" s="1" t="s">
        <v>2070</v>
      </c>
      <c r="O382" s="1" t="s">
        <v>190</v>
      </c>
      <c r="P382" s="1">
        <v>33407</v>
      </c>
      <c r="Q382" s="1" t="s">
        <v>54</v>
      </c>
      <c r="R382" s="1" t="s">
        <v>2071</v>
      </c>
      <c r="S382" s="1" t="s">
        <v>64</v>
      </c>
      <c r="T382" s="1" t="s">
        <v>159</v>
      </c>
      <c r="U382" s="1" t="s">
        <v>2072</v>
      </c>
      <c r="V382" s="3">
        <v>55.984000000000002</v>
      </c>
      <c r="W382" s="1" t="str">
        <f t="shared" si="29"/>
        <v>Slow Delivery</v>
      </c>
    </row>
    <row r="383" spans="1:23" x14ac:dyDescent="0.25">
      <c r="A383" s="1">
        <v>2980</v>
      </c>
      <c r="B383" s="2" t="s">
        <v>2073</v>
      </c>
      <c r="C383" s="2">
        <v>42533</v>
      </c>
      <c r="D383" s="2">
        <v>42538</v>
      </c>
      <c r="E383" s="1">
        <f t="shared" si="26"/>
        <v>2016</v>
      </c>
      <c r="F383" s="2" t="str">
        <f t="shared" si="27"/>
        <v>Jun</v>
      </c>
      <c r="G383" s="1">
        <f t="shared" si="28"/>
        <v>6</v>
      </c>
      <c r="H383" s="1">
        <f t="shared" si="25"/>
        <v>5</v>
      </c>
      <c r="I383" s="1" t="s">
        <v>25</v>
      </c>
      <c r="J383" s="1" t="s">
        <v>2074</v>
      </c>
      <c r="K383" s="1" t="s">
        <v>2075</v>
      </c>
      <c r="L383" s="1" t="s">
        <v>28</v>
      </c>
      <c r="M383" s="1" t="s">
        <v>29</v>
      </c>
      <c r="N383" s="1" t="s">
        <v>410</v>
      </c>
      <c r="O383" s="1" t="s">
        <v>411</v>
      </c>
      <c r="P383" s="1">
        <v>19134</v>
      </c>
      <c r="Q383" s="1" t="s">
        <v>43</v>
      </c>
      <c r="R383" s="1" t="s">
        <v>1844</v>
      </c>
      <c r="S383" s="1" t="s">
        <v>34</v>
      </c>
      <c r="T383" s="1" t="s">
        <v>174</v>
      </c>
      <c r="U383" s="1" t="s">
        <v>1845</v>
      </c>
      <c r="V383" s="3">
        <v>20.736000000000001</v>
      </c>
      <c r="W383" s="1" t="str">
        <f t="shared" si="29"/>
        <v>Slow Delivery</v>
      </c>
    </row>
    <row r="384" spans="1:23" x14ac:dyDescent="0.25">
      <c r="A384" s="1">
        <v>3446</v>
      </c>
      <c r="B384" s="2" t="s">
        <v>2076</v>
      </c>
      <c r="C384" s="2">
        <v>42533</v>
      </c>
      <c r="D384" s="2">
        <v>42538</v>
      </c>
      <c r="E384" s="1">
        <f t="shared" si="26"/>
        <v>2016</v>
      </c>
      <c r="F384" s="2" t="str">
        <f t="shared" si="27"/>
        <v>Jun</v>
      </c>
      <c r="G384" s="1">
        <f t="shared" si="28"/>
        <v>6</v>
      </c>
      <c r="H384" s="1">
        <f t="shared" si="25"/>
        <v>5</v>
      </c>
      <c r="I384" s="1" t="s">
        <v>25</v>
      </c>
      <c r="J384" s="1" t="s">
        <v>2077</v>
      </c>
      <c r="K384" s="1" t="s">
        <v>2078</v>
      </c>
      <c r="L384" s="1" t="s">
        <v>28</v>
      </c>
      <c r="M384" s="1" t="s">
        <v>29</v>
      </c>
      <c r="N384" s="1" t="s">
        <v>855</v>
      </c>
      <c r="O384" s="1" t="s">
        <v>42</v>
      </c>
      <c r="P384" s="1">
        <v>19711</v>
      </c>
      <c r="Q384" s="1" t="s">
        <v>43</v>
      </c>
      <c r="R384" s="1" t="s">
        <v>1891</v>
      </c>
      <c r="S384" s="1" t="s">
        <v>34</v>
      </c>
      <c r="T384" s="1" t="s">
        <v>270</v>
      </c>
      <c r="U384" s="1" t="s">
        <v>1892</v>
      </c>
      <c r="V384" s="3">
        <v>29.9</v>
      </c>
      <c r="W384" s="1" t="str">
        <f t="shared" si="29"/>
        <v>Slow Delivery</v>
      </c>
    </row>
    <row r="385" spans="1:23" x14ac:dyDescent="0.25">
      <c r="A385" s="1">
        <v>6730</v>
      </c>
      <c r="B385" s="2" t="s">
        <v>2079</v>
      </c>
      <c r="C385" s="2">
        <v>42539</v>
      </c>
      <c r="D385" s="2">
        <v>42541</v>
      </c>
      <c r="E385" s="1">
        <f t="shared" si="26"/>
        <v>2016</v>
      </c>
      <c r="F385" s="2" t="str">
        <f t="shared" si="27"/>
        <v>Jun</v>
      </c>
      <c r="G385" s="1">
        <f t="shared" si="28"/>
        <v>6</v>
      </c>
      <c r="H385" s="1">
        <f t="shared" si="25"/>
        <v>2</v>
      </c>
      <c r="I385" s="1" t="s">
        <v>38</v>
      </c>
      <c r="J385" s="1" t="s">
        <v>2080</v>
      </c>
      <c r="K385" s="1" t="s">
        <v>2081</v>
      </c>
      <c r="L385" s="1" t="s">
        <v>51</v>
      </c>
      <c r="M385" s="1" t="s">
        <v>29</v>
      </c>
      <c r="N385" s="1" t="s">
        <v>2082</v>
      </c>
      <c r="O385" s="1" t="s">
        <v>1028</v>
      </c>
      <c r="P385" s="1">
        <v>37167</v>
      </c>
      <c r="Q385" s="1" t="s">
        <v>54</v>
      </c>
      <c r="R385" s="1" t="s">
        <v>2083</v>
      </c>
      <c r="S385" s="1" t="s">
        <v>34</v>
      </c>
      <c r="T385" s="1" t="s">
        <v>109</v>
      </c>
      <c r="U385" s="1" t="s">
        <v>2084</v>
      </c>
      <c r="V385" s="3">
        <v>6.1289999999999996</v>
      </c>
      <c r="W385" s="1" t="str">
        <f t="shared" si="29"/>
        <v>Fast Delivery</v>
      </c>
    </row>
    <row r="386" spans="1:23" x14ac:dyDescent="0.25">
      <c r="A386" s="1">
        <v>7826</v>
      </c>
      <c r="B386" s="2" t="s">
        <v>2085</v>
      </c>
      <c r="C386" s="2">
        <v>42403</v>
      </c>
      <c r="D386" s="2">
        <v>42407</v>
      </c>
      <c r="E386" s="1">
        <f t="shared" si="26"/>
        <v>2016</v>
      </c>
      <c r="F386" s="2" t="str">
        <f t="shared" si="27"/>
        <v>Feb</v>
      </c>
      <c r="G386" s="1">
        <f t="shared" si="28"/>
        <v>2</v>
      </c>
      <c r="H386" s="1">
        <f t="shared" ref="H386:H449" si="30">D386-C386</f>
        <v>4</v>
      </c>
      <c r="I386" s="1" t="s">
        <v>25</v>
      </c>
      <c r="J386" s="1" t="s">
        <v>2086</v>
      </c>
      <c r="K386" s="1" t="s">
        <v>2087</v>
      </c>
      <c r="L386" s="1" t="s">
        <v>51</v>
      </c>
      <c r="M386" s="1" t="s">
        <v>29</v>
      </c>
      <c r="N386" s="1" t="s">
        <v>2088</v>
      </c>
      <c r="O386" s="1" t="s">
        <v>115</v>
      </c>
      <c r="P386" s="1">
        <v>13440</v>
      </c>
      <c r="Q386" s="1" t="s">
        <v>43</v>
      </c>
      <c r="R386" s="1" t="s">
        <v>2089</v>
      </c>
      <c r="S386" s="1" t="s">
        <v>45</v>
      </c>
      <c r="T386" s="1" t="s">
        <v>89</v>
      </c>
      <c r="U386" s="1" t="s">
        <v>2090</v>
      </c>
      <c r="V386" s="3">
        <v>90.882000000000005</v>
      </c>
      <c r="W386" s="1" t="str">
        <f t="shared" si="29"/>
        <v>Slow Delivery</v>
      </c>
    </row>
    <row r="387" spans="1:23" x14ac:dyDescent="0.25">
      <c r="A387" s="1">
        <v>1128</v>
      </c>
      <c r="B387" s="2" t="s">
        <v>2091</v>
      </c>
      <c r="C387" s="2">
        <v>42431</v>
      </c>
      <c r="D387" s="2">
        <v>42436</v>
      </c>
      <c r="E387" s="1">
        <f t="shared" ref="E387:E450" si="31">YEAR(C387)</f>
        <v>2016</v>
      </c>
      <c r="F387" s="2" t="str">
        <f t="shared" ref="F387:F450" si="32">TEXT(C387,"mmm")</f>
        <v>Mar</v>
      </c>
      <c r="G387" s="1">
        <f t="shared" ref="G387:G450" si="33">MONTH(C387)</f>
        <v>3</v>
      </c>
      <c r="H387" s="1">
        <f t="shared" si="30"/>
        <v>5</v>
      </c>
      <c r="I387" s="1" t="s">
        <v>25</v>
      </c>
      <c r="J387" s="1" t="s">
        <v>2092</v>
      </c>
      <c r="K387" s="1" t="s">
        <v>2093</v>
      </c>
      <c r="L387" s="1" t="s">
        <v>131</v>
      </c>
      <c r="M387" s="1" t="s">
        <v>29</v>
      </c>
      <c r="N387" s="1" t="s">
        <v>164</v>
      </c>
      <c r="O387" s="1" t="s">
        <v>2094</v>
      </c>
      <c r="P387" s="1">
        <v>47374</v>
      </c>
      <c r="Q387" s="1" t="s">
        <v>32</v>
      </c>
      <c r="R387" s="1" t="s">
        <v>1611</v>
      </c>
      <c r="S387" s="1" t="s">
        <v>34</v>
      </c>
      <c r="T387" s="1" t="s">
        <v>35</v>
      </c>
      <c r="U387" s="1" t="s">
        <v>1612</v>
      </c>
      <c r="V387" s="3">
        <v>10.16</v>
      </c>
      <c r="W387" s="1" t="str">
        <f t="shared" ref="W387:W450" si="34">IF(H387&lt;=3,"Fast Delivery","Slow Delivery")</f>
        <v>Slow Delivery</v>
      </c>
    </row>
    <row r="388" spans="1:23" x14ac:dyDescent="0.25">
      <c r="A388" s="1">
        <v>5255</v>
      </c>
      <c r="B388" s="2" t="s">
        <v>2095</v>
      </c>
      <c r="C388" s="2">
        <v>42434</v>
      </c>
      <c r="D388" s="2">
        <v>42436</v>
      </c>
      <c r="E388" s="1">
        <f t="shared" si="31"/>
        <v>2016</v>
      </c>
      <c r="F388" s="2" t="str">
        <f t="shared" si="32"/>
        <v>Mar</v>
      </c>
      <c r="G388" s="1">
        <f t="shared" si="33"/>
        <v>3</v>
      </c>
      <c r="H388" s="1">
        <f t="shared" si="30"/>
        <v>2</v>
      </c>
      <c r="I388" s="1" t="s">
        <v>83</v>
      </c>
      <c r="J388" s="1" t="s">
        <v>2096</v>
      </c>
      <c r="K388" s="1" t="s">
        <v>2097</v>
      </c>
      <c r="L388" s="1" t="s">
        <v>51</v>
      </c>
      <c r="M388" s="1" t="s">
        <v>29</v>
      </c>
      <c r="N388" s="1" t="s">
        <v>2098</v>
      </c>
      <c r="O388" s="1" t="s">
        <v>411</v>
      </c>
      <c r="P388" s="1">
        <v>18018</v>
      </c>
      <c r="Q388" s="1" t="s">
        <v>43</v>
      </c>
      <c r="R388" s="1" t="s">
        <v>1359</v>
      </c>
      <c r="S388" s="1" t="s">
        <v>45</v>
      </c>
      <c r="T388" s="1" t="s">
        <v>89</v>
      </c>
      <c r="U388" s="1" t="s">
        <v>1360</v>
      </c>
      <c r="V388" s="3">
        <v>99.372</v>
      </c>
      <c r="W388" s="1" t="str">
        <f t="shared" si="34"/>
        <v>Fast Delivery</v>
      </c>
    </row>
    <row r="389" spans="1:23" x14ac:dyDescent="0.25">
      <c r="A389" s="1">
        <v>2769</v>
      </c>
      <c r="B389" s="2" t="s">
        <v>2099</v>
      </c>
      <c r="C389" s="2">
        <v>42462</v>
      </c>
      <c r="D389" s="2">
        <v>42467</v>
      </c>
      <c r="E389" s="1">
        <f t="shared" si="31"/>
        <v>2016</v>
      </c>
      <c r="F389" s="2" t="str">
        <f t="shared" si="32"/>
        <v>Apr</v>
      </c>
      <c r="G389" s="1">
        <f t="shared" si="33"/>
        <v>4</v>
      </c>
      <c r="H389" s="1">
        <f t="shared" si="30"/>
        <v>5</v>
      </c>
      <c r="I389" s="1" t="s">
        <v>25</v>
      </c>
      <c r="J389" s="1" t="s">
        <v>2100</v>
      </c>
      <c r="K389" s="1" t="s">
        <v>2101</v>
      </c>
      <c r="L389" s="1" t="s">
        <v>28</v>
      </c>
      <c r="M389" s="1" t="s">
        <v>29</v>
      </c>
      <c r="N389" s="1" t="s">
        <v>750</v>
      </c>
      <c r="O389" s="1" t="s">
        <v>31</v>
      </c>
      <c r="P389" s="1">
        <v>75220</v>
      </c>
      <c r="Q389" s="1" t="s">
        <v>32</v>
      </c>
      <c r="R389" s="1" t="s">
        <v>2102</v>
      </c>
      <c r="S389" s="1" t="s">
        <v>34</v>
      </c>
      <c r="T389" s="1" t="s">
        <v>74</v>
      </c>
      <c r="U389" s="1" t="s">
        <v>2103</v>
      </c>
      <c r="V389" s="3">
        <v>32.192</v>
      </c>
      <c r="W389" s="1" t="str">
        <f t="shared" si="34"/>
        <v>Slow Delivery</v>
      </c>
    </row>
    <row r="390" spans="1:23" x14ac:dyDescent="0.25">
      <c r="A390" s="1">
        <v>4046</v>
      </c>
      <c r="B390" s="2" t="s">
        <v>2104</v>
      </c>
      <c r="C390" s="2">
        <v>42462</v>
      </c>
      <c r="D390" s="2">
        <v>42467</v>
      </c>
      <c r="E390" s="1">
        <f t="shared" si="31"/>
        <v>2016</v>
      </c>
      <c r="F390" s="2" t="str">
        <f t="shared" si="32"/>
        <v>Apr</v>
      </c>
      <c r="G390" s="1">
        <f t="shared" si="33"/>
        <v>4</v>
      </c>
      <c r="H390" s="1">
        <f t="shared" si="30"/>
        <v>5</v>
      </c>
      <c r="I390" s="1" t="s">
        <v>25</v>
      </c>
      <c r="J390" s="1" t="s">
        <v>2105</v>
      </c>
      <c r="K390" s="1" t="s">
        <v>2106</v>
      </c>
      <c r="L390" s="1" t="s">
        <v>51</v>
      </c>
      <c r="M390" s="1" t="s">
        <v>29</v>
      </c>
      <c r="N390" s="1" t="s">
        <v>150</v>
      </c>
      <c r="O390" s="1" t="s">
        <v>31</v>
      </c>
      <c r="P390" s="1">
        <v>77070</v>
      </c>
      <c r="Q390" s="1" t="s">
        <v>32</v>
      </c>
      <c r="R390" s="1" t="s">
        <v>2107</v>
      </c>
      <c r="S390" s="1" t="s">
        <v>34</v>
      </c>
      <c r="T390" s="1" t="s">
        <v>109</v>
      </c>
      <c r="U390" s="1" t="s">
        <v>2108</v>
      </c>
      <c r="V390" s="3">
        <v>9.1560000000000006</v>
      </c>
      <c r="W390" s="1" t="str">
        <f t="shared" si="34"/>
        <v>Slow Delivery</v>
      </c>
    </row>
    <row r="391" spans="1:23" x14ac:dyDescent="0.25">
      <c r="A391" s="1">
        <v>7711</v>
      </c>
      <c r="B391" s="2" t="s">
        <v>2109</v>
      </c>
      <c r="C391" s="2">
        <v>42462</v>
      </c>
      <c r="D391" s="2">
        <v>42467</v>
      </c>
      <c r="E391" s="1">
        <f t="shared" si="31"/>
        <v>2016</v>
      </c>
      <c r="F391" s="2" t="str">
        <f t="shared" si="32"/>
        <v>Apr</v>
      </c>
      <c r="G391" s="1">
        <f t="shared" si="33"/>
        <v>4</v>
      </c>
      <c r="H391" s="1">
        <f t="shared" si="30"/>
        <v>5</v>
      </c>
      <c r="I391" s="1" t="s">
        <v>25</v>
      </c>
      <c r="J391" s="1" t="s">
        <v>2110</v>
      </c>
      <c r="K391" s="1" t="s">
        <v>2111</v>
      </c>
      <c r="L391" s="1" t="s">
        <v>28</v>
      </c>
      <c r="M391" s="1" t="s">
        <v>29</v>
      </c>
      <c r="N391" s="1" t="s">
        <v>1753</v>
      </c>
      <c r="O391" s="1" t="s">
        <v>229</v>
      </c>
      <c r="P391" s="1">
        <v>85204</v>
      </c>
      <c r="Q391" s="1" t="s">
        <v>107</v>
      </c>
      <c r="R391" s="1" t="s">
        <v>2112</v>
      </c>
      <c r="S391" s="1" t="s">
        <v>64</v>
      </c>
      <c r="T391" s="1" t="s">
        <v>159</v>
      </c>
      <c r="U391" s="1" t="s">
        <v>2113</v>
      </c>
      <c r="V391" s="3">
        <v>87.8</v>
      </c>
      <c r="W391" s="1" t="str">
        <f t="shared" si="34"/>
        <v>Slow Delivery</v>
      </c>
    </row>
    <row r="392" spans="1:23" x14ac:dyDescent="0.25">
      <c r="A392" s="1">
        <v>1450</v>
      </c>
      <c r="B392" s="2" t="s">
        <v>2114</v>
      </c>
      <c r="C392" s="2">
        <v>42491</v>
      </c>
      <c r="D392" s="2">
        <v>42497</v>
      </c>
      <c r="E392" s="1">
        <f t="shared" si="31"/>
        <v>2016</v>
      </c>
      <c r="F392" s="2" t="str">
        <f t="shared" si="32"/>
        <v>May</v>
      </c>
      <c r="G392" s="1">
        <f t="shared" si="33"/>
        <v>5</v>
      </c>
      <c r="H392" s="1">
        <f t="shared" si="30"/>
        <v>6</v>
      </c>
      <c r="I392" s="1" t="s">
        <v>25</v>
      </c>
      <c r="J392" s="1" t="s">
        <v>2115</v>
      </c>
      <c r="K392" s="1" t="s">
        <v>2116</v>
      </c>
      <c r="L392" s="1" t="s">
        <v>51</v>
      </c>
      <c r="M392" s="1" t="s">
        <v>29</v>
      </c>
      <c r="N392" s="1" t="s">
        <v>132</v>
      </c>
      <c r="O392" s="1" t="s">
        <v>106</v>
      </c>
      <c r="P392" s="1">
        <v>90008</v>
      </c>
      <c r="Q392" s="1" t="s">
        <v>107</v>
      </c>
      <c r="R392" s="1" t="s">
        <v>2117</v>
      </c>
      <c r="S392" s="1" t="s">
        <v>64</v>
      </c>
      <c r="T392" s="1" t="s">
        <v>159</v>
      </c>
      <c r="U392" s="1" t="s">
        <v>2118</v>
      </c>
      <c r="V392" s="3">
        <v>88.751999999999995</v>
      </c>
      <c r="W392" s="1" t="str">
        <f t="shared" si="34"/>
        <v>Slow Delivery</v>
      </c>
    </row>
    <row r="393" spans="1:23" x14ac:dyDescent="0.25">
      <c r="A393" s="1">
        <v>4114</v>
      </c>
      <c r="B393" s="2" t="s">
        <v>2119</v>
      </c>
      <c r="C393" s="2">
        <v>42492</v>
      </c>
      <c r="D393" s="2">
        <v>42497</v>
      </c>
      <c r="E393" s="1">
        <f t="shared" si="31"/>
        <v>2016</v>
      </c>
      <c r="F393" s="2" t="str">
        <f t="shared" si="32"/>
        <v>May</v>
      </c>
      <c r="G393" s="1">
        <f t="shared" si="33"/>
        <v>5</v>
      </c>
      <c r="H393" s="1">
        <f t="shared" si="30"/>
        <v>5</v>
      </c>
      <c r="I393" s="1" t="s">
        <v>25</v>
      </c>
      <c r="J393" s="1" t="s">
        <v>2120</v>
      </c>
      <c r="K393" s="1" t="s">
        <v>2121</v>
      </c>
      <c r="L393" s="1" t="s">
        <v>51</v>
      </c>
      <c r="M393" s="1" t="s">
        <v>29</v>
      </c>
      <c r="N393" s="1" t="s">
        <v>150</v>
      </c>
      <c r="O393" s="1" t="s">
        <v>31</v>
      </c>
      <c r="P393" s="1">
        <v>77095</v>
      </c>
      <c r="Q393" s="1" t="s">
        <v>32</v>
      </c>
      <c r="R393" s="1" t="s">
        <v>1870</v>
      </c>
      <c r="S393" s="1" t="s">
        <v>34</v>
      </c>
      <c r="T393" s="1" t="s">
        <v>56</v>
      </c>
      <c r="U393" s="1" t="s">
        <v>1871</v>
      </c>
      <c r="V393" s="3">
        <v>8.8559999999999999</v>
      </c>
      <c r="W393" s="1" t="str">
        <f t="shared" si="34"/>
        <v>Slow Delivery</v>
      </c>
    </row>
    <row r="394" spans="1:23" x14ac:dyDescent="0.25">
      <c r="A394" s="1">
        <v>529</v>
      </c>
      <c r="B394" s="2" t="s">
        <v>2122</v>
      </c>
      <c r="C394" s="2">
        <v>42616</v>
      </c>
      <c r="D394" s="2">
        <v>42620</v>
      </c>
      <c r="E394" s="1">
        <f t="shared" si="31"/>
        <v>2016</v>
      </c>
      <c r="F394" s="2" t="str">
        <f t="shared" si="32"/>
        <v>Sep</v>
      </c>
      <c r="G394" s="1">
        <f t="shared" si="33"/>
        <v>9</v>
      </c>
      <c r="H394" s="1">
        <f t="shared" si="30"/>
        <v>4</v>
      </c>
      <c r="I394" s="1" t="s">
        <v>25</v>
      </c>
      <c r="J394" s="1" t="s">
        <v>2123</v>
      </c>
      <c r="K394" s="1" t="s">
        <v>2124</v>
      </c>
      <c r="L394" s="1" t="s">
        <v>28</v>
      </c>
      <c r="M394" s="1" t="s">
        <v>29</v>
      </c>
      <c r="N394" s="1" t="s">
        <v>410</v>
      </c>
      <c r="O394" s="1" t="s">
        <v>411</v>
      </c>
      <c r="P394" s="1">
        <v>19134</v>
      </c>
      <c r="Q394" s="1" t="s">
        <v>43</v>
      </c>
      <c r="R394" s="1" t="s">
        <v>2125</v>
      </c>
      <c r="S394" s="1" t="s">
        <v>34</v>
      </c>
      <c r="T394" s="1" t="s">
        <v>270</v>
      </c>
      <c r="U394" s="1" t="s">
        <v>2126</v>
      </c>
      <c r="V394" s="3">
        <v>36.335999999999999</v>
      </c>
      <c r="W394" s="1" t="str">
        <f t="shared" si="34"/>
        <v>Slow Delivery</v>
      </c>
    </row>
    <row r="395" spans="1:23" x14ac:dyDescent="0.25">
      <c r="A395" s="1">
        <v>8463</v>
      </c>
      <c r="B395" s="2" t="s">
        <v>2127</v>
      </c>
      <c r="C395" s="2">
        <v>42616</v>
      </c>
      <c r="D395" s="2">
        <v>42620</v>
      </c>
      <c r="E395" s="1">
        <f t="shared" si="31"/>
        <v>2016</v>
      </c>
      <c r="F395" s="2" t="str">
        <f t="shared" si="32"/>
        <v>Sep</v>
      </c>
      <c r="G395" s="1">
        <f t="shared" si="33"/>
        <v>9</v>
      </c>
      <c r="H395" s="1">
        <f t="shared" si="30"/>
        <v>4</v>
      </c>
      <c r="I395" s="1" t="s">
        <v>83</v>
      </c>
      <c r="J395" s="1" t="s">
        <v>2128</v>
      </c>
      <c r="K395" s="1" t="s">
        <v>2129</v>
      </c>
      <c r="L395" s="1" t="s">
        <v>28</v>
      </c>
      <c r="M395" s="1" t="s">
        <v>29</v>
      </c>
      <c r="N395" s="1" t="s">
        <v>2130</v>
      </c>
      <c r="O395" s="1" t="s">
        <v>172</v>
      </c>
      <c r="P395" s="1">
        <v>49423</v>
      </c>
      <c r="Q395" s="1" t="s">
        <v>32</v>
      </c>
      <c r="R395" s="1" t="s">
        <v>2131</v>
      </c>
      <c r="S395" s="1" t="s">
        <v>34</v>
      </c>
      <c r="T395" s="1" t="s">
        <v>56</v>
      </c>
      <c r="U395" s="1" t="s">
        <v>2132</v>
      </c>
      <c r="V395" s="3">
        <v>7.5</v>
      </c>
      <c r="W395" s="1" t="str">
        <f t="shared" si="34"/>
        <v>Slow Delivery</v>
      </c>
    </row>
    <row r="396" spans="1:23" x14ac:dyDescent="0.25">
      <c r="A396" s="1">
        <v>4617</v>
      </c>
      <c r="B396" s="2" t="s">
        <v>2133</v>
      </c>
      <c r="C396" s="2">
        <v>42617</v>
      </c>
      <c r="D396" s="2">
        <v>42620</v>
      </c>
      <c r="E396" s="1">
        <f t="shared" si="31"/>
        <v>2016</v>
      </c>
      <c r="F396" s="2" t="str">
        <f t="shared" si="32"/>
        <v>Sep</v>
      </c>
      <c r="G396" s="1">
        <f t="shared" si="33"/>
        <v>9</v>
      </c>
      <c r="H396" s="1">
        <f t="shared" si="30"/>
        <v>3</v>
      </c>
      <c r="I396" s="1" t="s">
        <v>83</v>
      </c>
      <c r="J396" s="1" t="s">
        <v>2134</v>
      </c>
      <c r="K396" s="1" t="s">
        <v>2135</v>
      </c>
      <c r="L396" s="1" t="s">
        <v>51</v>
      </c>
      <c r="M396" s="1" t="s">
        <v>29</v>
      </c>
      <c r="N396" s="1" t="s">
        <v>150</v>
      </c>
      <c r="O396" s="1" t="s">
        <v>31</v>
      </c>
      <c r="P396" s="1">
        <v>77095</v>
      </c>
      <c r="Q396" s="1" t="s">
        <v>32</v>
      </c>
      <c r="R396" s="1" t="s">
        <v>2136</v>
      </c>
      <c r="S396" s="1" t="s">
        <v>64</v>
      </c>
      <c r="T396" s="1" t="s">
        <v>65</v>
      </c>
      <c r="U396" s="1" t="s">
        <v>2137</v>
      </c>
      <c r="V396" s="3">
        <v>134.376</v>
      </c>
      <c r="W396" s="1" t="str">
        <f t="shared" si="34"/>
        <v>Fast Delivery</v>
      </c>
    </row>
    <row r="397" spans="1:23" x14ac:dyDescent="0.25">
      <c r="A397" s="1">
        <v>3903</v>
      </c>
      <c r="B397" s="2" t="s">
        <v>2138</v>
      </c>
      <c r="C397" s="2">
        <v>42645</v>
      </c>
      <c r="D397" s="2">
        <v>42650</v>
      </c>
      <c r="E397" s="1">
        <f t="shared" si="31"/>
        <v>2016</v>
      </c>
      <c r="F397" s="2" t="str">
        <f t="shared" si="32"/>
        <v>Oct</v>
      </c>
      <c r="G397" s="1">
        <f t="shared" si="33"/>
        <v>10</v>
      </c>
      <c r="H397" s="1">
        <f t="shared" si="30"/>
        <v>5</v>
      </c>
      <c r="I397" s="1" t="s">
        <v>83</v>
      </c>
      <c r="J397" s="1" t="s">
        <v>2139</v>
      </c>
      <c r="K397" s="1" t="s">
        <v>2140</v>
      </c>
      <c r="L397" s="1" t="s">
        <v>131</v>
      </c>
      <c r="M397" s="1" t="s">
        <v>29</v>
      </c>
      <c r="N397" s="1" t="s">
        <v>132</v>
      </c>
      <c r="O397" s="1" t="s">
        <v>106</v>
      </c>
      <c r="P397" s="1">
        <v>90045</v>
      </c>
      <c r="Q397" s="1" t="s">
        <v>107</v>
      </c>
      <c r="R397" s="1" t="s">
        <v>2141</v>
      </c>
      <c r="S397" s="1" t="s">
        <v>34</v>
      </c>
      <c r="T397" s="1" t="s">
        <v>270</v>
      </c>
      <c r="U397" s="1" t="s">
        <v>2142</v>
      </c>
      <c r="V397" s="3">
        <v>270.33999999999997</v>
      </c>
      <c r="W397" s="1" t="str">
        <f t="shared" si="34"/>
        <v>Slow Delivery</v>
      </c>
    </row>
    <row r="398" spans="1:23" x14ac:dyDescent="0.25">
      <c r="A398" s="1">
        <v>1300</v>
      </c>
      <c r="B398" s="2" t="s">
        <v>2143</v>
      </c>
      <c r="C398" s="2">
        <v>42647</v>
      </c>
      <c r="D398" s="2">
        <v>42650</v>
      </c>
      <c r="E398" s="1">
        <f t="shared" si="31"/>
        <v>2016</v>
      </c>
      <c r="F398" s="2" t="str">
        <f t="shared" si="32"/>
        <v>Oct</v>
      </c>
      <c r="G398" s="1">
        <f t="shared" si="33"/>
        <v>10</v>
      </c>
      <c r="H398" s="1">
        <f t="shared" si="30"/>
        <v>3</v>
      </c>
      <c r="I398" s="1" t="s">
        <v>38</v>
      </c>
      <c r="J398" s="1" t="s">
        <v>2144</v>
      </c>
      <c r="K398" s="1" t="s">
        <v>2145</v>
      </c>
      <c r="L398" s="1" t="s">
        <v>28</v>
      </c>
      <c r="M398" s="1" t="s">
        <v>29</v>
      </c>
      <c r="N398" s="1" t="s">
        <v>105</v>
      </c>
      <c r="O398" s="1" t="s">
        <v>106</v>
      </c>
      <c r="P398" s="1">
        <v>94109</v>
      </c>
      <c r="Q398" s="1" t="s">
        <v>107</v>
      </c>
      <c r="R398" s="1" t="s">
        <v>2146</v>
      </c>
      <c r="S398" s="1" t="s">
        <v>34</v>
      </c>
      <c r="T398" s="1" t="s">
        <v>270</v>
      </c>
      <c r="U398" s="1" t="s">
        <v>2147</v>
      </c>
      <c r="V398" s="3">
        <v>26.96</v>
      </c>
      <c r="W398" s="1" t="str">
        <f t="shared" si="34"/>
        <v>Fast Delivery</v>
      </c>
    </row>
    <row r="399" spans="1:23" x14ac:dyDescent="0.25">
      <c r="A399" s="1">
        <v>6006</v>
      </c>
      <c r="B399" s="2" t="s">
        <v>2148</v>
      </c>
      <c r="C399" s="2">
        <v>42676</v>
      </c>
      <c r="D399" s="2">
        <v>42681</v>
      </c>
      <c r="E399" s="1">
        <f t="shared" si="31"/>
        <v>2016</v>
      </c>
      <c r="F399" s="2" t="str">
        <f t="shared" si="32"/>
        <v>Nov</v>
      </c>
      <c r="G399" s="1">
        <f t="shared" si="33"/>
        <v>11</v>
      </c>
      <c r="H399" s="1">
        <f t="shared" si="30"/>
        <v>5</v>
      </c>
      <c r="I399" s="1" t="s">
        <v>25</v>
      </c>
      <c r="J399" s="1" t="s">
        <v>2149</v>
      </c>
      <c r="K399" s="1" t="s">
        <v>2150</v>
      </c>
      <c r="L399" s="1" t="s">
        <v>28</v>
      </c>
      <c r="M399" s="1" t="s">
        <v>29</v>
      </c>
      <c r="N399" s="1" t="s">
        <v>2151</v>
      </c>
      <c r="O399" s="1" t="s">
        <v>115</v>
      </c>
      <c r="P399" s="1">
        <v>12180</v>
      </c>
      <c r="Q399" s="1" t="s">
        <v>43</v>
      </c>
      <c r="R399" s="1" t="s">
        <v>2152</v>
      </c>
      <c r="S399" s="1" t="s">
        <v>45</v>
      </c>
      <c r="T399" s="1" t="s">
        <v>89</v>
      </c>
      <c r="U399" s="1" t="s">
        <v>2153</v>
      </c>
      <c r="V399" s="3">
        <v>109.764</v>
      </c>
      <c r="W399" s="1" t="str">
        <f t="shared" si="34"/>
        <v>Slow Delivery</v>
      </c>
    </row>
    <row r="400" spans="1:23" x14ac:dyDescent="0.25">
      <c r="A400" s="1">
        <v>9193</v>
      </c>
      <c r="B400" s="2" t="s">
        <v>2154</v>
      </c>
      <c r="C400" s="2">
        <v>42676</v>
      </c>
      <c r="D400" s="2">
        <v>42681</v>
      </c>
      <c r="E400" s="1">
        <f t="shared" si="31"/>
        <v>2016</v>
      </c>
      <c r="F400" s="2" t="str">
        <f t="shared" si="32"/>
        <v>Nov</v>
      </c>
      <c r="G400" s="1">
        <f t="shared" si="33"/>
        <v>11</v>
      </c>
      <c r="H400" s="1">
        <f t="shared" si="30"/>
        <v>5</v>
      </c>
      <c r="I400" s="1" t="s">
        <v>25</v>
      </c>
      <c r="J400" s="1" t="s">
        <v>2155</v>
      </c>
      <c r="K400" s="1" t="s">
        <v>2156</v>
      </c>
      <c r="L400" s="1" t="s">
        <v>51</v>
      </c>
      <c r="M400" s="1" t="s">
        <v>29</v>
      </c>
      <c r="N400" s="1" t="s">
        <v>938</v>
      </c>
      <c r="O400" s="1" t="s">
        <v>31</v>
      </c>
      <c r="P400" s="1">
        <v>78207</v>
      </c>
      <c r="Q400" s="1" t="s">
        <v>32</v>
      </c>
      <c r="R400" s="1" t="s">
        <v>2157</v>
      </c>
      <c r="S400" s="1" t="s">
        <v>34</v>
      </c>
      <c r="T400" s="1" t="s">
        <v>109</v>
      </c>
      <c r="U400" s="1" t="s">
        <v>2158</v>
      </c>
      <c r="V400" s="3">
        <v>29.372</v>
      </c>
      <c r="W400" s="1" t="str">
        <f t="shared" si="34"/>
        <v>Slow Delivery</v>
      </c>
    </row>
    <row r="401" spans="1:23" x14ac:dyDescent="0.25">
      <c r="A401" s="1">
        <v>1487</v>
      </c>
      <c r="B401" s="2" t="s">
        <v>2159</v>
      </c>
      <c r="C401" s="2">
        <v>42677</v>
      </c>
      <c r="D401" s="2">
        <v>42681</v>
      </c>
      <c r="E401" s="1">
        <f t="shared" si="31"/>
        <v>2016</v>
      </c>
      <c r="F401" s="2" t="str">
        <f t="shared" si="32"/>
        <v>Nov</v>
      </c>
      <c r="G401" s="1">
        <f t="shared" si="33"/>
        <v>11</v>
      </c>
      <c r="H401" s="1">
        <f t="shared" si="30"/>
        <v>4</v>
      </c>
      <c r="I401" s="1" t="s">
        <v>25</v>
      </c>
      <c r="J401" s="1" t="s">
        <v>2160</v>
      </c>
      <c r="K401" s="1" t="s">
        <v>2161</v>
      </c>
      <c r="L401" s="1" t="s">
        <v>131</v>
      </c>
      <c r="M401" s="1" t="s">
        <v>29</v>
      </c>
      <c r="N401" s="1" t="s">
        <v>132</v>
      </c>
      <c r="O401" s="1" t="s">
        <v>106</v>
      </c>
      <c r="P401" s="1">
        <v>90008</v>
      </c>
      <c r="Q401" s="1" t="s">
        <v>107</v>
      </c>
      <c r="R401" s="1" t="s">
        <v>2162</v>
      </c>
      <c r="S401" s="1" t="s">
        <v>64</v>
      </c>
      <c r="T401" s="1" t="s">
        <v>159</v>
      </c>
      <c r="U401" s="1" t="s">
        <v>2163</v>
      </c>
      <c r="V401" s="3">
        <v>1212.848</v>
      </c>
      <c r="W401" s="1" t="str">
        <f t="shared" si="34"/>
        <v>Slow Delivery</v>
      </c>
    </row>
    <row r="402" spans="1:23" x14ac:dyDescent="0.25">
      <c r="A402" s="1">
        <v>3920</v>
      </c>
      <c r="B402" s="2" t="s">
        <v>2164</v>
      </c>
      <c r="C402" s="2">
        <v>42705</v>
      </c>
      <c r="D402" s="2">
        <v>42711</v>
      </c>
      <c r="E402" s="1">
        <f t="shared" si="31"/>
        <v>2016</v>
      </c>
      <c r="F402" s="2" t="str">
        <f t="shared" si="32"/>
        <v>Dec</v>
      </c>
      <c r="G402" s="1">
        <f t="shared" si="33"/>
        <v>12</v>
      </c>
      <c r="H402" s="1">
        <f t="shared" si="30"/>
        <v>6</v>
      </c>
      <c r="I402" s="1" t="s">
        <v>25</v>
      </c>
      <c r="J402" s="1" t="s">
        <v>2165</v>
      </c>
      <c r="K402" s="1" t="s">
        <v>2166</v>
      </c>
      <c r="L402" s="1" t="s">
        <v>51</v>
      </c>
      <c r="M402" s="1" t="s">
        <v>29</v>
      </c>
      <c r="N402" s="1" t="s">
        <v>79</v>
      </c>
      <c r="O402" s="1" t="s">
        <v>53</v>
      </c>
      <c r="P402" s="1">
        <v>23320</v>
      </c>
      <c r="Q402" s="1" t="s">
        <v>54</v>
      </c>
      <c r="R402" s="1" t="s">
        <v>2167</v>
      </c>
      <c r="S402" s="1" t="s">
        <v>34</v>
      </c>
      <c r="T402" s="1" t="s">
        <v>270</v>
      </c>
      <c r="U402" s="1" t="s">
        <v>2168</v>
      </c>
      <c r="V402" s="3">
        <v>61.68</v>
      </c>
      <c r="W402" s="1" t="str">
        <f t="shared" si="34"/>
        <v>Slow Delivery</v>
      </c>
    </row>
    <row r="403" spans="1:23" x14ac:dyDescent="0.25">
      <c r="A403" s="1">
        <v>387</v>
      </c>
      <c r="B403" s="2" t="s">
        <v>2169</v>
      </c>
      <c r="C403" s="2">
        <v>42707</v>
      </c>
      <c r="D403" s="2">
        <v>42711</v>
      </c>
      <c r="E403" s="1">
        <f t="shared" si="31"/>
        <v>2016</v>
      </c>
      <c r="F403" s="2" t="str">
        <f t="shared" si="32"/>
        <v>Dec</v>
      </c>
      <c r="G403" s="1">
        <f t="shared" si="33"/>
        <v>12</v>
      </c>
      <c r="H403" s="1">
        <f t="shared" si="30"/>
        <v>4</v>
      </c>
      <c r="I403" s="1" t="s">
        <v>25</v>
      </c>
      <c r="J403" s="1" t="s">
        <v>2170</v>
      </c>
      <c r="K403" s="1" t="s">
        <v>2171</v>
      </c>
      <c r="L403" s="1" t="s">
        <v>51</v>
      </c>
      <c r="M403" s="1" t="s">
        <v>29</v>
      </c>
      <c r="N403" s="1" t="s">
        <v>410</v>
      </c>
      <c r="O403" s="1" t="s">
        <v>411</v>
      </c>
      <c r="P403" s="1">
        <v>19140</v>
      </c>
      <c r="Q403" s="1" t="s">
        <v>43</v>
      </c>
      <c r="R403" s="1" t="s">
        <v>2172</v>
      </c>
      <c r="S403" s="1" t="s">
        <v>64</v>
      </c>
      <c r="T403" s="1" t="s">
        <v>733</v>
      </c>
      <c r="U403" s="1" t="s">
        <v>2173</v>
      </c>
      <c r="V403" s="3">
        <v>482.34</v>
      </c>
      <c r="W403" s="1" t="str">
        <f t="shared" si="34"/>
        <v>Slow Delivery</v>
      </c>
    </row>
    <row r="404" spans="1:23" x14ac:dyDescent="0.25">
      <c r="A404" s="1">
        <v>5605</v>
      </c>
      <c r="B404" s="2" t="s">
        <v>2174</v>
      </c>
      <c r="C404" s="2">
        <v>42707</v>
      </c>
      <c r="D404" s="2">
        <v>42711</v>
      </c>
      <c r="E404" s="1">
        <f t="shared" si="31"/>
        <v>2016</v>
      </c>
      <c r="F404" s="2" t="str">
        <f t="shared" si="32"/>
        <v>Dec</v>
      </c>
      <c r="G404" s="1">
        <f t="shared" si="33"/>
        <v>12</v>
      </c>
      <c r="H404" s="1">
        <f t="shared" si="30"/>
        <v>4</v>
      </c>
      <c r="I404" s="1" t="s">
        <v>25</v>
      </c>
      <c r="J404" s="1" t="s">
        <v>2175</v>
      </c>
      <c r="K404" s="1" t="s">
        <v>2176</v>
      </c>
      <c r="L404" s="1" t="s">
        <v>51</v>
      </c>
      <c r="M404" s="1" t="s">
        <v>29</v>
      </c>
      <c r="N404" s="1" t="s">
        <v>114</v>
      </c>
      <c r="O404" s="1" t="s">
        <v>115</v>
      </c>
      <c r="P404" s="1">
        <v>10011</v>
      </c>
      <c r="Q404" s="1" t="s">
        <v>43</v>
      </c>
      <c r="R404" s="1" t="s">
        <v>2177</v>
      </c>
      <c r="S404" s="1" t="s">
        <v>34</v>
      </c>
      <c r="T404" s="1" t="s">
        <v>109</v>
      </c>
      <c r="U404" s="1" t="s">
        <v>2178</v>
      </c>
      <c r="V404" s="3">
        <v>590.35199999999998</v>
      </c>
      <c r="W404" s="1" t="str">
        <f t="shared" si="34"/>
        <v>Slow Delivery</v>
      </c>
    </row>
    <row r="405" spans="1:23" x14ac:dyDescent="0.25">
      <c r="A405" s="1">
        <v>8713</v>
      </c>
      <c r="B405" s="2" t="s">
        <v>2179</v>
      </c>
      <c r="C405" s="2">
        <v>42707</v>
      </c>
      <c r="D405" s="2">
        <v>42711</v>
      </c>
      <c r="E405" s="1">
        <f t="shared" si="31"/>
        <v>2016</v>
      </c>
      <c r="F405" s="2" t="str">
        <f t="shared" si="32"/>
        <v>Dec</v>
      </c>
      <c r="G405" s="1">
        <f t="shared" si="33"/>
        <v>12</v>
      </c>
      <c r="H405" s="1">
        <f t="shared" si="30"/>
        <v>4</v>
      </c>
      <c r="I405" s="1" t="s">
        <v>25</v>
      </c>
      <c r="J405" s="1" t="s">
        <v>2180</v>
      </c>
      <c r="K405" s="1" t="s">
        <v>2181</v>
      </c>
      <c r="L405" s="1" t="s">
        <v>28</v>
      </c>
      <c r="M405" s="1" t="s">
        <v>29</v>
      </c>
      <c r="N405" s="1" t="s">
        <v>105</v>
      </c>
      <c r="O405" s="1" t="s">
        <v>106</v>
      </c>
      <c r="P405" s="1">
        <v>94110</v>
      </c>
      <c r="Q405" s="1" t="s">
        <v>107</v>
      </c>
      <c r="R405" s="1" t="s">
        <v>2182</v>
      </c>
      <c r="S405" s="1" t="s">
        <v>45</v>
      </c>
      <c r="T405" s="1" t="s">
        <v>413</v>
      </c>
      <c r="U405" s="1" t="s">
        <v>2183</v>
      </c>
      <c r="V405" s="3">
        <v>359.49900000000002</v>
      </c>
      <c r="W405" s="1" t="str">
        <f t="shared" si="34"/>
        <v>Slow Delivery</v>
      </c>
    </row>
    <row r="406" spans="1:23" x14ac:dyDescent="0.25">
      <c r="A406" s="1">
        <v>4356</v>
      </c>
      <c r="B406" s="2" t="s">
        <v>2184</v>
      </c>
      <c r="C406" s="2">
        <v>42708</v>
      </c>
      <c r="D406" s="2">
        <v>42711</v>
      </c>
      <c r="E406" s="1">
        <f t="shared" si="31"/>
        <v>2016</v>
      </c>
      <c r="F406" s="2" t="str">
        <f t="shared" si="32"/>
        <v>Dec</v>
      </c>
      <c r="G406" s="1">
        <f t="shared" si="33"/>
        <v>12</v>
      </c>
      <c r="H406" s="1">
        <f t="shared" si="30"/>
        <v>3</v>
      </c>
      <c r="I406" s="1" t="s">
        <v>83</v>
      </c>
      <c r="J406" s="1" t="s">
        <v>2185</v>
      </c>
      <c r="K406" s="1" t="s">
        <v>2186</v>
      </c>
      <c r="L406" s="1" t="s">
        <v>28</v>
      </c>
      <c r="M406" s="1" t="s">
        <v>29</v>
      </c>
      <c r="N406" s="1" t="s">
        <v>2187</v>
      </c>
      <c r="O406" s="1" t="s">
        <v>1028</v>
      </c>
      <c r="P406" s="1">
        <v>37042</v>
      </c>
      <c r="Q406" s="1" t="s">
        <v>54</v>
      </c>
      <c r="R406" s="1" t="s">
        <v>2188</v>
      </c>
      <c r="S406" s="1" t="s">
        <v>34</v>
      </c>
      <c r="T406" s="1" t="s">
        <v>109</v>
      </c>
      <c r="U406" s="1" t="s">
        <v>2189</v>
      </c>
      <c r="V406" s="3">
        <v>1598.058</v>
      </c>
      <c r="W406" s="1" t="str">
        <f t="shared" si="34"/>
        <v>Fast Delivery</v>
      </c>
    </row>
    <row r="407" spans="1:23" x14ac:dyDescent="0.25">
      <c r="A407" s="1">
        <v>6841</v>
      </c>
      <c r="B407" s="2" t="s">
        <v>2190</v>
      </c>
      <c r="C407" s="2">
        <v>42710</v>
      </c>
      <c r="D407" s="2">
        <v>42711</v>
      </c>
      <c r="E407" s="1">
        <f t="shared" si="31"/>
        <v>2016</v>
      </c>
      <c r="F407" s="2" t="str">
        <f t="shared" si="32"/>
        <v>Dec</v>
      </c>
      <c r="G407" s="1">
        <f t="shared" si="33"/>
        <v>12</v>
      </c>
      <c r="H407" s="1">
        <f t="shared" si="30"/>
        <v>1</v>
      </c>
      <c r="I407" s="1" t="s">
        <v>38</v>
      </c>
      <c r="J407" s="1" t="s">
        <v>2191</v>
      </c>
      <c r="K407" s="1" t="s">
        <v>2192</v>
      </c>
      <c r="L407" s="1" t="s">
        <v>131</v>
      </c>
      <c r="M407" s="1" t="s">
        <v>29</v>
      </c>
      <c r="N407" s="1" t="s">
        <v>2151</v>
      </c>
      <c r="O407" s="1" t="s">
        <v>72</v>
      </c>
      <c r="P407" s="1">
        <v>45373</v>
      </c>
      <c r="Q407" s="1" t="s">
        <v>43</v>
      </c>
      <c r="R407" s="1" t="s">
        <v>2193</v>
      </c>
      <c r="S407" s="1" t="s">
        <v>34</v>
      </c>
      <c r="T407" s="1" t="s">
        <v>109</v>
      </c>
      <c r="U407" s="1" t="s">
        <v>2194</v>
      </c>
      <c r="V407" s="3">
        <v>14.832000000000001</v>
      </c>
      <c r="W407" s="1" t="str">
        <f t="shared" si="34"/>
        <v>Fast Delivery</v>
      </c>
    </row>
    <row r="408" spans="1:23" x14ac:dyDescent="0.25">
      <c r="A408" s="1">
        <v>9665</v>
      </c>
      <c r="B408" s="2" t="s">
        <v>2195</v>
      </c>
      <c r="C408" s="2">
        <v>42711</v>
      </c>
      <c r="D408" s="2">
        <v>42711</v>
      </c>
      <c r="E408" s="1">
        <f t="shared" si="31"/>
        <v>2016</v>
      </c>
      <c r="F408" s="2" t="str">
        <f t="shared" si="32"/>
        <v>Dec</v>
      </c>
      <c r="G408" s="1">
        <f t="shared" si="33"/>
        <v>12</v>
      </c>
      <c r="H408" s="1">
        <f t="shared" si="30"/>
        <v>0</v>
      </c>
      <c r="I408" s="1" t="s">
        <v>68</v>
      </c>
      <c r="J408" s="1" t="s">
        <v>2196</v>
      </c>
      <c r="K408" s="1" t="s">
        <v>2197</v>
      </c>
      <c r="L408" s="1" t="s">
        <v>51</v>
      </c>
      <c r="M408" s="1" t="s">
        <v>29</v>
      </c>
      <c r="N408" s="1" t="s">
        <v>2198</v>
      </c>
      <c r="O408" s="1" t="s">
        <v>106</v>
      </c>
      <c r="P408" s="1">
        <v>92503</v>
      </c>
      <c r="Q408" s="1" t="s">
        <v>107</v>
      </c>
      <c r="R408" s="1" t="s">
        <v>2199</v>
      </c>
      <c r="S408" s="1" t="s">
        <v>34</v>
      </c>
      <c r="T408" s="1" t="s">
        <v>174</v>
      </c>
      <c r="U408" s="1" t="s">
        <v>2200</v>
      </c>
      <c r="V408" s="3">
        <v>12.96</v>
      </c>
      <c r="W408" s="1" t="str">
        <f t="shared" si="34"/>
        <v>Fast Delivery</v>
      </c>
    </row>
    <row r="409" spans="1:23" x14ac:dyDescent="0.25">
      <c r="A409" s="1">
        <v>2049</v>
      </c>
      <c r="B409" s="2" t="s">
        <v>2201</v>
      </c>
      <c r="C409" s="2">
        <v>42562</v>
      </c>
      <c r="D409" s="2">
        <v>42564</v>
      </c>
      <c r="E409" s="1">
        <f t="shared" si="31"/>
        <v>2016</v>
      </c>
      <c r="F409" s="2" t="str">
        <f t="shared" si="32"/>
        <v>Jul</v>
      </c>
      <c r="G409" s="1">
        <f t="shared" si="33"/>
        <v>7</v>
      </c>
      <c r="H409" s="1">
        <f t="shared" si="30"/>
        <v>2</v>
      </c>
      <c r="I409" s="1" t="s">
        <v>38</v>
      </c>
      <c r="J409" s="1" t="s">
        <v>2202</v>
      </c>
      <c r="K409" s="1" t="s">
        <v>2203</v>
      </c>
      <c r="L409" s="1" t="s">
        <v>28</v>
      </c>
      <c r="M409" s="1" t="s">
        <v>29</v>
      </c>
      <c r="N409" s="1" t="s">
        <v>410</v>
      </c>
      <c r="O409" s="1" t="s">
        <v>411</v>
      </c>
      <c r="P409" s="1">
        <v>19134</v>
      </c>
      <c r="Q409" s="1" t="s">
        <v>43</v>
      </c>
      <c r="R409" s="1" t="s">
        <v>2204</v>
      </c>
      <c r="S409" s="1" t="s">
        <v>45</v>
      </c>
      <c r="T409" s="1" t="s">
        <v>46</v>
      </c>
      <c r="U409" s="1" t="s">
        <v>2205</v>
      </c>
      <c r="V409" s="3">
        <v>289.8</v>
      </c>
      <c r="W409" s="1" t="str">
        <f t="shared" si="34"/>
        <v>Fast Delivery</v>
      </c>
    </row>
    <row r="410" spans="1:23" x14ac:dyDescent="0.25">
      <c r="A410" s="1">
        <v>3901</v>
      </c>
      <c r="B410" s="2" t="s">
        <v>2206</v>
      </c>
      <c r="C410" s="2">
        <v>42372</v>
      </c>
      <c r="D410" s="2">
        <v>42377</v>
      </c>
      <c r="E410" s="1">
        <f t="shared" si="31"/>
        <v>2016</v>
      </c>
      <c r="F410" s="2" t="str">
        <f t="shared" si="32"/>
        <v>Jan</v>
      </c>
      <c r="G410" s="1">
        <f t="shared" si="33"/>
        <v>1</v>
      </c>
      <c r="H410" s="1">
        <f t="shared" si="30"/>
        <v>5</v>
      </c>
      <c r="I410" s="1" t="s">
        <v>25</v>
      </c>
      <c r="J410" s="1" t="s">
        <v>2207</v>
      </c>
      <c r="K410" s="1" t="s">
        <v>2208</v>
      </c>
      <c r="L410" s="1" t="s">
        <v>51</v>
      </c>
      <c r="M410" s="1" t="s">
        <v>29</v>
      </c>
      <c r="N410" s="1" t="s">
        <v>2209</v>
      </c>
      <c r="O410" s="1" t="s">
        <v>31</v>
      </c>
      <c r="P410" s="1">
        <v>77520</v>
      </c>
      <c r="Q410" s="1" t="s">
        <v>32</v>
      </c>
      <c r="R410" s="1" t="s">
        <v>2210</v>
      </c>
      <c r="S410" s="1" t="s">
        <v>34</v>
      </c>
      <c r="T410" s="1" t="s">
        <v>174</v>
      </c>
      <c r="U410" s="1" t="s">
        <v>2211</v>
      </c>
      <c r="V410" s="3">
        <v>10.368</v>
      </c>
      <c r="W410" s="1" t="str">
        <f t="shared" si="34"/>
        <v>Slow Delivery</v>
      </c>
    </row>
    <row r="411" spans="1:23" x14ac:dyDescent="0.25">
      <c r="A411" s="1">
        <v>5054</v>
      </c>
      <c r="B411" s="2" t="s">
        <v>2212</v>
      </c>
      <c r="C411" s="2">
        <v>42372</v>
      </c>
      <c r="D411" s="2">
        <v>42377</v>
      </c>
      <c r="E411" s="1">
        <f t="shared" si="31"/>
        <v>2016</v>
      </c>
      <c r="F411" s="2" t="str">
        <f t="shared" si="32"/>
        <v>Jan</v>
      </c>
      <c r="G411" s="1">
        <f t="shared" si="33"/>
        <v>1</v>
      </c>
      <c r="H411" s="1">
        <f t="shared" si="30"/>
        <v>5</v>
      </c>
      <c r="I411" s="1" t="s">
        <v>83</v>
      </c>
      <c r="J411" s="1" t="s">
        <v>2213</v>
      </c>
      <c r="K411" s="1" t="s">
        <v>2214</v>
      </c>
      <c r="L411" s="1" t="s">
        <v>28</v>
      </c>
      <c r="M411" s="1" t="s">
        <v>29</v>
      </c>
      <c r="N411" s="1" t="s">
        <v>750</v>
      </c>
      <c r="O411" s="1" t="s">
        <v>31</v>
      </c>
      <c r="P411" s="1">
        <v>75217</v>
      </c>
      <c r="Q411" s="1" t="s">
        <v>32</v>
      </c>
      <c r="R411" s="1" t="s">
        <v>2215</v>
      </c>
      <c r="S411" s="1" t="s">
        <v>64</v>
      </c>
      <c r="T411" s="1" t="s">
        <v>65</v>
      </c>
      <c r="U411" s="1" t="s">
        <v>2216</v>
      </c>
      <c r="V411" s="3">
        <v>398.4</v>
      </c>
      <c r="W411" s="1" t="str">
        <f t="shared" si="34"/>
        <v>Slow Delivery</v>
      </c>
    </row>
    <row r="412" spans="1:23" x14ac:dyDescent="0.25">
      <c r="A412" s="1">
        <v>9084</v>
      </c>
      <c r="B412" s="2" t="s">
        <v>2217</v>
      </c>
      <c r="C412" s="2">
        <v>42406</v>
      </c>
      <c r="D412" s="2">
        <v>42408</v>
      </c>
      <c r="E412" s="1">
        <f t="shared" si="31"/>
        <v>2016</v>
      </c>
      <c r="F412" s="2" t="str">
        <f t="shared" si="32"/>
        <v>Feb</v>
      </c>
      <c r="G412" s="1">
        <f t="shared" si="33"/>
        <v>2</v>
      </c>
      <c r="H412" s="1">
        <f t="shared" si="30"/>
        <v>2</v>
      </c>
      <c r="I412" s="1" t="s">
        <v>38</v>
      </c>
      <c r="J412" s="1" t="s">
        <v>2218</v>
      </c>
      <c r="K412" s="1" t="s">
        <v>2219</v>
      </c>
      <c r="L412" s="1" t="s">
        <v>51</v>
      </c>
      <c r="M412" s="1" t="s">
        <v>29</v>
      </c>
      <c r="N412" s="1" t="s">
        <v>2220</v>
      </c>
      <c r="O412" s="1" t="s">
        <v>53</v>
      </c>
      <c r="P412" s="1">
        <v>23434</v>
      </c>
      <c r="Q412" s="1" t="s">
        <v>54</v>
      </c>
      <c r="R412" s="1" t="s">
        <v>2221</v>
      </c>
      <c r="S412" s="1" t="s">
        <v>34</v>
      </c>
      <c r="T412" s="1" t="s">
        <v>270</v>
      </c>
      <c r="U412" s="1" t="s">
        <v>2222</v>
      </c>
      <c r="V412" s="3">
        <v>146.72999999999999</v>
      </c>
      <c r="W412" s="1" t="str">
        <f t="shared" si="34"/>
        <v>Fast Delivery</v>
      </c>
    </row>
    <row r="413" spans="1:23" x14ac:dyDescent="0.25">
      <c r="A413" s="1">
        <v>3778</v>
      </c>
      <c r="B413" s="2" t="s">
        <v>2223</v>
      </c>
      <c r="C413" s="2">
        <v>42493</v>
      </c>
      <c r="D413" s="2">
        <v>42498</v>
      </c>
      <c r="E413" s="1">
        <f t="shared" si="31"/>
        <v>2016</v>
      </c>
      <c r="F413" s="2" t="str">
        <f t="shared" si="32"/>
        <v>May</v>
      </c>
      <c r="G413" s="1">
        <f t="shared" si="33"/>
        <v>5</v>
      </c>
      <c r="H413" s="1">
        <f t="shared" si="30"/>
        <v>5</v>
      </c>
      <c r="I413" s="1" t="s">
        <v>25</v>
      </c>
      <c r="J413" s="1" t="s">
        <v>2224</v>
      </c>
      <c r="K413" s="1" t="s">
        <v>2225</v>
      </c>
      <c r="L413" s="1" t="s">
        <v>131</v>
      </c>
      <c r="M413" s="1" t="s">
        <v>29</v>
      </c>
      <c r="N413" s="1" t="s">
        <v>2226</v>
      </c>
      <c r="O413" s="1" t="s">
        <v>106</v>
      </c>
      <c r="P413" s="1">
        <v>91911</v>
      </c>
      <c r="Q413" s="1" t="s">
        <v>107</v>
      </c>
      <c r="R413" s="1" t="s">
        <v>2227</v>
      </c>
      <c r="S413" s="1" t="s">
        <v>45</v>
      </c>
      <c r="T413" s="1" t="s">
        <v>46</v>
      </c>
      <c r="U413" s="1" t="s">
        <v>2228</v>
      </c>
      <c r="V413" s="3">
        <v>665.88</v>
      </c>
      <c r="W413" s="1" t="str">
        <f t="shared" si="34"/>
        <v>Slow Delivery</v>
      </c>
    </row>
    <row r="414" spans="1:23" x14ac:dyDescent="0.25">
      <c r="A414" s="1">
        <v>9565</v>
      </c>
      <c r="B414" s="2" t="s">
        <v>2229</v>
      </c>
      <c r="C414" s="2">
        <v>42522</v>
      </c>
      <c r="D414" s="2">
        <v>42529</v>
      </c>
      <c r="E414" s="1">
        <f t="shared" si="31"/>
        <v>2016</v>
      </c>
      <c r="F414" s="2" t="str">
        <f t="shared" si="32"/>
        <v>Jun</v>
      </c>
      <c r="G414" s="1">
        <f t="shared" si="33"/>
        <v>6</v>
      </c>
      <c r="H414" s="1">
        <f t="shared" si="30"/>
        <v>7</v>
      </c>
      <c r="I414" s="1" t="s">
        <v>25</v>
      </c>
      <c r="J414" s="1" t="s">
        <v>2230</v>
      </c>
      <c r="K414" s="1" t="s">
        <v>2231</v>
      </c>
      <c r="L414" s="1" t="s">
        <v>131</v>
      </c>
      <c r="M414" s="1" t="s">
        <v>29</v>
      </c>
      <c r="N414" s="1" t="s">
        <v>132</v>
      </c>
      <c r="O414" s="1" t="s">
        <v>106</v>
      </c>
      <c r="P414" s="1">
        <v>90045</v>
      </c>
      <c r="Q414" s="1" t="s">
        <v>107</v>
      </c>
      <c r="R414" s="1" t="s">
        <v>364</v>
      </c>
      <c r="S414" s="1" t="s">
        <v>34</v>
      </c>
      <c r="T414" s="1" t="s">
        <v>174</v>
      </c>
      <c r="U414" s="1" t="s">
        <v>365</v>
      </c>
      <c r="V414" s="3">
        <v>11.76</v>
      </c>
      <c r="W414" s="1" t="str">
        <f t="shared" si="34"/>
        <v>Slow Delivery</v>
      </c>
    </row>
    <row r="415" spans="1:23" x14ac:dyDescent="0.25">
      <c r="A415" s="1">
        <v>1287</v>
      </c>
      <c r="B415" s="2" t="s">
        <v>2232</v>
      </c>
      <c r="C415" s="2">
        <v>42555</v>
      </c>
      <c r="D415" s="2">
        <v>42559</v>
      </c>
      <c r="E415" s="1">
        <f t="shared" si="31"/>
        <v>2016</v>
      </c>
      <c r="F415" s="2" t="str">
        <f t="shared" si="32"/>
        <v>Jul</v>
      </c>
      <c r="G415" s="1">
        <f t="shared" si="33"/>
        <v>7</v>
      </c>
      <c r="H415" s="1">
        <f t="shared" si="30"/>
        <v>4</v>
      </c>
      <c r="I415" s="1" t="s">
        <v>25</v>
      </c>
      <c r="J415" s="1" t="s">
        <v>2233</v>
      </c>
      <c r="K415" s="1" t="s">
        <v>2234</v>
      </c>
      <c r="L415" s="1" t="s">
        <v>131</v>
      </c>
      <c r="M415" s="1" t="s">
        <v>29</v>
      </c>
      <c r="N415" s="1" t="s">
        <v>114</v>
      </c>
      <c r="O415" s="1" t="s">
        <v>115</v>
      </c>
      <c r="P415" s="1">
        <v>10035</v>
      </c>
      <c r="Q415" s="1" t="s">
        <v>43</v>
      </c>
      <c r="R415" s="1" t="s">
        <v>2235</v>
      </c>
      <c r="S415" s="1" t="s">
        <v>34</v>
      </c>
      <c r="T415" s="1" t="s">
        <v>35</v>
      </c>
      <c r="U415" s="1" t="s">
        <v>2236</v>
      </c>
      <c r="V415" s="3">
        <v>15.48</v>
      </c>
      <c r="W415" s="1" t="str">
        <f t="shared" si="34"/>
        <v>Slow Delivery</v>
      </c>
    </row>
    <row r="416" spans="1:23" x14ac:dyDescent="0.25">
      <c r="A416" s="1">
        <v>7919</v>
      </c>
      <c r="B416" s="2" t="s">
        <v>2237</v>
      </c>
      <c r="C416" s="2">
        <v>42555</v>
      </c>
      <c r="D416" s="2">
        <v>42559</v>
      </c>
      <c r="E416" s="1">
        <f t="shared" si="31"/>
        <v>2016</v>
      </c>
      <c r="F416" s="2" t="str">
        <f t="shared" si="32"/>
        <v>Jul</v>
      </c>
      <c r="G416" s="1">
        <f t="shared" si="33"/>
        <v>7</v>
      </c>
      <c r="H416" s="1">
        <f t="shared" si="30"/>
        <v>4</v>
      </c>
      <c r="I416" s="1" t="s">
        <v>83</v>
      </c>
      <c r="J416" s="1" t="s">
        <v>2238</v>
      </c>
      <c r="K416" s="1" t="s">
        <v>2239</v>
      </c>
      <c r="L416" s="1" t="s">
        <v>131</v>
      </c>
      <c r="M416" s="1" t="s">
        <v>29</v>
      </c>
      <c r="N416" s="1" t="s">
        <v>478</v>
      </c>
      <c r="O416" s="1" t="s">
        <v>106</v>
      </c>
      <c r="P416" s="1">
        <v>92024</v>
      </c>
      <c r="Q416" s="1" t="s">
        <v>107</v>
      </c>
      <c r="R416" s="1" t="s">
        <v>2240</v>
      </c>
      <c r="S416" s="1" t="s">
        <v>34</v>
      </c>
      <c r="T416" s="1" t="s">
        <v>109</v>
      </c>
      <c r="U416" s="1" t="s">
        <v>2241</v>
      </c>
      <c r="V416" s="3">
        <v>22.847999999999999</v>
      </c>
      <c r="W416" s="1" t="str">
        <f t="shared" si="34"/>
        <v>Slow Delivery</v>
      </c>
    </row>
    <row r="417" spans="1:23" x14ac:dyDescent="0.25">
      <c r="A417" s="1">
        <v>4192</v>
      </c>
      <c r="B417" s="2" t="s">
        <v>2242</v>
      </c>
      <c r="C417" s="2">
        <v>42559</v>
      </c>
      <c r="D417" s="2">
        <v>42559</v>
      </c>
      <c r="E417" s="1">
        <f t="shared" si="31"/>
        <v>2016</v>
      </c>
      <c r="F417" s="2" t="str">
        <f t="shared" si="32"/>
        <v>Jul</v>
      </c>
      <c r="G417" s="1">
        <f t="shared" si="33"/>
        <v>7</v>
      </c>
      <c r="H417" s="1">
        <f t="shared" si="30"/>
        <v>0</v>
      </c>
      <c r="I417" s="1" t="s">
        <v>68</v>
      </c>
      <c r="J417" s="1" t="s">
        <v>2243</v>
      </c>
      <c r="K417" s="1" t="s">
        <v>2244</v>
      </c>
      <c r="L417" s="1" t="s">
        <v>28</v>
      </c>
      <c r="M417" s="1" t="s">
        <v>29</v>
      </c>
      <c r="N417" s="1" t="s">
        <v>150</v>
      </c>
      <c r="O417" s="1" t="s">
        <v>31</v>
      </c>
      <c r="P417" s="1">
        <v>77070</v>
      </c>
      <c r="Q417" s="1" t="s">
        <v>32</v>
      </c>
      <c r="R417" s="1" t="s">
        <v>909</v>
      </c>
      <c r="S417" s="1" t="s">
        <v>34</v>
      </c>
      <c r="T417" s="1" t="s">
        <v>174</v>
      </c>
      <c r="U417" s="1" t="s">
        <v>910</v>
      </c>
      <c r="V417" s="3">
        <v>21.12</v>
      </c>
      <c r="W417" s="1" t="str">
        <f t="shared" si="34"/>
        <v>Fast Delivery</v>
      </c>
    </row>
    <row r="418" spans="1:23" x14ac:dyDescent="0.25">
      <c r="A418" s="1">
        <v>5155</v>
      </c>
      <c r="B418" s="2" t="s">
        <v>2245</v>
      </c>
      <c r="C418" s="2">
        <v>42589</v>
      </c>
      <c r="D418" s="2">
        <v>42590</v>
      </c>
      <c r="E418" s="1">
        <f t="shared" si="31"/>
        <v>2016</v>
      </c>
      <c r="F418" s="2" t="str">
        <f t="shared" si="32"/>
        <v>Aug</v>
      </c>
      <c r="G418" s="1">
        <f t="shared" si="33"/>
        <v>8</v>
      </c>
      <c r="H418" s="1">
        <f t="shared" si="30"/>
        <v>1</v>
      </c>
      <c r="I418" s="1" t="s">
        <v>38</v>
      </c>
      <c r="J418" s="1" t="s">
        <v>2246</v>
      </c>
      <c r="K418" s="1" t="s">
        <v>2247</v>
      </c>
      <c r="L418" s="1" t="s">
        <v>28</v>
      </c>
      <c r="M418" s="1" t="s">
        <v>29</v>
      </c>
      <c r="N418" s="1" t="s">
        <v>2248</v>
      </c>
      <c r="O418" s="1" t="s">
        <v>87</v>
      </c>
      <c r="P418" s="1">
        <v>63122</v>
      </c>
      <c r="Q418" s="1" t="s">
        <v>32</v>
      </c>
      <c r="R418" s="1" t="s">
        <v>2249</v>
      </c>
      <c r="S418" s="1" t="s">
        <v>34</v>
      </c>
      <c r="T418" s="1" t="s">
        <v>109</v>
      </c>
      <c r="U418" s="1" t="s">
        <v>2250</v>
      </c>
      <c r="V418" s="3">
        <v>28.4</v>
      </c>
      <c r="W418" s="1" t="str">
        <f t="shared" si="34"/>
        <v>Fast Delivery</v>
      </c>
    </row>
    <row r="419" spans="1:23" x14ac:dyDescent="0.25">
      <c r="A419" s="1">
        <v>2816</v>
      </c>
      <c r="B419" s="2" t="s">
        <v>2251</v>
      </c>
      <c r="C419" s="2">
        <v>42614</v>
      </c>
      <c r="D419" s="2">
        <v>42621</v>
      </c>
      <c r="E419" s="1">
        <f t="shared" si="31"/>
        <v>2016</v>
      </c>
      <c r="F419" s="2" t="str">
        <f t="shared" si="32"/>
        <v>Sep</v>
      </c>
      <c r="G419" s="1">
        <f t="shared" si="33"/>
        <v>9</v>
      </c>
      <c r="H419" s="1">
        <f t="shared" si="30"/>
        <v>7</v>
      </c>
      <c r="I419" s="1" t="s">
        <v>25</v>
      </c>
      <c r="J419" s="1" t="s">
        <v>2252</v>
      </c>
      <c r="K419" s="1" t="s">
        <v>2253</v>
      </c>
      <c r="L419" s="1" t="s">
        <v>131</v>
      </c>
      <c r="M419" s="1" t="s">
        <v>29</v>
      </c>
      <c r="N419" s="1" t="s">
        <v>2254</v>
      </c>
      <c r="O419" s="1" t="s">
        <v>157</v>
      </c>
      <c r="P419" s="1">
        <v>2038</v>
      </c>
      <c r="Q419" s="1" t="s">
        <v>43</v>
      </c>
      <c r="R419" s="1" t="s">
        <v>2255</v>
      </c>
      <c r="S419" s="1" t="s">
        <v>34</v>
      </c>
      <c r="T419" s="1" t="s">
        <v>109</v>
      </c>
      <c r="U419" s="1" t="s">
        <v>2256</v>
      </c>
      <c r="V419" s="3">
        <v>114.6</v>
      </c>
      <c r="W419" s="1" t="str">
        <f t="shared" si="34"/>
        <v>Slow Delivery</v>
      </c>
    </row>
    <row r="420" spans="1:23" x14ac:dyDescent="0.25">
      <c r="A420" s="1">
        <v>84</v>
      </c>
      <c r="B420" s="2" t="s">
        <v>2257</v>
      </c>
      <c r="C420" s="2">
        <v>42616</v>
      </c>
      <c r="D420" s="2">
        <v>42621</v>
      </c>
      <c r="E420" s="1">
        <f t="shared" si="31"/>
        <v>2016</v>
      </c>
      <c r="F420" s="2" t="str">
        <f t="shared" si="32"/>
        <v>Sep</v>
      </c>
      <c r="G420" s="1">
        <f t="shared" si="33"/>
        <v>9</v>
      </c>
      <c r="H420" s="1">
        <f t="shared" si="30"/>
        <v>5</v>
      </c>
      <c r="I420" s="1" t="s">
        <v>25</v>
      </c>
      <c r="J420" s="1" t="s">
        <v>2258</v>
      </c>
      <c r="K420" s="1" t="s">
        <v>2259</v>
      </c>
      <c r="L420" s="1" t="s">
        <v>51</v>
      </c>
      <c r="M420" s="1" t="s">
        <v>29</v>
      </c>
      <c r="N420" s="1" t="s">
        <v>1162</v>
      </c>
      <c r="O420" s="1" t="s">
        <v>320</v>
      </c>
      <c r="P420" s="1">
        <v>27707</v>
      </c>
      <c r="Q420" s="1" t="s">
        <v>54</v>
      </c>
      <c r="R420" s="1" t="s">
        <v>2260</v>
      </c>
      <c r="S420" s="1" t="s">
        <v>34</v>
      </c>
      <c r="T420" s="1" t="s">
        <v>426</v>
      </c>
      <c r="U420" s="1" t="s">
        <v>2261</v>
      </c>
      <c r="V420" s="3">
        <v>200.98400000000001</v>
      </c>
      <c r="W420" s="1" t="str">
        <f t="shared" si="34"/>
        <v>Slow Delivery</v>
      </c>
    </row>
    <row r="421" spans="1:23" x14ac:dyDescent="0.25">
      <c r="A421" s="1">
        <v>1118</v>
      </c>
      <c r="B421" s="2" t="s">
        <v>2262</v>
      </c>
      <c r="C421" s="2">
        <v>42617</v>
      </c>
      <c r="D421" s="2">
        <v>42621</v>
      </c>
      <c r="E421" s="1">
        <f t="shared" si="31"/>
        <v>2016</v>
      </c>
      <c r="F421" s="2" t="str">
        <f t="shared" si="32"/>
        <v>Sep</v>
      </c>
      <c r="G421" s="1">
        <f t="shared" si="33"/>
        <v>9</v>
      </c>
      <c r="H421" s="1">
        <f t="shared" si="30"/>
        <v>4</v>
      </c>
      <c r="I421" s="1" t="s">
        <v>25</v>
      </c>
      <c r="J421" s="1" t="s">
        <v>2263</v>
      </c>
      <c r="K421" s="1" t="s">
        <v>2264</v>
      </c>
      <c r="L421" s="1" t="s">
        <v>28</v>
      </c>
      <c r="M421" s="1" t="s">
        <v>29</v>
      </c>
      <c r="N421" s="1" t="s">
        <v>61</v>
      </c>
      <c r="O421" s="1" t="s">
        <v>62</v>
      </c>
      <c r="P421" s="1">
        <v>30076</v>
      </c>
      <c r="Q421" s="1" t="s">
        <v>54</v>
      </c>
      <c r="R421" s="1" t="s">
        <v>831</v>
      </c>
      <c r="S421" s="1" t="s">
        <v>34</v>
      </c>
      <c r="T421" s="1" t="s">
        <v>174</v>
      </c>
      <c r="U421" s="1" t="s">
        <v>2265</v>
      </c>
      <c r="V421" s="3">
        <v>279.89999999999998</v>
      </c>
      <c r="W421" s="1" t="str">
        <f t="shared" si="34"/>
        <v>Slow Delivery</v>
      </c>
    </row>
    <row r="422" spans="1:23" x14ac:dyDescent="0.25">
      <c r="A422" s="1">
        <v>6257</v>
      </c>
      <c r="B422" s="2" t="s">
        <v>2266</v>
      </c>
      <c r="C422" s="2">
        <v>42619</v>
      </c>
      <c r="D422" s="2">
        <v>42621</v>
      </c>
      <c r="E422" s="1">
        <f t="shared" si="31"/>
        <v>2016</v>
      </c>
      <c r="F422" s="2" t="str">
        <f t="shared" si="32"/>
        <v>Sep</v>
      </c>
      <c r="G422" s="1">
        <f t="shared" si="33"/>
        <v>9</v>
      </c>
      <c r="H422" s="1">
        <f t="shared" si="30"/>
        <v>2</v>
      </c>
      <c r="I422" s="1" t="s">
        <v>83</v>
      </c>
      <c r="J422" s="1" t="s">
        <v>2267</v>
      </c>
      <c r="K422" s="1" t="s">
        <v>2268</v>
      </c>
      <c r="L422" s="1" t="s">
        <v>131</v>
      </c>
      <c r="M422" s="1" t="s">
        <v>29</v>
      </c>
      <c r="N422" s="1" t="s">
        <v>2269</v>
      </c>
      <c r="O422" s="1" t="s">
        <v>190</v>
      </c>
      <c r="P422" s="1">
        <v>33319</v>
      </c>
      <c r="Q422" s="1" t="s">
        <v>54</v>
      </c>
      <c r="R422" s="1" t="s">
        <v>2270</v>
      </c>
      <c r="S422" s="1" t="s">
        <v>34</v>
      </c>
      <c r="T422" s="1" t="s">
        <v>109</v>
      </c>
      <c r="U422" s="1" t="s">
        <v>2271</v>
      </c>
      <c r="V422" s="3">
        <v>3.444</v>
      </c>
      <c r="W422" s="1" t="str">
        <f t="shared" si="34"/>
        <v>Fast Delivery</v>
      </c>
    </row>
    <row r="423" spans="1:23" x14ac:dyDescent="0.25">
      <c r="A423" s="1">
        <v>3220</v>
      </c>
      <c r="B423" s="2" t="s">
        <v>2272</v>
      </c>
      <c r="C423" s="2">
        <v>42645</v>
      </c>
      <c r="D423" s="2">
        <v>42651</v>
      </c>
      <c r="E423" s="1">
        <f t="shared" si="31"/>
        <v>2016</v>
      </c>
      <c r="F423" s="2" t="str">
        <f t="shared" si="32"/>
        <v>Oct</v>
      </c>
      <c r="G423" s="1">
        <f t="shared" si="33"/>
        <v>10</v>
      </c>
      <c r="H423" s="1">
        <f t="shared" si="30"/>
        <v>6</v>
      </c>
      <c r="I423" s="1" t="s">
        <v>25</v>
      </c>
      <c r="J423" s="1" t="s">
        <v>2273</v>
      </c>
      <c r="K423" s="1" t="s">
        <v>2274</v>
      </c>
      <c r="L423" s="1" t="s">
        <v>51</v>
      </c>
      <c r="M423" s="1" t="s">
        <v>29</v>
      </c>
      <c r="N423" s="1" t="s">
        <v>521</v>
      </c>
      <c r="O423" s="1" t="s">
        <v>388</v>
      </c>
      <c r="P423" s="1">
        <v>8701</v>
      </c>
      <c r="Q423" s="1" t="s">
        <v>43</v>
      </c>
      <c r="R423" s="1" t="s">
        <v>2275</v>
      </c>
      <c r="S423" s="1" t="s">
        <v>34</v>
      </c>
      <c r="T423" s="1" t="s">
        <v>174</v>
      </c>
      <c r="U423" s="1" t="s">
        <v>2276</v>
      </c>
      <c r="V423" s="3">
        <v>94.85</v>
      </c>
      <c r="W423" s="1" t="str">
        <f t="shared" si="34"/>
        <v>Slow Delivery</v>
      </c>
    </row>
    <row r="424" spans="1:23" x14ac:dyDescent="0.25">
      <c r="A424" s="1">
        <v>9076</v>
      </c>
      <c r="B424" s="2" t="s">
        <v>2277</v>
      </c>
      <c r="C424" s="2">
        <v>42679</v>
      </c>
      <c r="D424" s="2">
        <v>42682</v>
      </c>
      <c r="E424" s="1">
        <f t="shared" si="31"/>
        <v>2016</v>
      </c>
      <c r="F424" s="2" t="str">
        <f t="shared" si="32"/>
        <v>Nov</v>
      </c>
      <c r="G424" s="1">
        <f t="shared" si="33"/>
        <v>11</v>
      </c>
      <c r="H424" s="1">
        <f t="shared" si="30"/>
        <v>3</v>
      </c>
      <c r="I424" s="1" t="s">
        <v>38</v>
      </c>
      <c r="J424" s="1" t="s">
        <v>2278</v>
      </c>
      <c r="K424" s="1" t="s">
        <v>2279</v>
      </c>
      <c r="L424" s="1" t="s">
        <v>28</v>
      </c>
      <c r="M424" s="1" t="s">
        <v>29</v>
      </c>
      <c r="N424" s="1" t="s">
        <v>521</v>
      </c>
      <c r="O424" s="1" t="s">
        <v>72</v>
      </c>
      <c r="P424" s="1">
        <v>44107</v>
      </c>
      <c r="Q424" s="1" t="s">
        <v>43</v>
      </c>
      <c r="R424" s="1" t="s">
        <v>2280</v>
      </c>
      <c r="S424" s="1" t="s">
        <v>34</v>
      </c>
      <c r="T424" s="1" t="s">
        <v>109</v>
      </c>
      <c r="U424" s="1" t="s">
        <v>2281</v>
      </c>
      <c r="V424" s="3">
        <v>7.218</v>
      </c>
      <c r="W424" s="1" t="str">
        <f t="shared" si="34"/>
        <v>Fast Delivery</v>
      </c>
    </row>
    <row r="425" spans="1:23" x14ac:dyDescent="0.25">
      <c r="A425" s="1">
        <v>3613</v>
      </c>
      <c r="B425" s="2" t="s">
        <v>2282</v>
      </c>
      <c r="C425" s="2">
        <v>42707</v>
      </c>
      <c r="D425" s="2">
        <v>42712</v>
      </c>
      <c r="E425" s="1">
        <f t="shared" si="31"/>
        <v>2016</v>
      </c>
      <c r="F425" s="2" t="str">
        <f t="shared" si="32"/>
        <v>Dec</v>
      </c>
      <c r="G425" s="1">
        <f t="shared" si="33"/>
        <v>12</v>
      </c>
      <c r="H425" s="1">
        <f t="shared" si="30"/>
        <v>5</v>
      </c>
      <c r="I425" s="1" t="s">
        <v>25</v>
      </c>
      <c r="J425" s="1" t="s">
        <v>2283</v>
      </c>
      <c r="K425" s="1" t="s">
        <v>2284</v>
      </c>
      <c r="L425" s="1" t="s">
        <v>131</v>
      </c>
      <c r="M425" s="1" t="s">
        <v>29</v>
      </c>
      <c r="N425" s="1" t="s">
        <v>410</v>
      </c>
      <c r="O425" s="1" t="s">
        <v>411</v>
      </c>
      <c r="P425" s="1">
        <v>19134</v>
      </c>
      <c r="Q425" s="1" t="s">
        <v>43</v>
      </c>
      <c r="R425" s="1" t="s">
        <v>643</v>
      </c>
      <c r="S425" s="1" t="s">
        <v>34</v>
      </c>
      <c r="T425" s="1" t="s">
        <v>174</v>
      </c>
      <c r="U425" s="1" t="s">
        <v>644</v>
      </c>
      <c r="V425" s="3">
        <v>16.448</v>
      </c>
      <c r="W425" s="1" t="str">
        <f t="shared" si="34"/>
        <v>Slow Delivery</v>
      </c>
    </row>
    <row r="426" spans="1:23" x14ac:dyDescent="0.25">
      <c r="A426" s="1">
        <v>2749</v>
      </c>
      <c r="B426" s="2" t="s">
        <v>2285</v>
      </c>
      <c r="C426" s="2">
        <v>42708</v>
      </c>
      <c r="D426" s="2">
        <v>42712</v>
      </c>
      <c r="E426" s="1">
        <f t="shared" si="31"/>
        <v>2016</v>
      </c>
      <c r="F426" s="2" t="str">
        <f t="shared" si="32"/>
        <v>Dec</v>
      </c>
      <c r="G426" s="1">
        <f t="shared" si="33"/>
        <v>12</v>
      </c>
      <c r="H426" s="1">
        <f t="shared" si="30"/>
        <v>4</v>
      </c>
      <c r="I426" s="1" t="s">
        <v>25</v>
      </c>
      <c r="J426" s="1" t="s">
        <v>2286</v>
      </c>
      <c r="K426" s="1" t="s">
        <v>2287</v>
      </c>
      <c r="L426" s="1" t="s">
        <v>28</v>
      </c>
      <c r="M426" s="1" t="s">
        <v>29</v>
      </c>
      <c r="N426" s="1" t="s">
        <v>2288</v>
      </c>
      <c r="O426" s="1" t="s">
        <v>190</v>
      </c>
      <c r="P426" s="1">
        <v>32303</v>
      </c>
      <c r="Q426" s="1" t="s">
        <v>54</v>
      </c>
      <c r="R426" s="1" t="s">
        <v>2289</v>
      </c>
      <c r="S426" s="1" t="s">
        <v>34</v>
      </c>
      <c r="T426" s="1" t="s">
        <v>109</v>
      </c>
      <c r="U426" s="1" t="s">
        <v>2290</v>
      </c>
      <c r="V426" s="3">
        <v>8.2260000000000009</v>
      </c>
      <c r="W426" s="1" t="str">
        <f t="shared" si="34"/>
        <v>Slow Delivery</v>
      </c>
    </row>
    <row r="427" spans="1:23" x14ac:dyDescent="0.25">
      <c r="A427" s="1">
        <v>7311</v>
      </c>
      <c r="B427" s="2" t="s">
        <v>2291</v>
      </c>
      <c r="C427" s="2">
        <v>42592</v>
      </c>
      <c r="D427" s="2">
        <v>42596</v>
      </c>
      <c r="E427" s="1">
        <f t="shared" si="31"/>
        <v>2016</v>
      </c>
      <c r="F427" s="2" t="str">
        <f t="shared" si="32"/>
        <v>Aug</v>
      </c>
      <c r="G427" s="1">
        <f t="shared" si="33"/>
        <v>8</v>
      </c>
      <c r="H427" s="1">
        <f t="shared" si="30"/>
        <v>4</v>
      </c>
      <c r="I427" s="1" t="s">
        <v>25</v>
      </c>
      <c r="J427" s="1" t="s">
        <v>2292</v>
      </c>
      <c r="K427" s="1" t="s">
        <v>2293</v>
      </c>
      <c r="L427" s="1" t="s">
        <v>28</v>
      </c>
      <c r="M427" s="1" t="s">
        <v>29</v>
      </c>
      <c r="N427" s="1" t="s">
        <v>534</v>
      </c>
      <c r="O427" s="1" t="s">
        <v>172</v>
      </c>
      <c r="P427" s="1">
        <v>48227</v>
      </c>
      <c r="Q427" s="1" t="s">
        <v>32</v>
      </c>
      <c r="R427" s="1" t="s">
        <v>2294</v>
      </c>
      <c r="S427" s="1" t="s">
        <v>34</v>
      </c>
      <c r="T427" s="1" t="s">
        <v>109</v>
      </c>
      <c r="U427" s="1" t="s">
        <v>2295</v>
      </c>
      <c r="V427" s="3">
        <v>64.75</v>
      </c>
      <c r="W427" s="1" t="str">
        <f t="shared" si="34"/>
        <v>Slow Delivery</v>
      </c>
    </row>
    <row r="428" spans="1:23" x14ac:dyDescent="0.25">
      <c r="A428" s="1">
        <v>7124</v>
      </c>
      <c r="B428" s="2" t="s">
        <v>2296</v>
      </c>
      <c r="C428" s="2">
        <v>42591</v>
      </c>
      <c r="D428" s="2">
        <v>42598</v>
      </c>
      <c r="E428" s="1">
        <f t="shared" si="31"/>
        <v>2016</v>
      </c>
      <c r="F428" s="2" t="str">
        <f t="shared" si="32"/>
        <v>Aug</v>
      </c>
      <c r="G428" s="1">
        <f t="shared" si="33"/>
        <v>8</v>
      </c>
      <c r="H428" s="1">
        <f t="shared" si="30"/>
        <v>7</v>
      </c>
      <c r="I428" s="1" t="s">
        <v>25</v>
      </c>
      <c r="J428" s="1" t="s">
        <v>2297</v>
      </c>
      <c r="K428" s="1" t="s">
        <v>2298</v>
      </c>
      <c r="L428" s="1" t="s">
        <v>51</v>
      </c>
      <c r="M428" s="1" t="s">
        <v>29</v>
      </c>
      <c r="N428" s="1" t="s">
        <v>114</v>
      </c>
      <c r="O428" s="1" t="s">
        <v>115</v>
      </c>
      <c r="P428" s="1">
        <v>10035</v>
      </c>
      <c r="Q428" s="1" t="s">
        <v>43</v>
      </c>
      <c r="R428" s="1" t="s">
        <v>1408</v>
      </c>
      <c r="S428" s="1" t="s">
        <v>45</v>
      </c>
      <c r="T428" s="1" t="s">
        <v>46</v>
      </c>
      <c r="U428" s="1" t="s">
        <v>1409</v>
      </c>
      <c r="V428" s="3">
        <v>10.02</v>
      </c>
      <c r="W428" s="1" t="str">
        <f t="shared" si="34"/>
        <v>Slow Delivery</v>
      </c>
    </row>
    <row r="429" spans="1:23" x14ac:dyDescent="0.25">
      <c r="A429" s="1">
        <v>5758</v>
      </c>
      <c r="B429" s="2" t="s">
        <v>2299</v>
      </c>
      <c r="C429" s="2">
        <v>42593</v>
      </c>
      <c r="D429" s="2">
        <v>42598</v>
      </c>
      <c r="E429" s="1">
        <f t="shared" si="31"/>
        <v>2016</v>
      </c>
      <c r="F429" s="2" t="str">
        <f t="shared" si="32"/>
        <v>Aug</v>
      </c>
      <c r="G429" s="1">
        <f t="shared" si="33"/>
        <v>8</v>
      </c>
      <c r="H429" s="1">
        <f t="shared" si="30"/>
        <v>5</v>
      </c>
      <c r="I429" s="1" t="s">
        <v>25</v>
      </c>
      <c r="J429" s="1" t="s">
        <v>2300</v>
      </c>
      <c r="K429" s="1" t="s">
        <v>2301</v>
      </c>
      <c r="L429" s="1" t="s">
        <v>28</v>
      </c>
      <c r="M429" s="1" t="s">
        <v>29</v>
      </c>
      <c r="N429" s="1" t="s">
        <v>1875</v>
      </c>
      <c r="O429" s="1" t="s">
        <v>320</v>
      </c>
      <c r="P429" s="1">
        <v>27604</v>
      </c>
      <c r="Q429" s="1" t="s">
        <v>54</v>
      </c>
      <c r="R429" s="1" t="s">
        <v>1776</v>
      </c>
      <c r="S429" s="1" t="s">
        <v>45</v>
      </c>
      <c r="T429" s="1" t="s">
        <v>46</v>
      </c>
      <c r="U429" s="1" t="s">
        <v>2302</v>
      </c>
      <c r="V429" s="3">
        <v>46.152000000000001</v>
      </c>
      <c r="W429" s="1" t="str">
        <f t="shared" si="34"/>
        <v>Slow Delivery</v>
      </c>
    </row>
    <row r="430" spans="1:23" x14ac:dyDescent="0.25">
      <c r="A430" s="1">
        <v>5647</v>
      </c>
      <c r="B430" s="2" t="s">
        <v>2303</v>
      </c>
      <c r="C430" s="2">
        <v>42373</v>
      </c>
      <c r="D430" s="2">
        <v>42378</v>
      </c>
      <c r="E430" s="1">
        <f t="shared" si="31"/>
        <v>2016</v>
      </c>
      <c r="F430" s="2" t="str">
        <f t="shared" si="32"/>
        <v>Jan</v>
      </c>
      <c r="G430" s="1">
        <f t="shared" si="33"/>
        <v>1</v>
      </c>
      <c r="H430" s="1">
        <f t="shared" si="30"/>
        <v>5</v>
      </c>
      <c r="I430" s="1" t="s">
        <v>25</v>
      </c>
      <c r="J430" s="1" t="s">
        <v>2304</v>
      </c>
      <c r="K430" s="1" t="s">
        <v>2305</v>
      </c>
      <c r="L430" s="1" t="s">
        <v>51</v>
      </c>
      <c r="M430" s="1" t="s">
        <v>29</v>
      </c>
      <c r="N430" s="1" t="s">
        <v>1128</v>
      </c>
      <c r="O430" s="1" t="s">
        <v>53</v>
      </c>
      <c r="P430" s="1">
        <v>22304</v>
      </c>
      <c r="Q430" s="1" t="s">
        <v>54</v>
      </c>
      <c r="R430" s="1" t="s">
        <v>198</v>
      </c>
      <c r="S430" s="1" t="s">
        <v>45</v>
      </c>
      <c r="T430" s="1" t="s">
        <v>46</v>
      </c>
      <c r="U430" s="1" t="s">
        <v>199</v>
      </c>
      <c r="V430" s="3">
        <v>192.22</v>
      </c>
      <c r="W430" s="1" t="str">
        <f t="shared" si="34"/>
        <v>Slow Delivery</v>
      </c>
    </row>
    <row r="431" spans="1:23" x14ac:dyDescent="0.25">
      <c r="A431" s="1">
        <v>2284</v>
      </c>
      <c r="B431" s="2" t="s">
        <v>2306</v>
      </c>
      <c r="C431" s="2">
        <v>42434</v>
      </c>
      <c r="D431" s="2">
        <v>42438</v>
      </c>
      <c r="E431" s="1">
        <f t="shared" si="31"/>
        <v>2016</v>
      </c>
      <c r="F431" s="2" t="str">
        <f t="shared" si="32"/>
        <v>Mar</v>
      </c>
      <c r="G431" s="1">
        <f t="shared" si="33"/>
        <v>3</v>
      </c>
      <c r="H431" s="1">
        <f t="shared" si="30"/>
        <v>4</v>
      </c>
      <c r="I431" s="1" t="s">
        <v>25</v>
      </c>
      <c r="J431" s="1" t="s">
        <v>2307</v>
      </c>
      <c r="K431" s="1" t="s">
        <v>2308</v>
      </c>
      <c r="L431" s="1" t="s">
        <v>28</v>
      </c>
      <c r="M431" s="1" t="s">
        <v>29</v>
      </c>
      <c r="N431" s="1" t="s">
        <v>2309</v>
      </c>
      <c r="O431" s="1" t="s">
        <v>2094</v>
      </c>
      <c r="P431" s="1">
        <v>47362</v>
      </c>
      <c r="Q431" s="1" t="s">
        <v>32</v>
      </c>
      <c r="R431" s="1" t="s">
        <v>2310</v>
      </c>
      <c r="S431" s="1" t="s">
        <v>64</v>
      </c>
      <c r="T431" s="1" t="s">
        <v>159</v>
      </c>
      <c r="U431" s="1" t="s">
        <v>2311</v>
      </c>
      <c r="V431" s="3">
        <v>23.92</v>
      </c>
      <c r="W431" s="1" t="str">
        <f t="shared" si="34"/>
        <v>Slow Delivery</v>
      </c>
    </row>
    <row r="432" spans="1:23" x14ac:dyDescent="0.25">
      <c r="A432" s="1">
        <v>5329</v>
      </c>
      <c r="B432" s="2" t="s">
        <v>2312</v>
      </c>
      <c r="C432" s="2">
        <v>42434</v>
      </c>
      <c r="D432" s="2">
        <v>42438</v>
      </c>
      <c r="E432" s="1">
        <f t="shared" si="31"/>
        <v>2016</v>
      </c>
      <c r="F432" s="2" t="str">
        <f t="shared" si="32"/>
        <v>Mar</v>
      </c>
      <c r="G432" s="1">
        <f t="shared" si="33"/>
        <v>3</v>
      </c>
      <c r="H432" s="1">
        <f t="shared" si="30"/>
        <v>4</v>
      </c>
      <c r="I432" s="1" t="s">
        <v>25</v>
      </c>
      <c r="J432" s="1" t="s">
        <v>2313</v>
      </c>
      <c r="K432" s="1" t="s">
        <v>2314</v>
      </c>
      <c r="L432" s="1" t="s">
        <v>28</v>
      </c>
      <c r="M432" s="1" t="s">
        <v>29</v>
      </c>
      <c r="N432" s="1" t="s">
        <v>150</v>
      </c>
      <c r="O432" s="1" t="s">
        <v>31</v>
      </c>
      <c r="P432" s="1">
        <v>77036</v>
      </c>
      <c r="Q432" s="1" t="s">
        <v>32</v>
      </c>
      <c r="R432" s="1" t="s">
        <v>2315</v>
      </c>
      <c r="S432" s="1" t="s">
        <v>64</v>
      </c>
      <c r="T432" s="1" t="s">
        <v>159</v>
      </c>
      <c r="U432" s="1" t="s">
        <v>2316</v>
      </c>
      <c r="V432" s="3">
        <v>31.92</v>
      </c>
      <c r="W432" s="1" t="str">
        <f t="shared" si="34"/>
        <v>Slow Delivery</v>
      </c>
    </row>
    <row r="433" spans="1:23" x14ac:dyDescent="0.25">
      <c r="A433" s="1">
        <v>5781</v>
      </c>
      <c r="B433" s="2" t="s">
        <v>2317</v>
      </c>
      <c r="C433" s="2">
        <v>42462</v>
      </c>
      <c r="D433" s="2">
        <v>42469</v>
      </c>
      <c r="E433" s="1">
        <f t="shared" si="31"/>
        <v>2016</v>
      </c>
      <c r="F433" s="2" t="str">
        <f t="shared" si="32"/>
        <v>Apr</v>
      </c>
      <c r="G433" s="1">
        <f t="shared" si="33"/>
        <v>4</v>
      </c>
      <c r="H433" s="1">
        <f t="shared" si="30"/>
        <v>7</v>
      </c>
      <c r="I433" s="1" t="s">
        <v>25</v>
      </c>
      <c r="J433" s="1" t="s">
        <v>2318</v>
      </c>
      <c r="K433" s="1" t="s">
        <v>2319</v>
      </c>
      <c r="L433" s="1" t="s">
        <v>28</v>
      </c>
      <c r="M433" s="1" t="s">
        <v>29</v>
      </c>
      <c r="N433" s="1" t="s">
        <v>132</v>
      </c>
      <c r="O433" s="1" t="s">
        <v>106</v>
      </c>
      <c r="P433" s="1">
        <v>90049</v>
      </c>
      <c r="Q433" s="1" t="s">
        <v>107</v>
      </c>
      <c r="R433" s="1" t="s">
        <v>2320</v>
      </c>
      <c r="S433" s="1" t="s">
        <v>64</v>
      </c>
      <c r="T433" s="1" t="s">
        <v>733</v>
      </c>
      <c r="U433" s="1" t="s">
        <v>2321</v>
      </c>
      <c r="V433" s="3">
        <v>71.975999999999999</v>
      </c>
      <c r="W433" s="1" t="str">
        <f t="shared" si="34"/>
        <v>Slow Delivery</v>
      </c>
    </row>
    <row r="434" spans="1:23" x14ac:dyDescent="0.25">
      <c r="A434" s="1">
        <v>5876</v>
      </c>
      <c r="B434" s="2" t="s">
        <v>2322</v>
      </c>
      <c r="C434" s="2">
        <v>42467</v>
      </c>
      <c r="D434" s="2">
        <v>42469</v>
      </c>
      <c r="E434" s="1">
        <f t="shared" si="31"/>
        <v>2016</v>
      </c>
      <c r="F434" s="2" t="str">
        <f t="shared" si="32"/>
        <v>Apr</v>
      </c>
      <c r="G434" s="1">
        <f t="shared" si="33"/>
        <v>4</v>
      </c>
      <c r="H434" s="1">
        <f t="shared" si="30"/>
        <v>2</v>
      </c>
      <c r="I434" s="1" t="s">
        <v>38</v>
      </c>
      <c r="J434" s="1" t="s">
        <v>2323</v>
      </c>
      <c r="K434" s="1" t="s">
        <v>2324</v>
      </c>
      <c r="L434" s="1" t="s">
        <v>131</v>
      </c>
      <c r="M434" s="1" t="s">
        <v>29</v>
      </c>
      <c r="N434" s="1" t="s">
        <v>410</v>
      </c>
      <c r="O434" s="1" t="s">
        <v>411</v>
      </c>
      <c r="P434" s="1">
        <v>19140</v>
      </c>
      <c r="Q434" s="1" t="s">
        <v>43</v>
      </c>
      <c r="R434" s="1" t="s">
        <v>2325</v>
      </c>
      <c r="S434" s="1" t="s">
        <v>34</v>
      </c>
      <c r="T434" s="1" t="s">
        <v>35</v>
      </c>
      <c r="U434" s="1" t="s">
        <v>2326</v>
      </c>
      <c r="V434" s="3">
        <v>11.736000000000001</v>
      </c>
      <c r="W434" s="1" t="str">
        <f t="shared" si="34"/>
        <v>Fast Delivery</v>
      </c>
    </row>
    <row r="435" spans="1:23" x14ac:dyDescent="0.25">
      <c r="A435" s="1">
        <v>305</v>
      </c>
      <c r="B435" s="2" t="s">
        <v>2327</v>
      </c>
      <c r="C435" s="2">
        <v>42494</v>
      </c>
      <c r="D435" s="2">
        <v>42499</v>
      </c>
      <c r="E435" s="1">
        <f t="shared" si="31"/>
        <v>2016</v>
      </c>
      <c r="F435" s="2" t="str">
        <f t="shared" si="32"/>
        <v>May</v>
      </c>
      <c r="G435" s="1">
        <f t="shared" si="33"/>
        <v>5</v>
      </c>
      <c r="H435" s="1">
        <f t="shared" si="30"/>
        <v>5</v>
      </c>
      <c r="I435" s="1" t="s">
        <v>83</v>
      </c>
      <c r="J435" s="1" t="s">
        <v>2328</v>
      </c>
      <c r="K435" s="1" t="s">
        <v>2329</v>
      </c>
      <c r="L435" s="1" t="s">
        <v>51</v>
      </c>
      <c r="M435" s="1" t="s">
        <v>29</v>
      </c>
      <c r="N435" s="1" t="s">
        <v>114</v>
      </c>
      <c r="O435" s="1" t="s">
        <v>115</v>
      </c>
      <c r="P435" s="1">
        <v>10024</v>
      </c>
      <c r="Q435" s="1" t="s">
        <v>43</v>
      </c>
      <c r="R435" s="1" t="s">
        <v>2330</v>
      </c>
      <c r="S435" s="1" t="s">
        <v>45</v>
      </c>
      <c r="T435" s="1" t="s">
        <v>46</v>
      </c>
      <c r="U435" s="1" t="s">
        <v>2331</v>
      </c>
      <c r="V435" s="3">
        <v>26.8</v>
      </c>
      <c r="W435" s="1" t="str">
        <f t="shared" si="34"/>
        <v>Slow Delivery</v>
      </c>
    </row>
    <row r="436" spans="1:23" x14ac:dyDescent="0.25">
      <c r="A436" s="1">
        <v>7250</v>
      </c>
      <c r="B436" s="2" t="s">
        <v>2332</v>
      </c>
      <c r="C436" s="2">
        <v>42525</v>
      </c>
      <c r="D436" s="2">
        <v>42530</v>
      </c>
      <c r="E436" s="1">
        <f t="shared" si="31"/>
        <v>2016</v>
      </c>
      <c r="F436" s="2" t="str">
        <f t="shared" si="32"/>
        <v>Jun</v>
      </c>
      <c r="G436" s="1">
        <f t="shared" si="33"/>
        <v>6</v>
      </c>
      <c r="H436" s="1">
        <f t="shared" si="30"/>
        <v>5</v>
      </c>
      <c r="I436" s="1" t="s">
        <v>83</v>
      </c>
      <c r="J436" s="1" t="s">
        <v>2333</v>
      </c>
      <c r="K436" s="1" t="s">
        <v>2334</v>
      </c>
      <c r="L436" s="1" t="s">
        <v>28</v>
      </c>
      <c r="M436" s="1" t="s">
        <v>29</v>
      </c>
      <c r="N436" s="1" t="s">
        <v>132</v>
      </c>
      <c r="O436" s="1" t="s">
        <v>106</v>
      </c>
      <c r="P436" s="1">
        <v>90008</v>
      </c>
      <c r="Q436" s="1" t="s">
        <v>107</v>
      </c>
      <c r="R436" s="1" t="s">
        <v>2335</v>
      </c>
      <c r="S436" s="1" t="s">
        <v>64</v>
      </c>
      <c r="T436" s="1" t="s">
        <v>65</v>
      </c>
      <c r="U436" s="1" t="s">
        <v>2336</v>
      </c>
      <c r="V436" s="3">
        <v>119.98</v>
      </c>
      <c r="W436" s="1" t="str">
        <f t="shared" si="34"/>
        <v>Slow Delivery</v>
      </c>
    </row>
    <row r="437" spans="1:23" x14ac:dyDescent="0.25">
      <c r="A437" s="1">
        <v>8829</v>
      </c>
      <c r="B437" s="2" t="s">
        <v>2337</v>
      </c>
      <c r="C437" s="2">
        <v>42526</v>
      </c>
      <c r="D437" s="2">
        <v>42530</v>
      </c>
      <c r="E437" s="1">
        <f t="shared" si="31"/>
        <v>2016</v>
      </c>
      <c r="F437" s="2" t="str">
        <f t="shared" si="32"/>
        <v>Jun</v>
      </c>
      <c r="G437" s="1">
        <f t="shared" si="33"/>
        <v>6</v>
      </c>
      <c r="H437" s="1">
        <f t="shared" si="30"/>
        <v>4</v>
      </c>
      <c r="I437" s="1" t="s">
        <v>25</v>
      </c>
      <c r="J437" s="1" t="s">
        <v>2338</v>
      </c>
      <c r="K437" s="1" t="s">
        <v>2339</v>
      </c>
      <c r="L437" s="1" t="s">
        <v>51</v>
      </c>
      <c r="M437" s="1" t="s">
        <v>29</v>
      </c>
      <c r="N437" s="1" t="s">
        <v>2340</v>
      </c>
      <c r="O437" s="1" t="s">
        <v>87</v>
      </c>
      <c r="P437" s="1">
        <v>63301</v>
      </c>
      <c r="Q437" s="1" t="s">
        <v>32</v>
      </c>
      <c r="R437" s="1" t="s">
        <v>2341</v>
      </c>
      <c r="S437" s="1" t="s">
        <v>34</v>
      </c>
      <c r="T437" s="1" t="s">
        <v>174</v>
      </c>
      <c r="U437" s="1" t="s">
        <v>2342</v>
      </c>
      <c r="V437" s="3">
        <v>10.56</v>
      </c>
      <c r="W437" s="1" t="str">
        <f t="shared" si="34"/>
        <v>Slow Delivery</v>
      </c>
    </row>
    <row r="438" spans="1:23" x14ac:dyDescent="0.25">
      <c r="A438" s="1">
        <v>2412</v>
      </c>
      <c r="B438" s="2" t="s">
        <v>2343</v>
      </c>
      <c r="C438" s="2">
        <v>42528</v>
      </c>
      <c r="D438" s="2">
        <v>42530</v>
      </c>
      <c r="E438" s="1">
        <f t="shared" si="31"/>
        <v>2016</v>
      </c>
      <c r="F438" s="2" t="str">
        <f t="shared" si="32"/>
        <v>Jun</v>
      </c>
      <c r="G438" s="1">
        <f t="shared" si="33"/>
        <v>6</v>
      </c>
      <c r="H438" s="1">
        <f t="shared" si="30"/>
        <v>2</v>
      </c>
      <c r="I438" s="1" t="s">
        <v>83</v>
      </c>
      <c r="J438" s="1" t="s">
        <v>2344</v>
      </c>
      <c r="K438" s="1" t="s">
        <v>2345</v>
      </c>
      <c r="L438" s="1" t="s">
        <v>51</v>
      </c>
      <c r="M438" s="1" t="s">
        <v>29</v>
      </c>
      <c r="N438" s="1" t="s">
        <v>132</v>
      </c>
      <c r="O438" s="1" t="s">
        <v>106</v>
      </c>
      <c r="P438" s="1">
        <v>90036</v>
      </c>
      <c r="Q438" s="1" t="s">
        <v>107</v>
      </c>
      <c r="R438" s="1" t="s">
        <v>2346</v>
      </c>
      <c r="S438" s="1" t="s">
        <v>34</v>
      </c>
      <c r="T438" s="1" t="s">
        <v>109</v>
      </c>
      <c r="U438" s="1" t="s">
        <v>2347</v>
      </c>
      <c r="V438" s="3">
        <v>7.52</v>
      </c>
      <c r="W438" s="1" t="str">
        <f t="shared" si="34"/>
        <v>Fast Delivery</v>
      </c>
    </row>
    <row r="439" spans="1:23" x14ac:dyDescent="0.25">
      <c r="A439" s="1">
        <v>4132</v>
      </c>
      <c r="B439" s="2" t="s">
        <v>2348</v>
      </c>
      <c r="C439" s="2">
        <v>42553</v>
      </c>
      <c r="D439" s="2">
        <v>42560</v>
      </c>
      <c r="E439" s="1">
        <f t="shared" si="31"/>
        <v>2016</v>
      </c>
      <c r="F439" s="2" t="str">
        <f t="shared" si="32"/>
        <v>Jul</v>
      </c>
      <c r="G439" s="1">
        <f t="shared" si="33"/>
        <v>7</v>
      </c>
      <c r="H439" s="1">
        <f t="shared" si="30"/>
        <v>7</v>
      </c>
      <c r="I439" s="1" t="s">
        <v>25</v>
      </c>
      <c r="J439" s="1" t="s">
        <v>2349</v>
      </c>
      <c r="K439" s="1" t="s">
        <v>2350</v>
      </c>
      <c r="L439" s="1" t="s">
        <v>28</v>
      </c>
      <c r="M439" s="1" t="s">
        <v>29</v>
      </c>
      <c r="N439" s="1" t="s">
        <v>2351</v>
      </c>
      <c r="O439" s="1" t="s">
        <v>190</v>
      </c>
      <c r="P439" s="1">
        <v>33021</v>
      </c>
      <c r="Q439" s="1" t="s">
        <v>54</v>
      </c>
      <c r="R439" s="1" t="s">
        <v>2352</v>
      </c>
      <c r="S439" s="1" t="s">
        <v>34</v>
      </c>
      <c r="T439" s="1" t="s">
        <v>174</v>
      </c>
      <c r="U439" s="1" t="s">
        <v>827</v>
      </c>
      <c r="V439" s="3">
        <v>11.952</v>
      </c>
      <c r="W439" s="1" t="str">
        <f t="shared" si="34"/>
        <v>Slow Delivery</v>
      </c>
    </row>
    <row r="440" spans="1:23" x14ac:dyDescent="0.25">
      <c r="A440" s="1">
        <v>587</v>
      </c>
      <c r="B440" s="2" t="s">
        <v>2353</v>
      </c>
      <c r="C440" s="2">
        <v>42554</v>
      </c>
      <c r="D440" s="2">
        <v>42560</v>
      </c>
      <c r="E440" s="1">
        <f t="shared" si="31"/>
        <v>2016</v>
      </c>
      <c r="F440" s="2" t="str">
        <f t="shared" si="32"/>
        <v>Jul</v>
      </c>
      <c r="G440" s="1">
        <f t="shared" si="33"/>
        <v>7</v>
      </c>
      <c r="H440" s="1">
        <f t="shared" si="30"/>
        <v>6</v>
      </c>
      <c r="I440" s="1" t="s">
        <v>25</v>
      </c>
      <c r="J440" s="1" t="s">
        <v>2354</v>
      </c>
      <c r="K440" s="1" t="s">
        <v>2355</v>
      </c>
      <c r="L440" s="1" t="s">
        <v>28</v>
      </c>
      <c r="M440" s="1" t="s">
        <v>29</v>
      </c>
      <c r="N440" s="1" t="s">
        <v>164</v>
      </c>
      <c r="O440" s="1" t="s">
        <v>165</v>
      </c>
      <c r="P440" s="1">
        <v>40475</v>
      </c>
      <c r="Q440" s="1" t="s">
        <v>54</v>
      </c>
      <c r="R440" s="1" t="s">
        <v>2356</v>
      </c>
      <c r="S440" s="1" t="s">
        <v>45</v>
      </c>
      <c r="T440" s="1" t="s">
        <v>89</v>
      </c>
      <c r="U440" s="1" t="s">
        <v>2357</v>
      </c>
      <c r="V440" s="3">
        <v>70.98</v>
      </c>
      <c r="W440" s="1" t="str">
        <f t="shared" si="34"/>
        <v>Slow Delivery</v>
      </c>
    </row>
    <row r="441" spans="1:23" x14ac:dyDescent="0.25">
      <c r="A441" s="1">
        <v>1253</v>
      </c>
      <c r="B441" s="2" t="s">
        <v>2358</v>
      </c>
      <c r="C441" s="2">
        <v>42555</v>
      </c>
      <c r="D441" s="2">
        <v>42560</v>
      </c>
      <c r="E441" s="1">
        <f t="shared" si="31"/>
        <v>2016</v>
      </c>
      <c r="F441" s="2" t="str">
        <f t="shared" si="32"/>
        <v>Jul</v>
      </c>
      <c r="G441" s="1">
        <f t="shared" si="33"/>
        <v>7</v>
      </c>
      <c r="H441" s="1">
        <f t="shared" si="30"/>
        <v>5</v>
      </c>
      <c r="I441" s="1" t="s">
        <v>25</v>
      </c>
      <c r="J441" s="1" t="s">
        <v>2359</v>
      </c>
      <c r="K441" s="1" t="s">
        <v>2360</v>
      </c>
      <c r="L441" s="1" t="s">
        <v>28</v>
      </c>
      <c r="M441" s="1" t="s">
        <v>29</v>
      </c>
      <c r="N441" s="1" t="s">
        <v>442</v>
      </c>
      <c r="O441" s="1" t="s">
        <v>101</v>
      </c>
      <c r="P441" s="1">
        <v>53209</v>
      </c>
      <c r="Q441" s="1" t="s">
        <v>32</v>
      </c>
      <c r="R441" s="1" t="s">
        <v>2361</v>
      </c>
      <c r="S441" s="1" t="s">
        <v>64</v>
      </c>
      <c r="T441" s="1" t="s">
        <v>159</v>
      </c>
      <c r="U441" s="1" t="s">
        <v>2362</v>
      </c>
      <c r="V441" s="3">
        <v>1099.96</v>
      </c>
      <c r="W441" s="1" t="str">
        <f t="shared" si="34"/>
        <v>Slow Delivery</v>
      </c>
    </row>
    <row r="442" spans="1:23" x14ac:dyDescent="0.25">
      <c r="A442" s="1">
        <v>8899</v>
      </c>
      <c r="B442" s="2" t="s">
        <v>2363</v>
      </c>
      <c r="C442" s="2">
        <v>42589</v>
      </c>
      <c r="D442" s="2">
        <v>42591</v>
      </c>
      <c r="E442" s="1">
        <f t="shared" si="31"/>
        <v>2016</v>
      </c>
      <c r="F442" s="2" t="str">
        <f t="shared" si="32"/>
        <v>Aug</v>
      </c>
      <c r="G442" s="1">
        <f t="shared" si="33"/>
        <v>8</v>
      </c>
      <c r="H442" s="1">
        <f t="shared" si="30"/>
        <v>2</v>
      </c>
      <c r="I442" s="1" t="s">
        <v>83</v>
      </c>
      <c r="J442" s="1" t="s">
        <v>2364</v>
      </c>
      <c r="K442" s="1" t="s">
        <v>2365</v>
      </c>
      <c r="L442" s="1" t="s">
        <v>51</v>
      </c>
      <c r="M442" s="1" t="s">
        <v>29</v>
      </c>
      <c r="N442" s="1" t="s">
        <v>52</v>
      </c>
      <c r="O442" s="1" t="s">
        <v>53</v>
      </c>
      <c r="P442" s="1">
        <v>22153</v>
      </c>
      <c r="Q442" s="1" t="s">
        <v>54</v>
      </c>
      <c r="R442" s="1" t="s">
        <v>2366</v>
      </c>
      <c r="S442" s="1" t="s">
        <v>64</v>
      </c>
      <c r="T442" s="1" t="s">
        <v>159</v>
      </c>
      <c r="U442" s="1" t="s">
        <v>2367</v>
      </c>
      <c r="V442" s="3">
        <v>494.97</v>
      </c>
      <c r="W442" s="1" t="str">
        <f t="shared" si="34"/>
        <v>Fast Delivery</v>
      </c>
    </row>
    <row r="443" spans="1:23" x14ac:dyDescent="0.25">
      <c r="A443" s="1">
        <v>1761</v>
      </c>
      <c r="B443" s="2" t="s">
        <v>2368</v>
      </c>
      <c r="C443" s="2">
        <v>42618</v>
      </c>
      <c r="D443" s="2">
        <v>42622</v>
      </c>
      <c r="E443" s="1">
        <f t="shared" si="31"/>
        <v>2016</v>
      </c>
      <c r="F443" s="2" t="str">
        <f t="shared" si="32"/>
        <v>Sep</v>
      </c>
      <c r="G443" s="1">
        <f t="shared" si="33"/>
        <v>9</v>
      </c>
      <c r="H443" s="1">
        <f t="shared" si="30"/>
        <v>4</v>
      </c>
      <c r="I443" s="1" t="s">
        <v>25</v>
      </c>
      <c r="J443" s="1" t="s">
        <v>2369</v>
      </c>
      <c r="K443" s="1" t="s">
        <v>2370</v>
      </c>
      <c r="L443" s="1" t="s">
        <v>28</v>
      </c>
      <c r="M443" s="1" t="s">
        <v>29</v>
      </c>
      <c r="N443" s="1" t="s">
        <v>478</v>
      </c>
      <c r="O443" s="1" t="s">
        <v>106</v>
      </c>
      <c r="P443" s="1">
        <v>92105</v>
      </c>
      <c r="Q443" s="1" t="s">
        <v>107</v>
      </c>
      <c r="R443" s="1" t="s">
        <v>2371</v>
      </c>
      <c r="S443" s="1" t="s">
        <v>45</v>
      </c>
      <c r="T443" s="1" t="s">
        <v>413</v>
      </c>
      <c r="U443" s="1" t="s">
        <v>2372</v>
      </c>
      <c r="V443" s="3">
        <v>411.33199999999999</v>
      </c>
      <c r="W443" s="1" t="str">
        <f t="shared" si="34"/>
        <v>Slow Delivery</v>
      </c>
    </row>
    <row r="444" spans="1:23" x14ac:dyDescent="0.25">
      <c r="A444" s="1">
        <v>6790</v>
      </c>
      <c r="B444" s="2" t="s">
        <v>2373</v>
      </c>
      <c r="C444" s="2">
        <v>42620</v>
      </c>
      <c r="D444" s="2">
        <v>42622</v>
      </c>
      <c r="E444" s="1">
        <f t="shared" si="31"/>
        <v>2016</v>
      </c>
      <c r="F444" s="2" t="str">
        <f t="shared" si="32"/>
        <v>Sep</v>
      </c>
      <c r="G444" s="1">
        <f t="shared" si="33"/>
        <v>9</v>
      </c>
      <c r="H444" s="1">
        <f t="shared" si="30"/>
        <v>2</v>
      </c>
      <c r="I444" s="1" t="s">
        <v>83</v>
      </c>
      <c r="J444" s="1" t="s">
        <v>2374</v>
      </c>
      <c r="K444" s="1" t="s">
        <v>2375</v>
      </c>
      <c r="L444" s="1" t="s">
        <v>51</v>
      </c>
      <c r="M444" s="1" t="s">
        <v>29</v>
      </c>
      <c r="N444" s="1" t="s">
        <v>1162</v>
      </c>
      <c r="O444" s="1" t="s">
        <v>320</v>
      </c>
      <c r="P444" s="1">
        <v>27707</v>
      </c>
      <c r="Q444" s="1" t="s">
        <v>54</v>
      </c>
      <c r="R444" s="1" t="s">
        <v>2376</v>
      </c>
      <c r="S444" s="1" t="s">
        <v>34</v>
      </c>
      <c r="T444" s="1" t="s">
        <v>35</v>
      </c>
      <c r="U444" s="1" t="s">
        <v>2377</v>
      </c>
      <c r="V444" s="3">
        <v>140.73599999999999</v>
      </c>
      <c r="W444" s="1" t="str">
        <f t="shared" si="34"/>
        <v>Fast Delivery</v>
      </c>
    </row>
    <row r="445" spans="1:23" x14ac:dyDescent="0.25">
      <c r="A445" s="1">
        <v>928</v>
      </c>
      <c r="B445" s="2" t="s">
        <v>2378</v>
      </c>
      <c r="C445" s="2">
        <v>42648</v>
      </c>
      <c r="D445" s="2">
        <v>42652</v>
      </c>
      <c r="E445" s="1">
        <f t="shared" si="31"/>
        <v>2016</v>
      </c>
      <c r="F445" s="2" t="str">
        <f t="shared" si="32"/>
        <v>Oct</v>
      </c>
      <c r="G445" s="1">
        <f t="shared" si="33"/>
        <v>10</v>
      </c>
      <c r="H445" s="1">
        <f t="shared" si="30"/>
        <v>4</v>
      </c>
      <c r="I445" s="1" t="s">
        <v>25</v>
      </c>
      <c r="J445" s="1" t="s">
        <v>2379</v>
      </c>
      <c r="K445" s="1" t="s">
        <v>2380</v>
      </c>
      <c r="L445" s="1" t="s">
        <v>131</v>
      </c>
      <c r="M445" s="1" t="s">
        <v>29</v>
      </c>
      <c r="N445" s="1" t="s">
        <v>52</v>
      </c>
      <c r="O445" s="1" t="s">
        <v>53</v>
      </c>
      <c r="P445" s="1">
        <v>22153</v>
      </c>
      <c r="Q445" s="1" t="s">
        <v>54</v>
      </c>
      <c r="R445" s="1" t="s">
        <v>116</v>
      </c>
      <c r="S445" s="1" t="s">
        <v>34</v>
      </c>
      <c r="T445" s="1" t="s">
        <v>35</v>
      </c>
      <c r="U445" s="1" t="s">
        <v>117</v>
      </c>
      <c r="V445" s="3">
        <v>46.2</v>
      </c>
      <c r="W445" s="1" t="str">
        <f t="shared" si="34"/>
        <v>Slow Delivery</v>
      </c>
    </row>
    <row r="446" spans="1:23" x14ac:dyDescent="0.25">
      <c r="A446" s="1">
        <v>1833</v>
      </c>
      <c r="B446" s="2" t="s">
        <v>2381</v>
      </c>
      <c r="C446" s="2">
        <v>42679</v>
      </c>
      <c r="D446" s="2">
        <v>42683</v>
      </c>
      <c r="E446" s="1">
        <f t="shared" si="31"/>
        <v>2016</v>
      </c>
      <c r="F446" s="2" t="str">
        <f t="shared" si="32"/>
        <v>Nov</v>
      </c>
      <c r="G446" s="1">
        <f t="shared" si="33"/>
        <v>11</v>
      </c>
      <c r="H446" s="1">
        <f t="shared" si="30"/>
        <v>4</v>
      </c>
      <c r="I446" s="1" t="s">
        <v>25</v>
      </c>
      <c r="J446" s="1" t="s">
        <v>2382</v>
      </c>
      <c r="K446" s="1" t="s">
        <v>2383</v>
      </c>
      <c r="L446" s="1" t="s">
        <v>51</v>
      </c>
      <c r="M446" s="1" t="s">
        <v>29</v>
      </c>
      <c r="N446" s="1" t="s">
        <v>2064</v>
      </c>
      <c r="O446" s="1" t="s">
        <v>320</v>
      </c>
      <c r="P446" s="1">
        <v>28110</v>
      </c>
      <c r="Q446" s="1" t="s">
        <v>54</v>
      </c>
      <c r="R446" s="1" t="s">
        <v>2384</v>
      </c>
      <c r="S446" s="1" t="s">
        <v>45</v>
      </c>
      <c r="T446" s="1" t="s">
        <v>89</v>
      </c>
      <c r="U446" s="1" t="s">
        <v>2385</v>
      </c>
      <c r="V446" s="3">
        <v>207</v>
      </c>
      <c r="W446" s="1" t="str">
        <f t="shared" si="34"/>
        <v>Slow Delivery</v>
      </c>
    </row>
    <row r="447" spans="1:23" x14ac:dyDescent="0.25">
      <c r="A447" s="1">
        <v>1007</v>
      </c>
      <c r="B447" s="2" t="s">
        <v>2386</v>
      </c>
      <c r="C447" s="2">
        <v>42680</v>
      </c>
      <c r="D447" s="2">
        <v>42683</v>
      </c>
      <c r="E447" s="1">
        <f t="shared" si="31"/>
        <v>2016</v>
      </c>
      <c r="F447" s="2" t="str">
        <f t="shared" si="32"/>
        <v>Nov</v>
      </c>
      <c r="G447" s="1">
        <f t="shared" si="33"/>
        <v>11</v>
      </c>
      <c r="H447" s="1">
        <f t="shared" si="30"/>
        <v>3</v>
      </c>
      <c r="I447" s="1" t="s">
        <v>38</v>
      </c>
      <c r="J447" s="1" t="s">
        <v>2387</v>
      </c>
      <c r="K447" s="1" t="s">
        <v>2388</v>
      </c>
      <c r="L447" s="1" t="s">
        <v>28</v>
      </c>
      <c r="M447" s="1" t="s">
        <v>29</v>
      </c>
      <c r="N447" s="1" t="s">
        <v>2389</v>
      </c>
      <c r="O447" s="1" t="s">
        <v>229</v>
      </c>
      <c r="P447" s="1">
        <v>85254</v>
      </c>
      <c r="Q447" s="1" t="s">
        <v>107</v>
      </c>
      <c r="R447" s="1" t="s">
        <v>2390</v>
      </c>
      <c r="S447" s="1" t="s">
        <v>34</v>
      </c>
      <c r="T447" s="1" t="s">
        <v>426</v>
      </c>
      <c r="U447" s="1" t="s">
        <v>2391</v>
      </c>
      <c r="V447" s="3">
        <v>7.08</v>
      </c>
      <c r="W447" s="1" t="str">
        <f t="shared" si="34"/>
        <v>Fast Delivery</v>
      </c>
    </row>
    <row r="448" spans="1:23" x14ac:dyDescent="0.25">
      <c r="A448" s="1">
        <v>532</v>
      </c>
      <c r="B448" s="2" t="s">
        <v>2392</v>
      </c>
      <c r="C448" s="2">
        <v>42681</v>
      </c>
      <c r="D448" s="2">
        <v>42683</v>
      </c>
      <c r="E448" s="1">
        <f t="shared" si="31"/>
        <v>2016</v>
      </c>
      <c r="F448" s="2" t="str">
        <f t="shared" si="32"/>
        <v>Nov</v>
      </c>
      <c r="G448" s="1">
        <f t="shared" si="33"/>
        <v>11</v>
      </c>
      <c r="H448" s="1">
        <f t="shared" si="30"/>
        <v>2</v>
      </c>
      <c r="I448" s="1" t="s">
        <v>83</v>
      </c>
      <c r="J448" s="1" t="s">
        <v>2393</v>
      </c>
      <c r="K448" s="1" t="s">
        <v>2394</v>
      </c>
      <c r="L448" s="1" t="s">
        <v>51</v>
      </c>
      <c r="M448" s="1" t="s">
        <v>29</v>
      </c>
      <c r="N448" s="1" t="s">
        <v>132</v>
      </c>
      <c r="O448" s="1" t="s">
        <v>106</v>
      </c>
      <c r="P448" s="1">
        <v>90036</v>
      </c>
      <c r="Q448" s="1" t="s">
        <v>107</v>
      </c>
      <c r="R448" s="1" t="s">
        <v>2395</v>
      </c>
      <c r="S448" s="1" t="s">
        <v>45</v>
      </c>
      <c r="T448" s="1" t="s">
        <v>89</v>
      </c>
      <c r="U448" s="1" t="s">
        <v>2396</v>
      </c>
      <c r="V448" s="3">
        <v>190.72</v>
      </c>
      <c r="W448" s="1" t="str">
        <f t="shared" si="34"/>
        <v>Fast Delivery</v>
      </c>
    </row>
    <row r="449" spans="1:23" x14ac:dyDescent="0.25">
      <c r="A449" s="1">
        <v>1564</v>
      </c>
      <c r="B449" s="2" t="s">
        <v>2397</v>
      </c>
      <c r="C449" s="2">
        <v>42683</v>
      </c>
      <c r="D449" s="2">
        <v>42683</v>
      </c>
      <c r="E449" s="1">
        <f t="shared" si="31"/>
        <v>2016</v>
      </c>
      <c r="F449" s="2" t="str">
        <f t="shared" si="32"/>
        <v>Nov</v>
      </c>
      <c r="G449" s="1">
        <f t="shared" si="33"/>
        <v>11</v>
      </c>
      <c r="H449" s="1">
        <f t="shared" si="30"/>
        <v>0</v>
      </c>
      <c r="I449" s="1" t="s">
        <v>68</v>
      </c>
      <c r="J449" s="1" t="s">
        <v>2398</v>
      </c>
      <c r="K449" s="1" t="s">
        <v>2399</v>
      </c>
      <c r="L449" s="1" t="s">
        <v>28</v>
      </c>
      <c r="M449" s="1" t="s">
        <v>29</v>
      </c>
      <c r="N449" s="1" t="s">
        <v>410</v>
      </c>
      <c r="O449" s="1" t="s">
        <v>411</v>
      </c>
      <c r="P449" s="1">
        <v>19134</v>
      </c>
      <c r="Q449" s="1" t="s">
        <v>43</v>
      </c>
      <c r="R449" s="1" t="s">
        <v>2400</v>
      </c>
      <c r="S449" s="1" t="s">
        <v>34</v>
      </c>
      <c r="T449" s="1" t="s">
        <v>174</v>
      </c>
      <c r="U449" s="1" t="s">
        <v>2401</v>
      </c>
      <c r="V449" s="3">
        <v>11.352</v>
      </c>
      <c r="W449" s="1" t="str">
        <f t="shared" si="34"/>
        <v>Fast Delivery</v>
      </c>
    </row>
    <row r="450" spans="1:23" x14ac:dyDescent="0.25">
      <c r="A450" s="1">
        <v>3851</v>
      </c>
      <c r="B450" s="2" t="s">
        <v>2402</v>
      </c>
      <c r="C450" s="2">
        <v>42708</v>
      </c>
      <c r="D450" s="2">
        <v>42713</v>
      </c>
      <c r="E450" s="1">
        <f t="shared" si="31"/>
        <v>2016</v>
      </c>
      <c r="F450" s="2" t="str">
        <f t="shared" si="32"/>
        <v>Dec</v>
      </c>
      <c r="G450" s="1">
        <f t="shared" si="33"/>
        <v>12</v>
      </c>
      <c r="H450" s="1">
        <f t="shared" ref="H450:H513" si="35">D450-C450</f>
        <v>5</v>
      </c>
      <c r="I450" s="1" t="s">
        <v>25</v>
      </c>
      <c r="J450" s="1" t="s">
        <v>2403</v>
      </c>
      <c r="K450" s="1" t="s">
        <v>2404</v>
      </c>
      <c r="L450" s="1" t="s">
        <v>51</v>
      </c>
      <c r="M450" s="1" t="s">
        <v>29</v>
      </c>
      <c r="N450" s="1" t="s">
        <v>52</v>
      </c>
      <c r="O450" s="1" t="s">
        <v>87</v>
      </c>
      <c r="P450" s="1">
        <v>65807</v>
      </c>
      <c r="Q450" s="1" t="s">
        <v>32</v>
      </c>
      <c r="R450" s="1" t="s">
        <v>831</v>
      </c>
      <c r="S450" s="1" t="s">
        <v>34</v>
      </c>
      <c r="T450" s="1" t="s">
        <v>174</v>
      </c>
      <c r="U450" s="1" t="s">
        <v>832</v>
      </c>
      <c r="V450" s="3">
        <v>85.96</v>
      </c>
      <c r="W450" s="1" t="str">
        <f t="shared" si="34"/>
        <v>Slow Delivery</v>
      </c>
    </row>
    <row r="451" spans="1:23" x14ac:dyDescent="0.25">
      <c r="A451" s="1">
        <v>4561</v>
      </c>
      <c r="B451" s="2" t="s">
        <v>2405</v>
      </c>
      <c r="C451" s="2">
        <v>42708</v>
      </c>
      <c r="D451" s="2">
        <v>42713</v>
      </c>
      <c r="E451" s="1">
        <f t="shared" ref="E451:E514" si="36">YEAR(C451)</f>
        <v>2016</v>
      </c>
      <c r="F451" s="2" t="str">
        <f t="shared" ref="F451:F514" si="37">TEXT(C451,"mmm")</f>
        <v>Dec</v>
      </c>
      <c r="G451" s="1">
        <f t="shared" ref="G451:G514" si="38">MONTH(C451)</f>
        <v>12</v>
      </c>
      <c r="H451" s="1">
        <f t="shared" si="35"/>
        <v>5</v>
      </c>
      <c r="I451" s="1" t="s">
        <v>83</v>
      </c>
      <c r="J451" s="1" t="s">
        <v>2406</v>
      </c>
      <c r="K451" s="1" t="s">
        <v>2407</v>
      </c>
      <c r="L451" s="1" t="s">
        <v>51</v>
      </c>
      <c r="M451" s="1" t="s">
        <v>29</v>
      </c>
      <c r="N451" s="1" t="s">
        <v>132</v>
      </c>
      <c r="O451" s="1" t="s">
        <v>106</v>
      </c>
      <c r="P451" s="1">
        <v>90049</v>
      </c>
      <c r="Q451" s="1" t="s">
        <v>107</v>
      </c>
      <c r="R451" s="1" t="s">
        <v>2408</v>
      </c>
      <c r="S451" s="1" t="s">
        <v>34</v>
      </c>
      <c r="T451" s="1" t="s">
        <v>426</v>
      </c>
      <c r="U451" s="1" t="s">
        <v>2409</v>
      </c>
      <c r="V451" s="3">
        <v>271.44</v>
      </c>
      <c r="W451" s="1" t="str">
        <f t="shared" ref="W451:W514" si="39">IF(H451&lt;=3,"Fast Delivery","Slow Delivery")</f>
        <v>Slow Delivery</v>
      </c>
    </row>
    <row r="452" spans="1:23" x14ac:dyDescent="0.25">
      <c r="A452" s="1">
        <v>3677</v>
      </c>
      <c r="B452" s="2" t="s">
        <v>2410</v>
      </c>
      <c r="C452" s="2">
        <v>42709</v>
      </c>
      <c r="D452" s="2">
        <v>42713</v>
      </c>
      <c r="E452" s="1">
        <f t="shared" si="36"/>
        <v>2016</v>
      </c>
      <c r="F452" s="2" t="str">
        <f t="shared" si="37"/>
        <v>Dec</v>
      </c>
      <c r="G452" s="1">
        <f t="shared" si="38"/>
        <v>12</v>
      </c>
      <c r="H452" s="1">
        <f t="shared" si="35"/>
        <v>4</v>
      </c>
      <c r="I452" s="1" t="s">
        <v>25</v>
      </c>
      <c r="J452" s="1" t="s">
        <v>2411</v>
      </c>
      <c r="K452" s="1" t="s">
        <v>2412</v>
      </c>
      <c r="L452" s="1" t="s">
        <v>51</v>
      </c>
      <c r="M452" s="1" t="s">
        <v>29</v>
      </c>
      <c r="N452" s="1" t="s">
        <v>478</v>
      </c>
      <c r="O452" s="1" t="s">
        <v>106</v>
      </c>
      <c r="P452" s="1">
        <v>92105</v>
      </c>
      <c r="Q452" s="1" t="s">
        <v>107</v>
      </c>
      <c r="R452" s="1" t="s">
        <v>2413</v>
      </c>
      <c r="S452" s="1" t="s">
        <v>45</v>
      </c>
      <c r="T452" s="1" t="s">
        <v>46</v>
      </c>
      <c r="U452" s="1" t="s">
        <v>2414</v>
      </c>
      <c r="V452" s="3">
        <v>44.46</v>
      </c>
      <c r="W452" s="1" t="str">
        <f t="shared" si="39"/>
        <v>Slow Delivery</v>
      </c>
    </row>
    <row r="453" spans="1:23" x14ac:dyDescent="0.25">
      <c r="A453" s="1">
        <v>4977</v>
      </c>
      <c r="B453" s="2" t="s">
        <v>2415</v>
      </c>
      <c r="C453" s="2">
        <v>42711</v>
      </c>
      <c r="D453" s="2">
        <v>42713</v>
      </c>
      <c r="E453" s="1">
        <f t="shared" si="36"/>
        <v>2016</v>
      </c>
      <c r="F453" s="2" t="str">
        <f t="shared" si="37"/>
        <v>Dec</v>
      </c>
      <c r="G453" s="1">
        <f t="shared" si="38"/>
        <v>12</v>
      </c>
      <c r="H453" s="1">
        <f t="shared" si="35"/>
        <v>2</v>
      </c>
      <c r="I453" s="1" t="s">
        <v>38</v>
      </c>
      <c r="J453" s="1" t="s">
        <v>2416</v>
      </c>
      <c r="K453" s="1" t="s">
        <v>2417</v>
      </c>
      <c r="L453" s="1" t="s">
        <v>28</v>
      </c>
      <c r="M453" s="1" t="s">
        <v>29</v>
      </c>
      <c r="N453" s="1" t="s">
        <v>114</v>
      </c>
      <c r="O453" s="1" t="s">
        <v>115</v>
      </c>
      <c r="P453" s="1">
        <v>10024</v>
      </c>
      <c r="Q453" s="1" t="s">
        <v>43</v>
      </c>
      <c r="R453" s="1" t="s">
        <v>2418</v>
      </c>
      <c r="S453" s="1" t="s">
        <v>34</v>
      </c>
      <c r="T453" s="1" t="s">
        <v>109</v>
      </c>
      <c r="U453" s="1" t="s">
        <v>2419</v>
      </c>
      <c r="V453" s="3">
        <v>21.36</v>
      </c>
      <c r="W453" s="1" t="str">
        <f t="shared" si="39"/>
        <v>Fast Delivery</v>
      </c>
    </row>
    <row r="454" spans="1:23" x14ac:dyDescent="0.25">
      <c r="A454" s="1">
        <v>3420</v>
      </c>
      <c r="B454" s="2" t="s">
        <v>2420</v>
      </c>
      <c r="C454" s="2">
        <v>42619</v>
      </c>
      <c r="D454" s="2">
        <v>42626</v>
      </c>
      <c r="E454" s="1">
        <f t="shared" si="36"/>
        <v>2016</v>
      </c>
      <c r="F454" s="2" t="str">
        <f t="shared" si="37"/>
        <v>Sep</v>
      </c>
      <c r="G454" s="1">
        <f t="shared" si="38"/>
        <v>9</v>
      </c>
      <c r="H454" s="1">
        <f t="shared" si="35"/>
        <v>7</v>
      </c>
      <c r="I454" s="1" t="s">
        <v>25</v>
      </c>
      <c r="J454" s="1" t="s">
        <v>2421</v>
      </c>
      <c r="K454" s="1" t="s">
        <v>2422</v>
      </c>
      <c r="L454" s="1" t="s">
        <v>131</v>
      </c>
      <c r="M454" s="1" t="s">
        <v>29</v>
      </c>
      <c r="N454" s="1" t="s">
        <v>114</v>
      </c>
      <c r="O454" s="1" t="s">
        <v>115</v>
      </c>
      <c r="P454" s="1">
        <v>10024</v>
      </c>
      <c r="Q454" s="1" t="s">
        <v>43</v>
      </c>
      <c r="R454" s="1" t="s">
        <v>2423</v>
      </c>
      <c r="S454" s="1" t="s">
        <v>45</v>
      </c>
      <c r="T454" s="1" t="s">
        <v>89</v>
      </c>
      <c r="U454" s="1" t="s">
        <v>2424</v>
      </c>
      <c r="V454" s="3">
        <v>271.76400000000001</v>
      </c>
      <c r="W454" s="1" t="str">
        <f t="shared" si="39"/>
        <v>Slow Delivery</v>
      </c>
    </row>
    <row r="455" spans="1:23" x14ac:dyDescent="0.25">
      <c r="A455" s="1">
        <v>3466</v>
      </c>
      <c r="B455" s="2" t="s">
        <v>2425</v>
      </c>
      <c r="C455" s="2">
        <v>42623</v>
      </c>
      <c r="D455" s="2">
        <v>42627</v>
      </c>
      <c r="E455" s="1">
        <f t="shared" si="36"/>
        <v>2016</v>
      </c>
      <c r="F455" s="2" t="str">
        <f t="shared" si="37"/>
        <v>Sep</v>
      </c>
      <c r="G455" s="1">
        <f t="shared" si="38"/>
        <v>9</v>
      </c>
      <c r="H455" s="1">
        <f t="shared" si="35"/>
        <v>4</v>
      </c>
      <c r="I455" s="1" t="s">
        <v>25</v>
      </c>
      <c r="J455" s="1" t="s">
        <v>2426</v>
      </c>
      <c r="K455" s="1" t="s">
        <v>2427</v>
      </c>
      <c r="L455" s="1" t="s">
        <v>51</v>
      </c>
      <c r="M455" s="1" t="s">
        <v>29</v>
      </c>
      <c r="N455" s="1" t="s">
        <v>505</v>
      </c>
      <c r="O455" s="1" t="s">
        <v>157</v>
      </c>
      <c r="P455" s="1">
        <v>2151</v>
      </c>
      <c r="Q455" s="1" t="s">
        <v>43</v>
      </c>
      <c r="R455" s="1" t="s">
        <v>2428</v>
      </c>
      <c r="S455" s="1" t="s">
        <v>34</v>
      </c>
      <c r="T455" s="1" t="s">
        <v>74</v>
      </c>
      <c r="U455" s="1" t="s">
        <v>2429</v>
      </c>
      <c r="V455" s="3">
        <v>61.96</v>
      </c>
      <c r="W455" s="1" t="str">
        <f t="shared" si="39"/>
        <v>Slow Delivery</v>
      </c>
    </row>
    <row r="456" spans="1:23" x14ac:dyDescent="0.25">
      <c r="A456" s="1">
        <v>7724</v>
      </c>
      <c r="B456" s="2" t="s">
        <v>2430</v>
      </c>
      <c r="C456" s="2">
        <v>42623</v>
      </c>
      <c r="D456" s="2">
        <v>42627</v>
      </c>
      <c r="E456" s="1">
        <f t="shared" si="36"/>
        <v>2016</v>
      </c>
      <c r="F456" s="2" t="str">
        <f t="shared" si="37"/>
        <v>Sep</v>
      </c>
      <c r="G456" s="1">
        <f t="shared" si="38"/>
        <v>9</v>
      </c>
      <c r="H456" s="1">
        <f t="shared" si="35"/>
        <v>4</v>
      </c>
      <c r="I456" s="1" t="s">
        <v>25</v>
      </c>
      <c r="J456" s="1" t="s">
        <v>2431</v>
      </c>
      <c r="K456" s="1" t="s">
        <v>2432</v>
      </c>
      <c r="L456" s="1" t="s">
        <v>51</v>
      </c>
      <c r="M456" s="1" t="s">
        <v>29</v>
      </c>
      <c r="N456" s="1" t="s">
        <v>255</v>
      </c>
      <c r="O456" s="1" t="s">
        <v>31</v>
      </c>
      <c r="P456" s="1">
        <v>78745</v>
      </c>
      <c r="Q456" s="1" t="s">
        <v>32</v>
      </c>
      <c r="R456" s="1" t="s">
        <v>2433</v>
      </c>
      <c r="S456" s="1" t="s">
        <v>45</v>
      </c>
      <c r="T456" s="1" t="s">
        <v>89</v>
      </c>
      <c r="U456" s="1" t="s">
        <v>2434</v>
      </c>
      <c r="V456" s="3">
        <v>179.886</v>
      </c>
      <c r="W456" s="1" t="str">
        <f t="shared" si="39"/>
        <v>Slow Delivery</v>
      </c>
    </row>
    <row r="457" spans="1:23" x14ac:dyDescent="0.25">
      <c r="A457" s="1">
        <v>7205</v>
      </c>
      <c r="B457" s="2" t="s">
        <v>2435</v>
      </c>
      <c r="C457" s="2">
        <v>42623</v>
      </c>
      <c r="D457" s="2">
        <v>42630</v>
      </c>
      <c r="E457" s="1">
        <f t="shared" si="36"/>
        <v>2016</v>
      </c>
      <c r="F457" s="2" t="str">
        <f t="shared" si="37"/>
        <v>Sep</v>
      </c>
      <c r="G457" s="1">
        <f t="shared" si="38"/>
        <v>9</v>
      </c>
      <c r="H457" s="1">
        <f t="shared" si="35"/>
        <v>7</v>
      </c>
      <c r="I457" s="1" t="s">
        <v>25</v>
      </c>
      <c r="J457" s="1" t="s">
        <v>2436</v>
      </c>
      <c r="K457" s="1" t="s">
        <v>2437</v>
      </c>
      <c r="L457" s="1" t="s">
        <v>28</v>
      </c>
      <c r="M457" s="1" t="s">
        <v>29</v>
      </c>
      <c r="N457" s="1" t="s">
        <v>114</v>
      </c>
      <c r="O457" s="1" t="s">
        <v>115</v>
      </c>
      <c r="P457" s="1">
        <v>10024</v>
      </c>
      <c r="Q457" s="1" t="s">
        <v>43</v>
      </c>
      <c r="R457" s="1" t="s">
        <v>2438</v>
      </c>
      <c r="S457" s="1" t="s">
        <v>34</v>
      </c>
      <c r="T457" s="1" t="s">
        <v>35</v>
      </c>
      <c r="U457" s="1" t="s">
        <v>2439</v>
      </c>
      <c r="V457" s="3">
        <v>6.08</v>
      </c>
      <c r="W457" s="1" t="str">
        <f t="shared" si="39"/>
        <v>Slow Delivery</v>
      </c>
    </row>
    <row r="458" spans="1:23" x14ac:dyDescent="0.25">
      <c r="A458" s="1">
        <v>9056</v>
      </c>
      <c r="B458" s="2" t="s">
        <v>2440</v>
      </c>
      <c r="C458" s="2">
        <v>42625</v>
      </c>
      <c r="D458" s="2">
        <v>42630</v>
      </c>
      <c r="E458" s="1">
        <f t="shared" si="36"/>
        <v>2016</v>
      </c>
      <c r="F458" s="2" t="str">
        <f t="shared" si="37"/>
        <v>Sep</v>
      </c>
      <c r="G458" s="1">
        <f t="shared" si="38"/>
        <v>9</v>
      </c>
      <c r="H458" s="1">
        <f t="shared" si="35"/>
        <v>5</v>
      </c>
      <c r="I458" s="1" t="s">
        <v>83</v>
      </c>
      <c r="J458" s="1" t="s">
        <v>2441</v>
      </c>
      <c r="K458" s="1" t="s">
        <v>2442</v>
      </c>
      <c r="L458" s="1" t="s">
        <v>28</v>
      </c>
      <c r="M458" s="1" t="s">
        <v>29</v>
      </c>
      <c r="N458" s="1" t="s">
        <v>488</v>
      </c>
      <c r="O458" s="1" t="s">
        <v>424</v>
      </c>
      <c r="P458" s="1">
        <v>98103</v>
      </c>
      <c r="Q458" s="1" t="s">
        <v>107</v>
      </c>
      <c r="R458" s="1" t="s">
        <v>1546</v>
      </c>
      <c r="S458" s="1" t="s">
        <v>64</v>
      </c>
      <c r="T458" s="1" t="s">
        <v>65</v>
      </c>
      <c r="U458" s="1" t="s">
        <v>1547</v>
      </c>
      <c r="V458" s="3">
        <v>21.98</v>
      </c>
      <c r="W458" s="1" t="str">
        <f t="shared" si="39"/>
        <v>Slow Delivery</v>
      </c>
    </row>
    <row r="459" spans="1:23" x14ac:dyDescent="0.25">
      <c r="A459" s="1">
        <v>8861</v>
      </c>
      <c r="B459" s="2" t="s">
        <v>2443</v>
      </c>
      <c r="C459" s="2">
        <v>42624</v>
      </c>
      <c r="D459" s="2">
        <v>42631</v>
      </c>
      <c r="E459" s="1">
        <f t="shared" si="36"/>
        <v>2016</v>
      </c>
      <c r="F459" s="2" t="str">
        <f t="shared" si="37"/>
        <v>Sep</v>
      </c>
      <c r="G459" s="1">
        <f t="shared" si="38"/>
        <v>9</v>
      </c>
      <c r="H459" s="1">
        <f t="shared" si="35"/>
        <v>7</v>
      </c>
      <c r="I459" s="1" t="s">
        <v>25</v>
      </c>
      <c r="J459" s="1" t="s">
        <v>2444</v>
      </c>
      <c r="K459" s="1" t="s">
        <v>2445</v>
      </c>
      <c r="L459" s="1" t="s">
        <v>131</v>
      </c>
      <c r="M459" s="1" t="s">
        <v>29</v>
      </c>
      <c r="N459" s="1" t="s">
        <v>2446</v>
      </c>
      <c r="O459" s="1" t="s">
        <v>388</v>
      </c>
      <c r="P459" s="1">
        <v>7501</v>
      </c>
      <c r="Q459" s="1" t="s">
        <v>43</v>
      </c>
      <c r="R459" s="1" t="s">
        <v>2447</v>
      </c>
      <c r="S459" s="1" t="s">
        <v>34</v>
      </c>
      <c r="T459" s="1" t="s">
        <v>56</v>
      </c>
      <c r="U459" s="1" t="s">
        <v>2448</v>
      </c>
      <c r="V459" s="3">
        <v>31.05</v>
      </c>
      <c r="W459" s="1" t="str">
        <f t="shared" si="39"/>
        <v>Slow Delivery</v>
      </c>
    </row>
    <row r="460" spans="1:23" x14ac:dyDescent="0.25">
      <c r="A460" s="1">
        <v>8375</v>
      </c>
      <c r="B460" s="2" t="s">
        <v>2449</v>
      </c>
      <c r="C460" s="2">
        <v>42374</v>
      </c>
      <c r="D460" s="2">
        <v>42379</v>
      </c>
      <c r="E460" s="1">
        <f t="shared" si="36"/>
        <v>2016</v>
      </c>
      <c r="F460" s="2" t="str">
        <f t="shared" si="37"/>
        <v>Jan</v>
      </c>
      <c r="G460" s="1">
        <f t="shared" si="38"/>
        <v>1</v>
      </c>
      <c r="H460" s="1">
        <f t="shared" si="35"/>
        <v>5</v>
      </c>
      <c r="I460" s="1" t="s">
        <v>25</v>
      </c>
      <c r="J460" s="1" t="s">
        <v>2450</v>
      </c>
      <c r="K460" s="1" t="s">
        <v>2451</v>
      </c>
      <c r="L460" s="1" t="s">
        <v>131</v>
      </c>
      <c r="M460" s="1" t="s">
        <v>29</v>
      </c>
      <c r="N460" s="1" t="s">
        <v>105</v>
      </c>
      <c r="O460" s="1" t="s">
        <v>106</v>
      </c>
      <c r="P460" s="1">
        <v>94110</v>
      </c>
      <c r="Q460" s="1" t="s">
        <v>107</v>
      </c>
      <c r="R460" s="1" t="s">
        <v>2452</v>
      </c>
      <c r="S460" s="1" t="s">
        <v>34</v>
      </c>
      <c r="T460" s="1" t="s">
        <v>74</v>
      </c>
      <c r="U460" s="1" t="s">
        <v>2453</v>
      </c>
      <c r="V460" s="3">
        <v>87.36</v>
      </c>
      <c r="W460" s="1" t="str">
        <f t="shared" si="39"/>
        <v>Slow Delivery</v>
      </c>
    </row>
    <row r="461" spans="1:23" x14ac:dyDescent="0.25">
      <c r="A461" s="1">
        <v>6446</v>
      </c>
      <c r="B461" s="2" t="s">
        <v>2454</v>
      </c>
      <c r="C461" s="2">
        <v>42434</v>
      </c>
      <c r="D461" s="2">
        <v>42439</v>
      </c>
      <c r="E461" s="1">
        <f t="shared" si="36"/>
        <v>2016</v>
      </c>
      <c r="F461" s="2" t="str">
        <f t="shared" si="37"/>
        <v>Mar</v>
      </c>
      <c r="G461" s="1">
        <f t="shared" si="38"/>
        <v>3</v>
      </c>
      <c r="H461" s="1">
        <f t="shared" si="35"/>
        <v>5</v>
      </c>
      <c r="I461" s="1" t="s">
        <v>25</v>
      </c>
      <c r="J461" s="1" t="s">
        <v>2455</v>
      </c>
      <c r="K461" s="1" t="s">
        <v>2456</v>
      </c>
      <c r="L461" s="1" t="s">
        <v>28</v>
      </c>
      <c r="M461" s="1" t="s">
        <v>29</v>
      </c>
      <c r="N461" s="1" t="s">
        <v>221</v>
      </c>
      <c r="O461" s="1" t="s">
        <v>222</v>
      </c>
      <c r="P461" s="1">
        <v>60623</v>
      </c>
      <c r="Q461" s="1" t="s">
        <v>32</v>
      </c>
      <c r="R461" s="1" t="s">
        <v>243</v>
      </c>
      <c r="S461" s="1" t="s">
        <v>34</v>
      </c>
      <c r="T461" s="1" t="s">
        <v>231</v>
      </c>
      <c r="U461" s="1" t="s">
        <v>244</v>
      </c>
      <c r="V461" s="3">
        <v>7.1040000000000001</v>
      </c>
      <c r="W461" s="1" t="str">
        <f t="shared" si="39"/>
        <v>Slow Delivery</v>
      </c>
    </row>
    <row r="462" spans="1:23" x14ac:dyDescent="0.25">
      <c r="A462" s="1">
        <v>6343</v>
      </c>
      <c r="B462" s="2" t="s">
        <v>2457</v>
      </c>
      <c r="C462" s="2">
        <v>42436</v>
      </c>
      <c r="D462" s="2">
        <v>42439</v>
      </c>
      <c r="E462" s="1">
        <f t="shared" si="36"/>
        <v>2016</v>
      </c>
      <c r="F462" s="2" t="str">
        <f t="shared" si="37"/>
        <v>Mar</v>
      </c>
      <c r="G462" s="1">
        <f t="shared" si="38"/>
        <v>3</v>
      </c>
      <c r="H462" s="1">
        <f t="shared" si="35"/>
        <v>3</v>
      </c>
      <c r="I462" s="1" t="s">
        <v>38</v>
      </c>
      <c r="J462" s="1" t="s">
        <v>2458</v>
      </c>
      <c r="K462" s="1" t="s">
        <v>2459</v>
      </c>
      <c r="L462" s="1" t="s">
        <v>131</v>
      </c>
      <c r="M462" s="1" t="s">
        <v>29</v>
      </c>
      <c r="N462" s="1" t="s">
        <v>855</v>
      </c>
      <c r="O462" s="1" t="s">
        <v>42</v>
      </c>
      <c r="P462" s="1">
        <v>19711</v>
      </c>
      <c r="Q462" s="1" t="s">
        <v>43</v>
      </c>
      <c r="R462" s="1" t="s">
        <v>2460</v>
      </c>
      <c r="S462" s="1" t="s">
        <v>64</v>
      </c>
      <c r="T462" s="1" t="s">
        <v>65</v>
      </c>
      <c r="U462" s="1" t="s">
        <v>2461</v>
      </c>
      <c r="V462" s="3">
        <v>119.85</v>
      </c>
      <c r="W462" s="1" t="str">
        <f t="shared" si="39"/>
        <v>Fast Delivery</v>
      </c>
    </row>
    <row r="463" spans="1:23" x14ac:dyDescent="0.25">
      <c r="A463" s="1">
        <v>119</v>
      </c>
      <c r="B463" s="2" t="s">
        <v>2462</v>
      </c>
      <c r="C463" s="2">
        <v>42465</v>
      </c>
      <c r="D463" s="2">
        <v>42470</v>
      </c>
      <c r="E463" s="1">
        <f t="shared" si="36"/>
        <v>2016</v>
      </c>
      <c r="F463" s="2" t="str">
        <f t="shared" si="37"/>
        <v>Apr</v>
      </c>
      <c r="G463" s="1">
        <f t="shared" si="38"/>
        <v>4</v>
      </c>
      <c r="H463" s="1">
        <f t="shared" si="35"/>
        <v>5</v>
      </c>
      <c r="I463" s="1" t="s">
        <v>25</v>
      </c>
      <c r="J463" s="1" t="s">
        <v>2463</v>
      </c>
      <c r="K463" s="1" t="s">
        <v>2464</v>
      </c>
      <c r="L463" s="1" t="s">
        <v>51</v>
      </c>
      <c r="M463" s="1" t="s">
        <v>29</v>
      </c>
      <c r="N463" s="1" t="s">
        <v>2465</v>
      </c>
      <c r="O463" s="1" t="s">
        <v>1028</v>
      </c>
      <c r="P463" s="1">
        <v>37620</v>
      </c>
      <c r="Q463" s="1" t="s">
        <v>54</v>
      </c>
      <c r="R463" s="1" t="s">
        <v>1739</v>
      </c>
      <c r="S463" s="1" t="s">
        <v>34</v>
      </c>
      <c r="T463" s="1" t="s">
        <v>109</v>
      </c>
      <c r="U463" s="1" t="s">
        <v>1740</v>
      </c>
      <c r="V463" s="3">
        <v>157.79400000000001</v>
      </c>
      <c r="W463" s="1" t="str">
        <f t="shared" si="39"/>
        <v>Slow Delivery</v>
      </c>
    </row>
    <row r="464" spans="1:23" x14ac:dyDescent="0.25">
      <c r="A464" s="1">
        <v>2525</v>
      </c>
      <c r="B464" s="2" t="s">
        <v>2466</v>
      </c>
      <c r="C464" s="2">
        <v>42466</v>
      </c>
      <c r="D464" s="2">
        <v>42470</v>
      </c>
      <c r="E464" s="1">
        <f t="shared" si="36"/>
        <v>2016</v>
      </c>
      <c r="F464" s="2" t="str">
        <f t="shared" si="37"/>
        <v>Apr</v>
      </c>
      <c r="G464" s="1">
        <f t="shared" si="38"/>
        <v>4</v>
      </c>
      <c r="H464" s="1">
        <f t="shared" si="35"/>
        <v>4</v>
      </c>
      <c r="I464" s="1" t="s">
        <v>25</v>
      </c>
      <c r="J464" s="1" t="s">
        <v>2467</v>
      </c>
      <c r="K464" s="1" t="s">
        <v>2468</v>
      </c>
      <c r="L464" s="1" t="s">
        <v>28</v>
      </c>
      <c r="M464" s="1" t="s">
        <v>29</v>
      </c>
      <c r="N464" s="1" t="s">
        <v>150</v>
      </c>
      <c r="O464" s="1" t="s">
        <v>31</v>
      </c>
      <c r="P464" s="1">
        <v>77041</v>
      </c>
      <c r="Q464" s="1" t="s">
        <v>32</v>
      </c>
      <c r="R464" s="1" t="s">
        <v>33</v>
      </c>
      <c r="S464" s="1" t="s">
        <v>34</v>
      </c>
      <c r="T464" s="1" t="s">
        <v>35</v>
      </c>
      <c r="U464" s="1" t="s">
        <v>36</v>
      </c>
      <c r="V464" s="3">
        <v>42.048000000000002</v>
      </c>
      <c r="W464" s="1" t="str">
        <f t="shared" si="39"/>
        <v>Slow Delivery</v>
      </c>
    </row>
    <row r="465" spans="1:23" x14ac:dyDescent="0.25">
      <c r="A465" s="1">
        <v>6559</v>
      </c>
      <c r="B465" s="2" t="s">
        <v>2469</v>
      </c>
      <c r="C465" s="2">
        <v>42526</v>
      </c>
      <c r="D465" s="2">
        <v>42531</v>
      </c>
      <c r="E465" s="1">
        <f t="shared" si="36"/>
        <v>2016</v>
      </c>
      <c r="F465" s="2" t="str">
        <f t="shared" si="37"/>
        <v>Jun</v>
      </c>
      <c r="G465" s="1">
        <f t="shared" si="38"/>
        <v>6</v>
      </c>
      <c r="H465" s="1">
        <f t="shared" si="35"/>
        <v>5</v>
      </c>
      <c r="I465" s="1" t="s">
        <v>25</v>
      </c>
      <c r="J465" s="1" t="s">
        <v>2470</v>
      </c>
      <c r="K465" s="1" t="s">
        <v>2471</v>
      </c>
      <c r="L465" s="1" t="s">
        <v>51</v>
      </c>
      <c r="M465" s="1" t="s">
        <v>29</v>
      </c>
      <c r="N465" s="1" t="s">
        <v>1358</v>
      </c>
      <c r="O465" s="1" t="s">
        <v>115</v>
      </c>
      <c r="P465" s="1">
        <v>14215</v>
      </c>
      <c r="Q465" s="1" t="s">
        <v>43</v>
      </c>
      <c r="R465" s="1" t="s">
        <v>2472</v>
      </c>
      <c r="S465" s="1" t="s">
        <v>45</v>
      </c>
      <c r="T465" s="1" t="s">
        <v>89</v>
      </c>
      <c r="U465" s="1" t="s">
        <v>2473</v>
      </c>
      <c r="V465" s="3">
        <v>1522.6379999999999</v>
      </c>
      <c r="W465" s="1" t="str">
        <f t="shared" si="39"/>
        <v>Slow Delivery</v>
      </c>
    </row>
    <row r="466" spans="1:23" x14ac:dyDescent="0.25">
      <c r="A466" s="1">
        <v>3003</v>
      </c>
      <c r="B466" s="2" t="s">
        <v>2474</v>
      </c>
      <c r="C466" s="2">
        <v>42556</v>
      </c>
      <c r="D466" s="2">
        <v>42561</v>
      </c>
      <c r="E466" s="1">
        <f t="shared" si="36"/>
        <v>2016</v>
      </c>
      <c r="F466" s="2" t="str">
        <f t="shared" si="37"/>
        <v>Jul</v>
      </c>
      <c r="G466" s="1">
        <f t="shared" si="38"/>
        <v>7</v>
      </c>
      <c r="H466" s="1">
        <f t="shared" si="35"/>
        <v>5</v>
      </c>
      <c r="I466" s="1" t="s">
        <v>25</v>
      </c>
      <c r="J466" s="1" t="s">
        <v>2475</v>
      </c>
      <c r="K466" s="1" t="s">
        <v>2476</v>
      </c>
      <c r="L466" s="1" t="s">
        <v>131</v>
      </c>
      <c r="M466" s="1" t="s">
        <v>29</v>
      </c>
      <c r="N466" s="1" t="s">
        <v>2477</v>
      </c>
      <c r="O466" s="1" t="s">
        <v>172</v>
      </c>
      <c r="P466" s="1">
        <v>48310</v>
      </c>
      <c r="Q466" s="1" t="s">
        <v>32</v>
      </c>
      <c r="R466" s="1" t="s">
        <v>2478</v>
      </c>
      <c r="S466" s="1" t="s">
        <v>34</v>
      </c>
      <c r="T466" s="1" t="s">
        <v>109</v>
      </c>
      <c r="U466" s="1" t="s">
        <v>2479</v>
      </c>
      <c r="V466" s="3">
        <v>19</v>
      </c>
      <c r="W466" s="1" t="str">
        <f t="shared" si="39"/>
        <v>Slow Delivery</v>
      </c>
    </row>
    <row r="467" spans="1:23" x14ac:dyDescent="0.25">
      <c r="A467" s="1">
        <v>4405</v>
      </c>
      <c r="B467" s="2" t="s">
        <v>2480</v>
      </c>
      <c r="C467" s="2">
        <v>42556</v>
      </c>
      <c r="D467" s="2">
        <v>42561</v>
      </c>
      <c r="E467" s="1">
        <f t="shared" si="36"/>
        <v>2016</v>
      </c>
      <c r="F467" s="2" t="str">
        <f t="shared" si="37"/>
        <v>Jul</v>
      </c>
      <c r="G467" s="1">
        <f t="shared" si="38"/>
        <v>7</v>
      </c>
      <c r="H467" s="1">
        <f t="shared" si="35"/>
        <v>5</v>
      </c>
      <c r="I467" s="1" t="s">
        <v>25</v>
      </c>
      <c r="J467" s="1" t="s">
        <v>2481</v>
      </c>
      <c r="K467" s="1" t="s">
        <v>2482</v>
      </c>
      <c r="L467" s="1" t="s">
        <v>28</v>
      </c>
      <c r="M467" s="1" t="s">
        <v>29</v>
      </c>
      <c r="N467" s="1" t="s">
        <v>410</v>
      </c>
      <c r="O467" s="1" t="s">
        <v>411</v>
      </c>
      <c r="P467" s="1">
        <v>19140</v>
      </c>
      <c r="Q467" s="1" t="s">
        <v>43</v>
      </c>
      <c r="R467" s="1" t="s">
        <v>2483</v>
      </c>
      <c r="S467" s="1" t="s">
        <v>64</v>
      </c>
      <c r="T467" s="1" t="s">
        <v>65</v>
      </c>
      <c r="U467" s="1" t="s">
        <v>2484</v>
      </c>
      <c r="V467" s="3">
        <v>34.799999999999997</v>
      </c>
      <c r="W467" s="1" t="str">
        <f t="shared" si="39"/>
        <v>Slow Delivery</v>
      </c>
    </row>
    <row r="468" spans="1:23" x14ac:dyDescent="0.25">
      <c r="A468" s="1">
        <v>1017</v>
      </c>
      <c r="B468" s="2" t="s">
        <v>2485</v>
      </c>
      <c r="C468" s="2">
        <v>42557</v>
      </c>
      <c r="D468" s="2">
        <v>42561</v>
      </c>
      <c r="E468" s="1">
        <f t="shared" si="36"/>
        <v>2016</v>
      </c>
      <c r="F468" s="2" t="str">
        <f t="shared" si="37"/>
        <v>Jul</v>
      </c>
      <c r="G468" s="1">
        <f t="shared" si="38"/>
        <v>7</v>
      </c>
      <c r="H468" s="1">
        <f t="shared" si="35"/>
        <v>4</v>
      </c>
      <c r="I468" s="1" t="s">
        <v>25</v>
      </c>
      <c r="J468" s="1" t="s">
        <v>2486</v>
      </c>
      <c r="K468" s="1" t="s">
        <v>2487</v>
      </c>
      <c r="L468" s="1" t="s">
        <v>51</v>
      </c>
      <c r="M468" s="1" t="s">
        <v>29</v>
      </c>
      <c r="N468" s="1" t="s">
        <v>114</v>
      </c>
      <c r="O468" s="1" t="s">
        <v>115</v>
      </c>
      <c r="P468" s="1">
        <v>10011</v>
      </c>
      <c r="Q468" s="1" t="s">
        <v>43</v>
      </c>
      <c r="R468" s="1" t="s">
        <v>2488</v>
      </c>
      <c r="S468" s="1" t="s">
        <v>45</v>
      </c>
      <c r="T468" s="1" t="s">
        <v>46</v>
      </c>
      <c r="U468" s="1" t="s">
        <v>2489</v>
      </c>
      <c r="V468" s="3">
        <v>13.96</v>
      </c>
      <c r="W468" s="1" t="str">
        <f t="shared" si="39"/>
        <v>Slow Delivery</v>
      </c>
    </row>
    <row r="469" spans="1:23" x14ac:dyDescent="0.25">
      <c r="A469" s="1">
        <v>9542</v>
      </c>
      <c r="B469" s="2" t="s">
        <v>2490</v>
      </c>
      <c r="C469" s="2">
        <v>42588</v>
      </c>
      <c r="D469" s="2">
        <v>42592</v>
      </c>
      <c r="E469" s="1">
        <f t="shared" si="36"/>
        <v>2016</v>
      </c>
      <c r="F469" s="2" t="str">
        <f t="shared" si="37"/>
        <v>Aug</v>
      </c>
      <c r="G469" s="1">
        <f t="shared" si="38"/>
        <v>8</v>
      </c>
      <c r="H469" s="1">
        <f t="shared" si="35"/>
        <v>4</v>
      </c>
      <c r="I469" s="1" t="s">
        <v>25</v>
      </c>
      <c r="J469" s="1" t="s">
        <v>2491</v>
      </c>
      <c r="K469" s="1" t="s">
        <v>2492</v>
      </c>
      <c r="L469" s="1" t="s">
        <v>51</v>
      </c>
      <c r="M469" s="1" t="s">
        <v>29</v>
      </c>
      <c r="N469" s="1" t="s">
        <v>150</v>
      </c>
      <c r="O469" s="1" t="s">
        <v>31</v>
      </c>
      <c r="P469" s="1">
        <v>77095</v>
      </c>
      <c r="Q469" s="1" t="s">
        <v>32</v>
      </c>
      <c r="R469" s="1" t="s">
        <v>2493</v>
      </c>
      <c r="S469" s="1" t="s">
        <v>34</v>
      </c>
      <c r="T469" s="1" t="s">
        <v>56</v>
      </c>
      <c r="U469" s="1" t="s">
        <v>2494</v>
      </c>
      <c r="V469" s="3">
        <v>35.520000000000003</v>
      </c>
      <c r="W469" s="1" t="str">
        <f t="shared" si="39"/>
        <v>Slow Delivery</v>
      </c>
    </row>
    <row r="470" spans="1:23" x14ac:dyDescent="0.25">
      <c r="A470" s="1">
        <v>6661</v>
      </c>
      <c r="B470" s="2" t="s">
        <v>2495</v>
      </c>
      <c r="C470" s="2">
        <v>42590</v>
      </c>
      <c r="D470" s="2">
        <v>42592</v>
      </c>
      <c r="E470" s="1">
        <f t="shared" si="36"/>
        <v>2016</v>
      </c>
      <c r="F470" s="2" t="str">
        <f t="shared" si="37"/>
        <v>Aug</v>
      </c>
      <c r="G470" s="1">
        <f t="shared" si="38"/>
        <v>8</v>
      </c>
      <c r="H470" s="1">
        <f t="shared" si="35"/>
        <v>2</v>
      </c>
      <c r="I470" s="1" t="s">
        <v>83</v>
      </c>
      <c r="J470" s="1" t="s">
        <v>2496</v>
      </c>
      <c r="K470" s="1" t="s">
        <v>2497</v>
      </c>
      <c r="L470" s="1" t="s">
        <v>28</v>
      </c>
      <c r="M470" s="1" t="s">
        <v>29</v>
      </c>
      <c r="N470" s="1" t="s">
        <v>1664</v>
      </c>
      <c r="O470" s="1" t="s">
        <v>157</v>
      </c>
      <c r="P470" s="1">
        <v>1841</v>
      </c>
      <c r="Q470" s="1" t="s">
        <v>43</v>
      </c>
      <c r="R470" s="1" t="s">
        <v>2498</v>
      </c>
      <c r="S470" s="1" t="s">
        <v>34</v>
      </c>
      <c r="T470" s="1" t="s">
        <v>35</v>
      </c>
      <c r="U470" s="1" t="s">
        <v>2499</v>
      </c>
      <c r="V470" s="3">
        <v>39.659999999999997</v>
      </c>
      <c r="W470" s="1" t="str">
        <f t="shared" si="39"/>
        <v>Fast Delivery</v>
      </c>
    </row>
    <row r="471" spans="1:23" x14ac:dyDescent="0.25">
      <c r="A471" s="1">
        <v>5282</v>
      </c>
      <c r="B471" s="2" t="s">
        <v>2500</v>
      </c>
      <c r="C471" s="2">
        <v>42618</v>
      </c>
      <c r="D471" s="2">
        <v>42623</v>
      </c>
      <c r="E471" s="1">
        <f t="shared" si="36"/>
        <v>2016</v>
      </c>
      <c r="F471" s="2" t="str">
        <f t="shared" si="37"/>
        <v>Sep</v>
      </c>
      <c r="G471" s="1">
        <f t="shared" si="38"/>
        <v>9</v>
      </c>
      <c r="H471" s="1">
        <f t="shared" si="35"/>
        <v>5</v>
      </c>
      <c r="I471" s="1" t="s">
        <v>25</v>
      </c>
      <c r="J471" s="1" t="s">
        <v>2501</v>
      </c>
      <c r="K471" s="1" t="s">
        <v>2502</v>
      </c>
      <c r="L471" s="1" t="s">
        <v>51</v>
      </c>
      <c r="M471" s="1" t="s">
        <v>29</v>
      </c>
      <c r="N471" s="1" t="s">
        <v>1296</v>
      </c>
      <c r="O471" s="1" t="s">
        <v>517</v>
      </c>
      <c r="P471" s="1">
        <v>55901</v>
      </c>
      <c r="Q471" s="1" t="s">
        <v>32</v>
      </c>
      <c r="R471" s="1" t="s">
        <v>2503</v>
      </c>
      <c r="S471" s="1" t="s">
        <v>45</v>
      </c>
      <c r="T471" s="1" t="s">
        <v>46</v>
      </c>
      <c r="U471" s="1" t="s">
        <v>2504</v>
      </c>
      <c r="V471" s="3">
        <v>6.16</v>
      </c>
      <c r="W471" s="1" t="str">
        <f t="shared" si="39"/>
        <v>Slow Delivery</v>
      </c>
    </row>
    <row r="472" spans="1:23" x14ac:dyDescent="0.25">
      <c r="A472" s="1">
        <v>1529</v>
      </c>
      <c r="B472" s="2" t="s">
        <v>2505</v>
      </c>
      <c r="C472" s="2">
        <v>42681</v>
      </c>
      <c r="D472" s="2">
        <v>42684</v>
      </c>
      <c r="E472" s="1">
        <f t="shared" si="36"/>
        <v>2016</v>
      </c>
      <c r="F472" s="2" t="str">
        <f t="shared" si="37"/>
        <v>Nov</v>
      </c>
      <c r="G472" s="1">
        <f t="shared" si="38"/>
        <v>11</v>
      </c>
      <c r="H472" s="1">
        <f t="shared" si="35"/>
        <v>3</v>
      </c>
      <c r="I472" s="1" t="s">
        <v>83</v>
      </c>
      <c r="J472" s="1" t="s">
        <v>2506</v>
      </c>
      <c r="K472" s="1" t="s">
        <v>2507</v>
      </c>
      <c r="L472" s="1" t="s">
        <v>51</v>
      </c>
      <c r="M472" s="1" t="s">
        <v>29</v>
      </c>
      <c r="N472" s="1" t="s">
        <v>855</v>
      </c>
      <c r="O472" s="1" t="s">
        <v>42</v>
      </c>
      <c r="P472" s="1">
        <v>19711</v>
      </c>
      <c r="Q472" s="1" t="s">
        <v>43</v>
      </c>
      <c r="R472" s="1" t="s">
        <v>2508</v>
      </c>
      <c r="S472" s="1" t="s">
        <v>34</v>
      </c>
      <c r="T472" s="1" t="s">
        <v>231</v>
      </c>
      <c r="U472" s="1" t="s">
        <v>2509</v>
      </c>
      <c r="V472" s="3">
        <v>26.18</v>
      </c>
      <c r="W472" s="1" t="str">
        <f t="shared" si="39"/>
        <v>Fast Delivery</v>
      </c>
    </row>
    <row r="473" spans="1:23" x14ac:dyDescent="0.25">
      <c r="A473" s="1">
        <v>2260</v>
      </c>
      <c r="B473" s="2" t="s">
        <v>2510</v>
      </c>
      <c r="C473" s="2">
        <v>42682</v>
      </c>
      <c r="D473" s="2">
        <v>42684</v>
      </c>
      <c r="E473" s="1">
        <f t="shared" si="36"/>
        <v>2016</v>
      </c>
      <c r="F473" s="2" t="str">
        <f t="shared" si="37"/>
        <v>Nov</v>
      </c>
      <c r="G473" s="1">
        <f t="shared" si="38"/>
        <v>11</v>
      </c>
      <c r="H473" s="1">
        <f t="shared" si="35"/>
        <v>2</v>
      </c>
      <c r="I473" s="1" t="s">
        <v>83</v>
      </c>
      <c r="J473" s="1" t="s">
        <v>2511</v>
      </c>
      <c r="K473" s="1" t="s">
        <v>2512</v>
      </c>
      <c r="L473" s="1" t="s">
        <v>131</v>
      </c>
      <c r="M473" s="1" t="s">
        <v>29</v>
      </c>
      <c r="N473" s="1" t="s">
        <v>478</v>
      </c>
      <c r="O473" s="1" t="s">
        <v>106</v>
      </c>
      <c r="P473" s="1">
        <v>92024</v>
      </c>
      <c r="Q473" s="1" t="s">
        <v>107</v>
      </c>
      <c r="R473" s="1" t="s">
        <v>1225</v>
      </c>
      <c r="S473" s="1" t="s">
        <v>34</v>
      </c>
      <c r="T473" s="1" t="s">
        <v>231</v>
      </c>
      <c r="U473" s="1" t="s">
        <v>1226</v>
      </c>
      <c r="V473" s="3">
        <v>5</v>
      </c>
      <c r="W473" s="1" t="str">
        <f t="shared" si="39"/>
        <v>Fast Delivery</v>
      </c>
    </row>
    <row r="474" spans="1:23" x14ac:dyDescent="0.25">
      <c r="A474" s="1">
        <v>3374</v>
      </c>
      <c r="B474" s="2" t="s">
        <v>2513</v>
      </c>
      <c r="C474" s="2">
        <v>42708</v>
      </c>
      <c r="D474" s="2">
        <v>42714</v>
      </c>
      <c r="E474" s="1">
        <f t="shared" si="36"/>
        <v>2016</v>
      </c>
      <c r="F474" s="2" t="str">
        <f t="shared" si="37"/>
        <v>Dec</v>
      </c>
      <c r="G474" s="1">
        <f t="shared" si="38"/>
        <v>12</v>
      </c>
      <c r="H474" s="1">
        <f t="shared" si="35"/>
        <v>6</v>
      </c>
      <c r="I474" s="1" t="s">
        <v>25</v>
      </c>
      <c r="J474" s="1" t="s">
        <v>2514</v>
      </c>
      <c r="K474" s="1" t="s">
        <v>2515</v>
      </c>
      <c r="L474" s="1" t="s">
        <v>28</v>
      </c>
      <c r="M474" s="1" t="s">
        <v>29</v>
      </c>
      <c r="N474" s="1" t="s">
        <v>2516</v>
      </c>
      <c r="O474" s="1" t="s">
        <v>115</v>
      </c>
      <c r="P474" s="1">
        <v>11550</v>
      </c>
      <c r="Q474" s="1" t="s">
        <v>43</v>
      </c>
      <c r="R474" s="1" t="s">
        <v>2517</v>
      </c>
      <c r="S474" s="1" t="s">
        <v>45</v>
      </c>
      <c r="T474" s="1" t="s">
        <v>46</v>
      </c>
      <c r="U474" s="1" t="s">
        <v>2518</v>
      </c>
      <c r="V474" s="3">
        <v>28.44</v>
      </c>
      <c r="W474" s="1" t="str">
        <f t="shared" si="39"/>
        <v>Slow Delivery</v>
      </c>
    </row>
    <row r="475" spans="1:23" x14ac:dyDescent="0.25">
      <c r="A475" s="1">
        <v>6454</v>
      </c>
      <c r="B475" s="2" t="s">
        <v>2519</v>
      </c>
      <c r="C475" s="2">
        <v>42651</v>
      </c>
      <c r="D475" s="2">
        <v>42656</v>
      </c>
      <c r="E475" s="1">
        <f t="shared" si="36"/>
        <v>2016</v>
      </c>
      <c r="F475" s="2" t="str">
        <f t="shared" si="37"/>
        <v>Oct</v>
      </c>
      <c r="G475" s="1">
        <f t="shared" si="38"/>
        <v>10</v>
      </c>
      <c r="H475" s="1">
        <f t="shared" si="35"/>
        <v>5</v>
      </c>
      <c r="I475" s="1" t="s">
        <v>25</v>
      </c>
      <c r="J475" s="1" t="s">
        <v>2520</v>
      </c>
      <c r="K475" s="1" t="s">
        <v>2521</v>
      </c>
      <c r="L475" s="1" t="s">
        <v>28</v>
      </c>
      <c r="M475" s="1" t="s">
        <v>29</v>
      </c>
      <c r="N475" s="1" t="s">
        <v>150</v>
      </c>
      <c r="O475" s="1" t="s">
        <v>31</v>
      </c>
      <c r="P475" s="1">
        <v>77036</v>
      </c>
      <c r="Q475" s="1" t="s">
        <v>32</v>
      </c>
      <c r="R475" s="1" t="s">
        <v>2522</v>
      </c>
      <c r="S475" s="1" t="s">
        <v>34</v>
      </c>
      <c r="T475" s="1" t="s">
        <v>35</v>
      </c>
      <c r="U475" s="1" t="s">
        <v>2523</v>
      </c>
      <c r="V475" s="3">
        <v>3.44</v>
      </c>
      <c r="W475" s="1" t="str">
        <f t="shared" si="39"/>
        <v>Slow Delivery</v>
      </c>
    </row>
    <row r="476" spans="1:23" x14ac:dyDescent="0.25">
      <c r="A476" s="1">
        <v>8134</v>
      </c>
      <c r="B476" s="2" t="s">
        <v>2524</v>
      </c>
      <c r="C476" s="2">
        <v>42651</v>
      </c>
      <c r="D476" s="2">
        <v>42656</v>
      </c>
      <c r="E476" s="1">
        <f t="shared" si="36"/>
        <v>2016</v>
      </c>
      <c r="F476" s="2" t="str">
        <f t="shared" si="37"/>
        <v>Oct</v>
      </c>
      <c r="G476" s="1">
        <f t="shared" si="38"/>
        <v>10</v>
      </c>
      <c r="H476" s="1">
        <f t="shared" si="35"/>
        <v>5</v>
      </c>
      <c r="I476" s="1" t="s">
        <v>25</v>
      </c>
      <c r="J476" s="1" t="s">
        <v>2525</v>
      </c>
      <c r="K476" s="1" t="s">
        <v>2526</v>
      </c>
      <c r="L476" s="1" t="s">
        <v>51</v>
      </c>
      <c r="M476" s="1" t="s">
        <v>29</v>
      </c>
      <c r="N476" s="1" t="s">
        <v>750</v>
      </c>
      <c r="O476" s="1" t="s">
        <v>31</v>
      </c>
      <c r="P476" s="1">
        <v>75081</v>
      </c>
      <c r="Q476" s="1" t="s">
        <v>32</v>
      </c>
      <c r="R476" s="1" t="s">
        <v>2527</v>
      </c>
      <c r="S476" s="1" t="s">
        <v>45</v>
      </c>
      <c r="T476" s="1" t="s">
        <v>46</v>
      </c>
      <c r="U476" s="1" t="s">
        <v>2528</v>
      </c>
      <c r="V476" s="3">
        <v>72.78</v>
      </c>
      <c r="W476" s="1" t="str">
        <f t="shared" si="39"/>
        <v>Slow Delivery</v>
      </c>
    </row>
    <row r="477" spans="1:23" x14ac:dyDescent="0.25">
      <c r="A477" s="1">
        <v>7312</v>
      </c>
      <c r="B477" s="2" t="s">
        <v>2529</v>
      </c>
      <c r="C477" s="2">
        <v>42652</v>
      </c>
      <c r="D477" s="2">
        <v>42656</v>
      </c>
      <c r="E477" s="1">
        <f t="shared" si="36"/>
        <v>2016</v>
      </c>
      <c r="F477" s="2" t="str">
        <f t="shared" si="37"/>
        <v>Oct</v>
      </c>
      <c r="G477" s="1">
        <f t="shared" si="38"/>
        <v>10</v>
      </c>
      <c r="H477" s="1">
        <f t="shared" si="35"/>
        <v>4</v>
      </c>
      <c r="I477" s="1" t="s">
        <v>25</v>
      </c>
      <c r="J477" s="1" t="s">
        <v>2530</v>
      </c>
      <c r="K477" s="1" t="s">
        <v>2531</v>
      </c>
      <c r="L477" s="1" t="s">
        <v>28</v>
      </c>
      <c r="M477" s="1" t="s">
        <v>29</v>
      </c>
      <c r="N477" s="1" t="s">
        <v>236</v>
      </c>
      <c r="O477" s="1" t="s">
        <v>190</v>
      </c>
      <c r="P477" s="1">
        <v>33178</v>
      </c>
      <c r="Q477" s="1" t="s">
        <v>54</v>
      </c>
      <c r="R477" s="1" t="s">
        <v>2532</v>
      </c>
      <c r="S477" s="1" t="s">
        <v>34</v>
      </c>
      <c r="T477" s="1" t="s">
        <v>109</v>
      </c>
      <c r="U477" s="1" t="s">
        <v>2533</v>
      </c>
      <c r="V477" s="3">
        <v>1.8720000000000001</v>
      </c>
      <c r="W477" s="1" t="str">
        <f t="shared" si="39"/>
        <v>Slow Delivery</v>
      </c>
    </row>
    <row r="478" spans="1:23" x14ac:dyDescent="0.25">
      <c r="A478" s="1">
        <v>9263</v>
      </c>
      <c r="B478" s="2" t="s">
        <v>2534</v>
      </c>
      <c r="C478" s="2">
        <v>42652</v>
      </c>
      <c r="D478" s="2">
        <v>42656</v>
      </c>
      <c r="E478" s="1">
        <f t="shared" si="36"/>
        <v>2016</v>
      </c>
      <c r="F478" s="2" t="str">
        <f t="shared" si="37"/>
        <v>Oct</v>
      </c>
      <c r="G478" s="1">
        <f t="shared" si="38"/>
        <v>10</v>
      </c>
      <c r="H478" s="1">
        <f t="shared" si="35"/>
        <v>4</v>
      </c>
      <c r="I478" s="1" t="s">
        <v>25</v>
      </c>
      <c r="J478" s="1" t="s">
        <v>2535</v>
      </c>
      <c r="K478" s="1" t="s">
        <v>2536</v>
      </c>
      <c r="L478" s="1" t="s">
        <v>28</v>
      </c>
      <c r="M478" s="1" t="s">
        <v>29</v>
      </c>
      <c r="N478" s="1" t="s">
        <v>534</v>
      </c>
      <c r="O478" s="1" t="s">
        <v>172</v>
      </c>
      <c r="P478" s="1">
        <v>48227</v>
      </c>
      <c r="Q478" s="1" t="s">
        <v>32</v>
      </c>
      <c r="R478" s="1" t="s">
        <v>2537</v>
      </c>
      <c r="S478" s="1" t="s">
        <v>45</v>
      </c>
      <c r="T478" s="1" t="s">
        <v>89</v>
      </c>
      <c r="U478" s="1" t="s">
        <v>2538</v>
      </c>
      <c r="V478" s="3">
        <v>389.97</v>
      </c>
      <c r="W478" s="1" t="str">
        <f t="shared" si="39"/>
        <v>Slow Delivery</v>
      </c>
    </row>
    <row r="479" spans="1:23" x14ac:dyDescent="0.25">
      <c r="A479" s="1">
        <v>2117</v>
      </c>
      <c r="B479" s="2" t="s">
        <v>2539</v>
      </c>
      <c r="C479" s="2">
        <v>42655</v>
      </c>
      <c r="D479" s="2">
        <v>42660</v>
      </c>
      <c r="E479" s="1">
        <f t="shared" si="36"/>
        <v>2016</v>
      </c>
      <c r="F479" s="2" t="str">
        <f t="shared" si="37"/>
        <v>Oct</v>
      </c>
      <c r="G479" s="1">
        <f t="shared" si="38"/>
        <v>10</v>
      </c>
      <c r="H479" s="1">
        <f t="shared" si="35"/>
        <v>5</v>
      </c>
      <c r="I479" s="1" t="s">
        <v>83</v>
      </c>
      <c r="J479" s="1" t="s">
        <v>2540</v>
      </c>
      <c r="K479" s="1" t="s">
        <v>2541</v>
      </c>
      <c r="L479" s="1" t="s">
        <v>28</v>
      </c>
      <c r="M479" s="1" t="s">
        <v>29</v>
      </c>
      <c r="N479" s="1" t="s">
        <v>1296</v>
      </c>
      <c r="O479" s="1" t="s">
        <v>115</v>
      </c>
      <c r="P479" s="1">
        <v>14609</v>
      </c>
      <c r="Q479" s="1" t="s">
        <v>43</v>
      </c>
      <c r="R479" s="1" t="s">
        <v>1693</v>
      </c>
      <c r="S479" s="1" t="s">
        <v>45</v>
      </c>
      <c r="T479" s="1" t="s">
        <v>329</v>
      </c>
      <c r="U479" s="1" t="s">
        <v>1694</v>
      </c>
      <c r="V479" s="3">
        <v>209.67</v>
      </c>
      <c r="W479" s="1" t="str">
        <f t="shared" si="39"/>
        <v>Slow Delivery</v>
      </c>
    </row>
    <row r="480" spans="1:23" x14ac:dyDescent="0.25">
      <c r="A480" s="1">
        <v>6390</v>
      </c>
      <c r="B480" s="2" t="s">
        <v>2542</v>
      </c>
      <c r="C480" s="2">
        <v>42407</v>
      </c>
      <c r="D480" s="2">
        <v>42411</v>
      </c>
      <c r="E480" s="1">
        <f t="shared" si="36"/>
        <v>2016</v>
      </c>
      <c r="F480" s="2" t="str">
        <f t="shared" si="37"/>
        <v>Feb</v>
      </c>
      <c r="G480" s="1">
        <f t="shared" si="38"/>
        <v>2</v>
      </c>
      <c r="H480" s="1">
        <f t="shared" si="35"/>
        <v>4</v>
      </c>
      <c r="I480" s="1" t="s">
        <v>25</v>
      </c>
      <c r="J480" s="1" t="s">
        <v>2543</v>
      </c>
      <c r="K480" s="1" t="s">
        <v>2544</v>
      </c>
      <c r="L480" s="1" t="s">
        <v>51</v>
      </c>
      <c r="M480" s="1" t="s">
        <v>29</v>
      </c>
      <c r="N480" s="1" t="s">
        <v>52</v>
      </c>
      <c r="O480" s="1" t="s">
        <v>53</v>
      </c>
      <c r="P480" s="1">
        <v>22153</v>
      </c>
      <c r="Q480" s="1" t="s">
        <v>54</v>
      </c>
      <c r="R480" s="1" t="s">
        <v>800</v>
      </c>
      <c r="S480" s="1" t="s">
        <v>34</v>
      </c>
      <c r="T480" s="1" t="s">
        <v>426</v>
      </c>
      <c r="U480" s="1" t="s">
        <v>801</v>
      </c>
      <c r="V480" s="3">
        <v>311.14999999999998</v>
      </c>
      <c r="W480" s="1" t="str">
        <f t="shared" si="39"/>
        <v>Slow Delivery</v>
      </c>
    </row>
    <row r="481" spans="1:23" x14ac:dyDescent="0.25">
      <c r="A481" s="1">
        <v>7370</v>
      </c>
      <c r="B481" s="2" t="s">
        <v>2545</v>
      </c>
      <c r="C481" s="2">
        <v>42438</v>
      </c>
      <c r="D481" s="2">
        <v>42440</v>
      </c>
      <c r="E481" s="1">
        <f t="shared" si="36"/>
        <v>2016</v>
      </c>
      <c r="F481" s="2" t="str">
        <f t="shared" si="37"/>
        <v>Mar</v>
      </c>
      <c r="G481" s="1">
        <f t="shared" si="38"/>
        <v>3</v>
      </c>
      <c r="H481" s="1">
        <f t="shared" si="35"/>
        <v>2</v>
      </c>
      <c r="I481" s="1" t="s">
        <v>83</v>
      </c>
      <c r="J481" s="1" t="s">
        <v>2546</v>
      </c>
      <c r="K481" s="1" t="s">
        <v>2547</v>
      </c>
      <c r="L481" s="1" t="s">
        <v>28</v>
      </c>
      <c r="M481" s="1" t="s">
        <v>29</v>
      </c>
      <c r="N481" s="1" t="s">
        <v>1875</v>
      </c>
      <c r="O481" s="1" t="s">
        <v>320</v>
      </c>
      <c r="P481" s="1">
        <v>27604</v>
      </c>
      <c r="Q481" s="1" t="s">
        <v>54</v>
      </c>
      <c r="R481" s="1" t="s">
        <v>121</v>
      </c>
      <c r="S481" s="1" t="s">
        <v>34</v>
      </c>
      <c r="T481" s="1" t="s">
        <v>56</v>
      </c>
      <c r="U481" s="1" t="s">
        <v>122</v>
      </c>
      <c r="V481" s="3">
        <v>4.6079999999999997</v>
      </c>
      <c r="W481" s="1" t="str">
        <f t="shared" si="39"/>
        <v>Fast Delivery</v>
      </c>
    </row>
    <row r="482" spans="1:23" x14ac:dyDescent="0.25">
      <c r="A482" s="1">
        <v>7646</v>
      </c>
      <c r="B482" s="2" t="s">
        <v>2548</v>
      </c>
      <c r="C482" s="2">
        <v>42465</v>
      </c>
      <c r="D482" s="2">
        <v>42471</v>
      </c>
      <c r="E482" s="1">
        <f t="shared" si="36"/>
        <v>2016</v>
      </c>
      <c r="F482" s="2" t="str">
        <f t="shared" si="37"/>
        <v>Apr</v>
      </c>
      <c r="G482" s="1">
        <f t="shared" si="38"/>
        <v>4</v>
      </c>
      <c r="H482" s="1">
        <f t="shared" si="35"/>
        <v>6</v>
      </c>
      <c r="I482" s="1" t="s">
        <v>25</v>
      </c>
      <c r="J482" s="1" t="s">
        <v>2549</v>
      </c>
      <c r="K482" s="1" t="s">
        <v>2550</v>
      </c>
      <c r="L482" s="1" t="s">
        <v>51</v>
      </c>
      <c r="M482" s="1" t="s">
        <v>29</v>
      </c>
      <c r="N482" s="1" t="s">
        <v>132</v>
      </c>
      <c r="O482" s="1" t="s">
        <v>106</v>
      </c>
      <c r="P482" s="1">
        <v>90036</v>
      </c>
      <c r="Q482" s="1" t="s">
        <v>107</v>
      </c>
      <c r="R482" s="1" t="s">
        <v>2049</v>
      </c>
      <c r="S482" s="1" t="s">
        <v>45</v>
      </c>
      <c r="T482" s="1" t="s">
        <v>89</v>
      </c>
      <c r="U482" s="1" t="s">
        <v>2050</v>
      </c>
      <c r="V482" s="3">
        <v>892.22400000000005</v>
      </c>
      <c r="W482" s="1" t="str">
        <f t="shared" si="39"/>
        <v>Slow Delivery</v>
      </c>
    </row>
    <row r="483" spans="1:23" x14ac:dyDescent="0.25">
      <c r="A483" s="1">
        <v>6595</v>
      </c>
      <c r="B483" s="2" t="s">
        <v>2551</v>
      </c>
      <c r="C483" s="2">
        <v>42494</v>
      </c>
      <c r="D483" s="2">
        <v>42501</v>
      </c>
      <c r="E483" s="1">
        <f t="shared" si="36"/>
        <v>2016</v>
      </c>
      <c r="F483" s="2" t="str">
        <f t="shared" si="37"/>
        <v>May</v>
      </c>
      <c r="G483" s="1">
        <f t="shared" si="38"/>
        <v>5</v>
      </c>
      <c r="H483" s="1">
        <f t="shared" si="35"/>
        <v>7</v>
      </c>
      <c r="I483" s="1" t="s">
        <v>25</v>
      </c>
      <c r="J483" s="1" t="s">
        <v>2552</v>
      </c>
      <c r="K483" s="1" t="s">
        <v>2553</v>
      </c>
      <c r="L483" s="1" t="s">
        <v>51</v>
      </c>
      <c r="M483" s="1" t="s">
        <v>29</v>
      </c>
      <c r="N483" s="1" t="s">
        <v>2554</v>
      </c>
      <c r="O483" s="1" t="s">
        <v>2094</v>
      </c>
      <c r="P483" s="1">
        <v>46203</v>
      </c>
      <c r="Q483" s="1" t="s">
        <v>32</v>
      </c>
      <c r="R483" s="1" t="s">
        <v>756</v>
      </c>
      <c r="S483" s="1" t="s">
        <v>34</v>
      </c>
      <c r="T483" s="1" t="s">
        <v>35</v>
      </c>
      <c r="U483" s="1" t="s">
        <v>757</v>
      </c>
      <c r="V483" s="3">
        <v>125.93</v>
      </c>
      <c r="W483" s="1" t="str">
        <f t="shared" si="39"/>
        <v>Slow Delivery</v>
      </c>
    </row>
    <row r="484" spans="1:23" x14ac:dyDescent="0.25">
      <c r="A484" s="1">
        <v>5671</v>
      </c>
      <c r="B484" s="2" t="s">
        <v>2555</v>
      </c>
      <c r="C484" s="2">
        <v>42530</v>
      </c>
      <c r="D484" s="2">
        <v>42532</v>
      </c>
      <c r="E484" s="1">
        <f t="shared" si="36"/>
        <v>2016</v>
      </c>
      <c r="F484" s="2" t="str">
        <f t="shared" si="37"/>
        <v>Jun</v>
      </c>
      <c r="G484" s="1">
        <f t="shared" si="38"/>
        <v>6</v>
      </c>
      <c r="H484" s="1">
        <f t="shared" si="35"/>
        <v>2</v>
      </c>
      <c r="I484" s="1" t="s">
        <v>83</v>
      </c>
      <c r="J484" s="1" t="s">
        <v>2556</v>
      </c>
      <c r="K484" s="1" t="s">
        <v>2557</v>
      </c>
      <c r="L484" s="1" t="s">
        <v>28</v>
      </c>
      <c r="M484" s="1" t="s">
        <v>29</v>
      </c>
      <c r="N484" s="1" t="s">
        <v>2558</v>
      </c>
      <c r="O484" s="1" t="s">
        <v>249</v>
      </c>
      <c r="P484" s="1">
        <v>83201</v>
      </c>
      <c r="Q484" s="1" t="s">
        <v>107</v>
      </c>
      <c r="R484" s="1" t="s">
        <v>915</v>
      </c>
      <c r="S484" s="1" t="s">
        <v>45</v>
      </c>
      <c r="T484" s="1" t="s">
        <v>46</v>
      </c>
      <c r="U484" s="1" t="s">
        <v>916</v>
      </c>
      <c r="V484" s="3">
        <v>355.36</v>
      </c>
      <c r="W484" s="1" t="str">
        <f t="shared" si="39"/>
        <v>Fast Delivery</v>
      </c>
    </row>
    <row r="485" spans="1:23" x14ac:dyDescent="0.25">
      <c r="A485" s="1">
        <v>5164</v>
      </c>
      <c r="B485" s="2" t="s">
        <v>2559</v>
      </c>
      <c r="C485" s="2">
        <v>42557</v>
      </c>
      <c r="D485" s="2">
        <v>42562</v>
      </c>
      <c r="E485" s="1">
        <f t="shared" si="36"/>
        <v>2016</v>
      </c>
      <c r="F485" s="2" t="str">
        <f t="shared" si="37"/>
        <v>Jul</v>
      </c>
      <c r="G485" s="1">
        <f t="shared" si="38"/>
        <v>7</v>
      </c>
      <c r="H485" s="1">
        <f t="shared" si="35"/>
        <v>5</v>
      </c>
      <c r="I485" s="1" t="s">
        <v>25</v>
      </c>
      <c r="J485" s="1" t="s">
        <v>2560</v>
      </c>
      <c r="K485" s="1" t="s">
        <v>2561</v>
      </c>
      <c r="L485" s="1" t="s">
        <v>28</v>
      </c>
      <c r="M485" s="1" t="s">
        <v>29</v>
      </c>
      <c r="N485" s="1" t="s">
        <v>1448</v>
      </c>
      <c r="O485" s="1" t="s">
        <v>106</v>
      </c>
      <c r="P485" s="1">
        <v>91104</v>
      </c>
      <c r="Q485" s="1" t="s">
        <v>107</v>
      </c>
      <c r="R485" s="1" t="s">
        <v>2562</v>
      </c>
      <c r="S485" s="1" t="s">
        <v>45</v>
      </c>
      <c r="T485" s="1" t="s">
        <v>89</v>
      </c>
      <c r="U485" s="1" t="s">
        <v>2563</v>
      </c>
      <c r="V485" s="3">
        <v>170.352</v>
      </c>
      <c r="W485" s="1" t="str">
        <f t="shared" si="39"/>
        <v>Slow Delivery</v>
      </c>
    </row>
    <row r="486" spans="1:23" x14ac:dyDescent="0.25">
      <c r="A486" s="1">
        <v>4466</v>
      </c>
      <c r="B486" s="2" t="s">
        <v>2564</v>
      </c>
      <c r="C486" s="2">
        <v>42589</v>
      </c>
      <c r="D486" s="2">
        <v>42593</v>
      </c>
      <c r="E486" s="1">
        <f t="shared" si="36"/>
        <v>2016</v>
      </c>
      <c r="F486" s="2" t="str">
        <f t="shared" si="37"/>
        <v>Aug</v>
      </c>
      <c r="G486" s="1">
        <f t="shared" si="38"/>
        <v>8</v>
      </c>
      <c r="H486" s="1">
        <f t="shared" si="35"/>
        <v>4</v>
      </c>
      <c r="I486" s="1" t="s">
        <v>25</v>
      </c>
      <c r="J486" s="1" t="s">
        <v>2565</v>
      </c>
      <c r="K486" s="1" t="s">
        <v>2566</v>
      </c>
      <c r="L486" s="1" t="s">
        <v>51</v>
      </c>
      <c r="M486" s="1" t="s">
        <v>29</v>
      </c>
      <c r="N486" s="1" t="s">
        <v>2567</v>
      </c>
      <c r="O486" s="1" t="s">
        <v>249</v>
      </c>
      <c r="P486" s="1">
        <v>83704</v>
      </c>
      <c r="Q486" s="1" t="s">
        <v>107</v>
      </c>
      <c r="R486" s="1" t="s">
        <v>2568</v>
      </c>
      <c r="S486" s="1" t="s">
        <v>34</v>
      </c>
      <c r="T486" s="1" t="s">
        <v>109</v>
      </c>
      <c r="U486" s="1" t="s">
        <v>2569</v>
      </c>
      <c r="V486" s="3">
        <v>3.3039999999999998</v>
      </c>
      <c r="W486" s="1" t="str">
        <f t="shared" si="39"/>
        <v>Slow Delivery</v>
      </c>
    </row>
    <row r="487" spans="1:23" x14ac:dyDescent="0.25">
      <c r="A487" s="1">
        <v>4488</v>
      </c>
      <c r="B487" s="2" t="s">
        <v>2570</v>
      </c>
      <c r="C487" s="2">
        <v>42618</v>
      </c>
      <c r="D487" s="2">
        <v>42624</v>
      </c>
      <c r="E487" s="1">
        <f t="shared" si="36"/>
        <v>2016</v>
      </c>
      <c r="F487" s="2" t="str">
        <f t="shared" si="37"/>
        <v>Sep</v>
      </c>
      <c r="G487" s="1">
        <f t="shared" si="38"/>
        <v>9</v>
      </c>
      <c r="H487" s="1">
        <f t="shared" si="35"/>
        <v>6</v>
      </c>
      <c r="I487" s="1" t="s">
        <v>25</v>
      </c>
      <c r="J487" s="1" t="s">
        <v>2571</v>
      </c>
      <c r="K487" s="1" t="s">
        <v>2572</v>
      </c>
      <c r="L487" s="1" t="s">
        <v>131</v>
      </c>
      <c r="M487" s="1" t="s">
        <v>29</v>
      </c>
      <c r="N487" s="1" t="s">
        <v>150</v>
      </c>
      <c r="O487" s="1" t="s">
        <v>31</v>
      </c>
      <c r="P487" s="1">
        <v>77036</v>
      </c>
      <c r="Q487" s="1" t="s">
        <v>32</v>
      </c>
      <c r="R487" s="1" t="s">
        <v>1403</v>
      </c>
      <c r="S487" s="1" t="s">
        <v>34</v>
      </c>
      <c r="T487" s="1" t="s">
        <v>109</v>
      </c>
      <c r="U487" s="1" t="s">
        <v>1404</v>
      </c>
      <c r="V487" s="3">
        <v>16.27</v>
      </c>
      <c r="W487" s="1" t="str">
        <f t="shared" si="39"/>
        <v>Slow Delivery</v>
      </c>
    </row>
    <row r="488" spans="1:23" x14ac:dyDescent="0.25">
      <c r="A488" s="1">
        <v>2806</v>
      </c>
      <c r="B488" s="2" t="s">
        <v>2573</v>
      </c>
      <c r="C488" s="2">
        <v>42620</v>
      </c>
      <c r="D488" s="2">
        <v>42624</v>
      </c>
      <c r="E488" s="1">
        <f t="shared" si="36"/>
        <v>2016</v>
      </c>
      <c r="F488" s="2" t="str">
        <f t="shared" si="37"/>
        <v>Sep</v>
      </c>
      <c r="G488" s="1">
        <f t="shared" si="38"/>
        <v>9</v>
      </c>
      <c r="H488" s="1">
        <f t="shared" si="35"/>
        <v>4</v>
      </c>
      <c r="I488" s="1" t="s">
        <v>25</v>
      </c>
      <c r="J488" s="1" t="s">
        <v>2574</v>
      </c>
      <c r="K488" s="1" t="s">
        <v>2575</v>
      </c>
      <c r="L488" s="1" t="s">
        <v>28</v>
      </c>
      <c r="M488" s="1" t="s">
        <v>29</v>
      </c>
      <c r="N488" s="1" t="s">
        <v>286</v>
      </c>
      <c r="O488" s="1" t="s">
        <v>31</v>
      </c>
      <c r="P488" s="1">
        <v>79907</v>
      </c>
      <c r="Q488" s="1" t="s">
        <v>32</v>
      </c>
      <c r="R488" s="1" t="s">
        <v>2576</v>
      </c>
      <c r="S488" s="1" t="s">
        <v>45</v>
      </c>
      <c r="T488" s="1" t="s">
        <v>89</v>
      </c>
      <c r="U488" s="1" t="s">
        <v>2577</v>
      </c>
      <c r="V488" s="3">
        <v>47.515999999999998</v>
      </c>
      <c r="W488" s="1" t="str">
        <f t="shared" si="39"/>
        <v>Slow Delivery</v>
      </c>
    </row>
    <row r="489" spans="1:23" x14ac:dyDescent="0.25">
      <c r="A489" s="1">
        <v>6048</v>
      </c>
      <c r="B489" s="2" t="s">
        <v>2578</v>
      </c>
      <c r="C489" s="2">
        <v>42681</v>
      </c>
      <c r="D489" s="2">
        <v>42685</v>
      </c>
      <c r="E489" s="1">
        <f t="shared" si="36"/>
        <v>2016</v>
      </c>
      <c r="F489" s="2" t="str">
        <f t="shared" si="37"/>
        <v>Nov</v>
      </c>
      <c r="G489" s="1">
        <f t="shared" si="38"/>
        <v>11</v>
      </c>
      <c r="H489" s="1">
        <f t="shared" si="35"/>
        <v>4</v>
      </c>
      <c r="I489" s="1" t="s">
        <v>25</v>
      </c>
      <c r="J489" s="1" t="s">
        <v>2579</v>
      </c>
      <c r="K489" s="1" t="s">
        <v>2580</v>
      </c>
      <c r="L489" s="1" t="s">
        <v>51</v>
      </c>
      <c r="M489" s="1" t="s">
        <v>29</v>
      </c>
      <c r="N489" s="1" t="s">
        <v>236</v>
      </c>
      <c r="O489" s="1" t="s">
        <v>190</v>
      </c>
      <c r="P489" s="1">
        <v>33142</v>
      </c>
      <c r="Q489" s="1" t="s">
        <v>54</v>
      </c>
      <c r="R489" s="1" t="s">
        <v>2581</v>
      </c>
      <c r="S489" s="1" t="s">
        <v>34</v>
      </c>
      <c r="T489" s="1" t="s">
        <v>109</v>
      </c>
      <c r="U489" s="1" t="s">
        <v>2582</v>
      </c>
      <c r="V489" s="3">
        <v>16.146000000000001</v>
      </c>
      <c r="W489" s="1" t="str">
        <f t="shared" si="39"/>
        <v>Slow Delivery</v>
      </c>
    </row>
    <row r="490" spans="1:23" x14ac:dyDescent="0.25">
      <c r="A490" s="1">
        <v>1522</v>
      </c>
      <c r="B490" s="2" t="s">
        <v>2583</v>
      </c>
      <c r="C490" s="2">
        <v>42710</v>
      </c>
      <c r="D490" s="2">
        <v>42715</v>
      </c>
      <c r="E490" s="1">
        <f t="shared" si="36"/>
        <v>2016</v>
      </c>
      <c r="F490" s="2" t="str">
        <f t="shared" si="37"/>
        <v>Dec</v>
      </c>
      <c r="G490" s="1">
        <f t="shared" si="38"/>
        <v>12</v>
      </c>
      <c r="H490" s="1">
        <f t="shared" si="35"/>
        <v>5</v>
      </c>
      <c r="I490" s="1" t="s">
        <v>25</v>
      </c>
      <c r="J490" s="1" t="s">
        <v>2584</v>
      </c>
      <c r="K490" s="1" t="s">
        <v>2585</v>
      </c>
      <c r="L490" s="1" t="s">
        <v>28</v>
      </c>
      <c r="M490" s="1" t="s">
        <v>29</v>
      </c>
      <c r="N490" s="1" t="s">
        <v>2586</v>
      </c>
      <c r="O490" s="1" t="s">
        <v>229</v>
      </c>
      <c r="P490" s="1">
        <v>85705</v>
      </c>
      <c r="Q490" s="1" t="s">
        <v>107</v>
      </c>
      <c r="R490" s="1" t="s">
        <v>2587</v>
      </c>
      <c r="S490" s="1" t="s">
        <v>45</v>
      </c>
      <c r="T490" s="1" t="s">
        <v>46</v>
      </c>
      <c r="U490" s="1" t="s">
        <v>2588</v>
      </c>
      <c r="V490" s="3">
        <v>206.11199999999999</v>
      </c>
      <c r="W490" s="1" t="str">
        <f t="shared" si="39"/>
        <v>Slow Delivery</v>
      </c>
    </row>
    <row r="491" spans="1:23" x14ac:dyDescent="0.25">
      <c r="A491" s="1">
        <v>2379</v>
      </c>
      <c r="B491" s="2" t="s">
        <v>2589</v>
      </c>
      <c r="C491" s="2">
        <v>42710</v>
      </c>
      <c r="D491" s="2">
        <v>42715</v>
      </c>
      <c r="E491" s="1">
        <f t="shared" si="36"/>
        <v>2016</v>
      </c>
      <c r="F491" s="2" t="str">
        <f t="shared" si="37"/>
        <v>Dec</v>
      </c>
      <c r="G491" s="1">
        <f t="shared" si="38"/>
        <v>12</v>
      </c>
      <c r="H491" s="1">
        <f t="shared" si="35"/>
        <v>5</v>
      </c>
      <c r="I491" s="1" t="s">
        <v>25</v>
      </c>
      <c r="J491" s="1" t="s">
        <v>2590</v>
      </c>
      <c r="K491" s="1" t="s">
        <v>2591</v>
      </c>
      <c r="L491" s="1" t="s">
        <v>131</v>
      </c>
      <c r="M491" s="1" t="s">
        <v>29</v>
      </c>
      <c r="N491" s="1" t="s">
        <v>2592</v>
      </c>
      <c r="O491" s="1" t="s">
        <v>106</v>
      </c>
      <c r="P491" s="1">
        <v>91360</v>
      </c>
      <c r="Q491" s="1" t="s">
        <v>107</v>
      </c>
      <c r="R491" s="1" t="s">
        <v>2593</v>
      </c>
      <c r="S491" s="1" t="s">
        <v>34</v>
      </c>
      <c r="T491" s="1" t="s">
        <v>174</v>
      </c>
      <c r="U491" s="1" t="s">
        <v>2594</v>
      </c>
      <c r="V491" s="3">
        <v>32.75</v>
      </c>
      <c r="W491" s="1" t="str">
        <f t="shared" si="39"/>
        <v>Slow Delivery</v>
      </c>
    </row>
    <row r="492" spans="1:23" x14ac:dyDescent="0.25">
      <c r="A492" s="1">
        <v>5609</v>
      </c>
      <c r="B492" s="2" t="s">
        <v>2595</v>
      </c>
      <c r="C492" s="2">
        <v>42710</v>
      </c>
      <c r="D492" s="2">
        <v>42715</v>
      </c>
      <c r="E492" s="1">
        <f t="shared" si="36"/>
        <v>2016</v>
      </c>
      <c r="F492" s="2" t="str">
        <f t="shared" si="37"/>
        <v>Dec</v>
      </c>
      <c r="G492" s="1">
        <f t="shared" si="38"/>
        <v>12</v>
      </c>
      <c r="H492" s="1">
        <f t="shared" si="35"/>
        <v>5</v>
      </c>
      <c r="I492" s="1" t="s">
        <v>25</v>
      </c>
      <c r="J492" s="1" t="s">
        <v>2596</v>
      </c>
      <c r="K492" s="1" t="s">
        <v>2597</v>
      </c>
      <c r="L492" s="1" t="s">
        <v>28</v>
      </c>
      <c r="M492" s="1" t="s">
        <v>29</v>
      </c>
      <c r="N492" s="1" t="s">
        <v>105</v>
      </c>
      <c r="O492" s="1" t="s">
        <v>106</v>
      </c>
      <c r="P492" s="1">
        <v>94109</v>
      </c>
      <c r="Q492" s="1" t="s">
        <v>107</v>
      </c>
      <c r="R492" s="1" t="s">
        <v>2598</v>
      </c>
      <c r="S492" s="1" t="s">
        <v>34</v>
      </c>
      <c r="T492" s="1" t="s">
        <v>74</v>
      </c>
      <c r="U492" s="1" t="s">
        <v>2599</v>
      </c>
      <c r="V492" s="3">
        <v>7.78</v>
      </c>
      <c r="W492" s="1" t="str">
        <f t="shared" si="39"/>
        <v>Slow Delivery</v>
      </c>
    </row>
    <row r="493" spans="1:23" x14ac:dyDescent="0.25">
      <c r="A493" s="1">
        <v>1756</v>
      </c>
      <c r="B493" s="2" t="s">
        <v>2600</v>
      </c>
      <c r="C493" s="2">
        <v>42712</v>
      </c>
      <c r="D493" s="2">
        <v>42715</v>
      </c>
      <c r="E493" s="1">
        <f t="shared" si="36"/>
        <v>2016</v>
      </c>
      <c r="F493" s="2" t="str">
        <f t="shared" si="37"/>
        <v>Dec</v>
      </c>
      <c r="G493" s="1">
        <f t="shared" si="38"/>
        <v>12</v>
      </c>
      <c r="H493" s="1">
        <f t="shared" si="35"/>
        <v>3</v>
      </c>
      <c r="I493" s="1" t="s">
        <v>83</v>
      </c>
      <c r="J493" s="1" t="s">
        <v>2601</v>
      </c>
      <c r="K493" s="1" t="s">
        <v>2602</v>
      </c>
      <c r="L493" s="1" t="s">
        <v>131</v>
      </c>
      <c r="M493" s="1" t="s">
        <v>29</v>
      </c>
      <c r="N493" s="1" t="s">
        <v>453</v>
      </c>
      <c r="O493" s="1" t="s">
        <v>31</v>
      </c>
      <c r="P493" s="1">
        <v>76106</v>
      </c>
      <c r="Q493" s="1" t="s">
        <v>32</v>
      </c>
      <c r="R493" s="1" t="s">
        <v>2603</v>
      </c>
      <c r="S493" s="1" t="s">
        <v>34</v>
      </c>
      <c r="T493" s="1" t="s">
        <v>174</v>
      </c>
      <c r="U493" s="1" t="s">
        <v>2604</v>
      </c>
      <c r="V493" s="3">
        <v>360.71199999999999</v>
      </c>
      <c r="W493" s="1" t="str">
        <f t="shared" si="39"/>
        <v>Fast Delivery</v>
      </c>
    </row>
    <row r="494" spans="1:23" x14ac:dyDescent="0.25">
      <c r="A494" s="1">
        <v>2012</v>
      </c>
      <c r="B494" s="2" t="s">
        <v>2605</v>
      </c>
      <c r="C494" s="2">
        <v>42715</v>
      </c>
      <c r="D494" s="2">
        <v>42715</v>
      </c>
      <c r="E494" s="1">
        <f t="shared" si="36"/>
        <v>2016</v>
      </c>
      <c r="F494" s="2" t="str">
        <f t="shared" si="37"/>
        <v>Dec</v>
      </c>
      <c r="G494" s="1">
        <f t="shared" si="38"/>
        <v>12</v>
      </c>
      <c r="H494" s="1">
        <f t="shared" si="35"/>
        <v>0</v>
      </c>
      <c r="I494" s="1" t="s">
        <v>68</v>
      </c>
      <c r="J494" s="1" t="s">
        <v>2606</v>
      </c>
      <c r="K494" s="1" t="s">
        <v>2607</v>
      </c>
      <c r="L494" s="1" t="s">
        <v>28</v>
      </c>
      <c r="M494" s="1" t="s">
        <v>29</v>
      </c>
      <c r="N494" s="1" t="s">
        <v>150</v>
      </c>
      <c r="O494" s="1" t="s">
        <v>31</v>
      </c>
      <c r="P494" s="1">
        <v>77041</v>
      </c>
      <c r="Q494" s="1" t="s">
        <v>32</v>
      </c>
      <c r="R494" s="1" t="s">
        <v>727</v>
      </c>
      <c r="S494" s="1" t="s">
        <v>64</v>
      </c>
      <c r="T494" s="1" t="s">
        <v>65</v>
      </c>
      <c r="U494" s="1" t="s">
        <v>728</v>
      </c>
      <c r="V494" s="3">
        <v>159.98400000000001</v>
      </c>
      <c r="W494" s="1" t="str">
        <f t="shared" si="39"/>
        <v>Fast Delivery</v>
      </c>
    </row>
    <row r="495" spans="1:23" x14ac:dyDescent="0.25">
      <c r="A495" s="1">
        <v>7905</v>
      </c>
      <c r="B495" s="2" t="s">
        <v>2608</v>
      </c>
      <c r="C495" s="2">
        <v>42681</v>
      </c>
      <c r="D495" s="2">
        <v>42687</v>
      </c>
      <c r="E495" s="1">
        <f t="shared" si="36"/>
        <v>2016</v>
      </c>
      <c r="F495" s="2" t="str">
        <f t="shared" si="37"/>
        <v>Nov</v>
      </c>
      <c r="G495" s="1">
        <f t="shared" si="38"/>
        <v>11</v>
      </c>
      <c r="H495" s="1">
        <f t="shared" si="35"/>
        <v>6</v>
      </c>
      <c r="I495" s="1" t="s">
        <v>25</v>
      </c>
      <c r="J495" s="1" t="s">
        <v>2609</v>
      </c>
      <c r="K495" s="1" t="s">
        <v>2610</v>
      </c>
      <c r="L495" s="1" t="s">
        <v>28</v>
      </c>
      <c r="M495" s="1" t="s">
        <v>29</v>
      </c>
      <c r="N495" s="1" t="s">
        <v>150</v>
      </c>
      <c r="O495" s="1" t="s">
        <v>31</v>
      </c>
      <c r="P495" s="1">
        <v>77036</v>
      </c>
      <c r="Q495" s="1" t="s">
        <v>32</v>
      </c>
      <c r="R495" s="1" t="s">
        <v>2611</v>
      </c>
      <c r="S495" s="1" t="s">
        <v>34</v>
      </c>
      <c r="T495" s="1" t="s">
        <v>174</v>
      </c>
      <c r="U495" s="1" t="s">
        <v>2612</v>
      </c>
      <c r="V495" s="3">
        <v>76.64</v>
      </c>
      <c r="W495" s="1" t="str">
        <f t="shared" si="39"/>
        <v>Slow Delivery</v>
      </c>
    </row>
    <row r="496" spans="1:23" x14ac:dyDescent="0.25">
      <c r="A496" s="1">
        <v>3025</v>
      </c>
      <c r="B496" s="2" t="s">
        <v>2613</v>
      </c>
      <c r="C496" s="2">
        <v>42682</v>
      </c>
      <c r="D496" s="2">
        <v>42687</v>
      </c>
      <c r="E496" s="1">
        <f t="shared" si="36"/>
        <v>2016</v>
      </c>
      <c r="F496" s="2" t="str">
        <f t="shared" si="37"/>
        <v>Nov</v>
      </c>
      <c r="G496" s="1">
        <f t="shared" si="38"/>
        <v>11</v>
      </c>
      <c r="H496" s="1">
        <f t="shared" si="35"/>
        <v>5</v>
      </c>
      <c r="I496" s="1" t="s">
        <v>25</v>
      </c>
      <c r="J496" s="1" t="s">
        <v>2614</v>
      </c>
      <c r="K496" s="1" t="s">
        <v>2615</v>
      </c>
      <c r="L496" s="1" t="s">
        <v>28</v>
      </c>
      <c r="M496" s="1" t="s">
        <v>29</v>
      </c>
      <c r="N496" s="1" t="s">
        <v>114</v>
      </c>
      <c r="O496" s="1" t="s">
        <v>115</v>
      </c>
      <c r="P496" s="1">
        <v>10011</v>
      </c>
      <c r="Q496" s="1" t="s">
        <v>43</v>
      </c>
      <c r="R496" s="1" t="s">
        <v>1881</v>
      </c>
      <c r="S496" s="1" t="s">
        <v>34</v>
      </c>
      <c r="T496" s="1" t="s">
        <v>109</v>
      </c>
      <c r="U496" s="1" t="s">
        <v>694</v>
      </c>
      <c r="V496" s="3">
        <v>52.271999999999998</v>
      </c>
      <c r="W496" s="1" t="str">
        <f t="shared" si="39"/>
        <v>Slow Delivery</v>
      </c>
    </row>
    <row r="497" spans="1:23" x14ac:dyDescent="0.25">
      <c r="A497" s="1">
        <v>4569</v>
      </c>
      <c r="B497" s="2" t="s">
        <v>2616</v>
      </c>
      <c r="C497" s="2">
        <v>42682</v>
      </c>
      <c r="D497" s="2">
        <v>42687</v>
      </c>
      <c r="E497" s="1">
        <f t="shared" si="36"/>
        <v>2016</v>
      </c>
      <c r="F497" s="2" t="str">
        <f t="shared" si="37"/>
        <v>Nov</v>
      </c>
      <c r="G497" s="1">
        <f t="shared" si="38"/>
        <v>11</v>
      </c>
      <c r="H497" s="1">
        <f t="shared" si="35"/>
        <v>5</v>
      </c>
      <c r="I497" s="1" t="s">
        <v>25</v>
      </c>
      <c r="J497" s="1" t="s">
        <v>2617</v>
      </c>
      <c r="K497" s="1" t="s">
        <v>2618</v>
      </c>
      <c r="L497" s="1" t="s">
        <v>28</v>
      </c>
      <c r="M497" s="1" t="s">
        <v>29</v>
      </c>
      <c r="N497" s="1" t="s">
        <v>150</v>
      </c>
      <c r="O497" s="1" t="s">
        <v>31</v>
      </c>
      <c r="P497" s="1">
        <v>77095</v>
      </c>
      <c r="Q497" s="1" t="s">
        <v>32</v>
      </c>
      <c r="R497" s="1" t="s">
        <v>2619</v>
      </c>
      <c r="S497" s="1" t="s">
        <v>34</v>
      </c>
      <c r="T497" s="1" t="s">
        <v>109</v>
      </c>
      <c r="U497" s="1" t="s">
        <v>2620</v>
      </c>
      <c r="V497" s="3">
        <v>10.476000000000001</v>
      </c>
      <c r="W497" s="1" t="str">
        <f t="shared" si="39"/>
        <v>Slow Delivery</v>
      </c>
    </row>
    <row r="498" spans="1:23" x14ac:dyDescent="0.25">
      <c r="A498" s="1">
        <v>1988</v>
      </c>
      <c r="B498" s="2" t="s">
        <v>2621</v>
      </c>
      <c r="C498" s="2">
        <v>42683</v>
      </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="shared" si="38"/>
        <v>11</v>
      </c>
      <c r="H498" s="1">
        <f t="shared" si="35"/>
        <v>4</v>
      </c>
      <c r="I498" s="1" t="s">
        <v>25</v>
      </c>
      <c r="J498" s="1" t="s">
        <v>2622</v>
      </c>
      <c r="K498" s="1" t="s">
        <v>2623</v>
      </c>
      <c r="L498" s="1" t="s">
        <v>28</v>
      </c>
      <c r="M498" s="1" t="s">
        <v>29</v>
      </c>
      <c r="N498" s="1" t="s">
        <v>52</v>
      </c>
      <c r="O498" s="1" t="s">
        <v>87</v>
      </c>
      <c r="P498" s="1">
        <v>65807</v>
      </c>
      <c r="Q498" s="1" t="s">
        <v>32</v>
      </c>
      <c r="R498" s="1" t="s">
        <v>2624</v>
      </c>
      <c r="S498" s="1" t="s">
        <v>34</v>
      </c>
      <c r="T498" s="1" t="s">
        <v>109</v>
      </c>
      <c r="U498" s="1" t="s">
        <v>2625</v>
      </c>
      <c r="V498" s="3">
        <v>17.22</v>
      </c>
      <c r="W498" s="1" t="str">
        <f t="shared" si="39"/>
        <v>Slow Delivery</v>
      </c>
    </row>
    <row r="499" spans="1:23" x14ac:dyDescent="0.25">
      <c r="A499" s="1">
        <v>6947</v>
      </c>
      <c r="B499" s="2" t="s">
        <v>2626</v>
      </c>
      <c r="C499" s="2">
        <v>42683</v>
      </c>
      <c r="D499" s="2">
        <v>42687</v>
      </c>
      <c r="E499" s="1">
        <f t="shared" si="36"/>
        <v>2016</v>
      </c>
      <c r="F499" s="2" t="str">
        <f t="shared" si="37"/>
        <v>Nov</v>
      </c>
      <c r="G499" s="1">
        <f t="shared" si="38"/>
        <v>11</v>
      </c>
      <c r="H499" s="1">
        <f t="shared" si="35"/>
        <v>4</v>
      </c>
      <c r="I499" s="1" t="s">
        <v>25</v>
      </c>
      <c r="J499" s="1" t="s">
        <v>2627</v>
      </c>
      <c r="K499" s="1" t="s">
        <v>2628</v>
      </c>
      <c r="L499" s="1" t="s">
        <v>131</v>
      </c>
      <c r="M499" s="1" t="s">
        <v>29</v>
      </c>
      <c r="N499" s="1" t="s">
        <v>2629</v>
      </c>
      <c r="O499" s="1" t="s">
        <v>106</v>
      </c>
      <c r="P499" s="1">
        <v>95661</v>
      </c>
      <c r="Q499" s="1" t="s">
        <v>107</v>
      </c>
      <c r="R499" s="1" t="s">
        <v>2630</v>
      </c>
      <c r="S499" s="1" t="s">
        <v>34</v>
      </c>
      <c r="T499" s="1" t="s">
        <v>231</v>
      </c>
      <c r="U499" s="1" t="s">
        <v>2631</v>
      </c>
      <c r="V499" s="3">
        <v>2.48</v>
      </c>
      <c r="W499" s="1" t="str">
        <f t="shared" si="39"/>
        <v>Slow Delivery</v>
      </c>
    </row>
    <row r="500" spans="1:23" x14ac:dyDescent="0.25">
      <c r="A500" s="1">
        <v>1918</v>
      </c>
      <c r="B500" s="2" t="s">
        <v>2632</v>
      </c>
      <c r="C500" s="2">
        <v>42682</v>
      </c>
      <c r="D500" s="2">
        <v>42688</v>
      </c>
      <c r="E500" s="1">
        <f t="shared" si="36"/>
        <v>2016</v>
      </c>
      <c r="F500" s="2" t="str">
        <f t="shared" si="37"/>
        <v>Nov</v>
      </c>
      <c r="G500" s="1">
        <f t="shared" si="38"/>
        <v>11</v>
      </c>
      <c r="H500" s="1">
        <f t="shared" si="35"/>
        <v>6</v>
      </c>
      <c r="I500" s="1" t="s">
        <v>25</v>
      </c>
      <c r="J500" s="1" t="s">
        <v>2633</v>
      </c>
      <c r="K500" s="1" t="s">
        <v>2634</v>
      </c>
      <c r="L500" s="1" t="s">
        <v>28</v>
      </c>
      <c r="M500" s="1" t="s">
        <v>29</v>
      </c>
      <c r="N500" s="1" t="s">
        <v>2254</v>
      </c>
      <c r="O500" s="1" t="s">
        <v>157</v>
      </c>
      <c r="P500" s="1">
        <v>2038</v>
      </c>
      <c r="Q500" s="1" t="s">
        <v>43</v>
      </c>
      <c r="R500" s="1" t="s">
        <v>2635</v>
      </c>
      <c r="S500" s="1" t="s">
        <v>34</v>
      </c>
      <c r="T500" s="1" t="s">
        <v>35</v>
      </c>
      <c r="U500" s="1" t="s">
        <v>2636</v>
      </c>
      <c r="V500" s="3">
        <v>11.65</v>
      </c>
      <c r="W500" s="1" t="str">
        <f t="shared" si="39"/>
        <v>Slow Delivery</v>
      </c>
    </row>
    <row r="501" spans="1:23" x14ac:dyDescent="0.25">
      <c r="A501" s="1">
        <v>5339</v>
      </c>
      <c r="B501" s="2" t="s">
        <v>2637</v>
      </c>
      <c r="C501" s="2">
        <v>42683</v>
      </c>
      <c r="D501" s="2">
        <v>42688</v>
      </c>
      <c r="E501" s="1">
        <f t="shared" si="36"/>
        <v>2016</v>
      </c>
      <c r="F501" s="2" t="str">
        <f t="shared" si="37"/>
        <v>Nov</v>
      </c>
      <c r="G501" s="1">
        <f t="shared" si="38"/>
        <v>11</v>
      </c>
      <c r="H501" s="1">
        <f t="shared" si="35"/>
        <v>5</v>
      </c>
      <c r="I501" s="1" t="s">
        <v>83</v>
      </c>
      <c r="J501" s="1" t="s">
        <v>2638</v>
      </c>
      <c r="K501" s="1" t="s">
        <v>2639</v>
      </c>
      <c r="L501" s="1" t="s">
        <v>28</v>
      </c>
      <c r="M501" s="1" t="s">
        <v>29</v>
      </c>
      <c r="N501" s="1" t="s">
        <v>2640</v>
      </c>
      <c r="O501" s="1" t="s">
        <v>115</v>
      </c>
      <c r="P501" s="1">
        <v>11572</v>
      </c>
      <c r="Q501" s="1" t="s">
        <v>43</v>
      </c>
      <c r="R501" s="1" t="s">
        <v>2221</v>
      </c>
      <c r="S501" s="1" t="s">
        <v>34</v>
      </c>
      <c r="T501" s="1" t="s">
        <v>270</v>
      </c>
      <c r="U501" s="1" t="s">
        <v>2222</v>
      </c>
      <c r="V501" s="3">
        <v>244.55</v>
      </c>
      <c r="W501" s="1" t="str">
        <f t="shared" si="39"/>
        <v>Slow Delivery</v>
      </c>
    </row>
    <row r="502" spans="1:23" x14ac:dyDescent="0.25">
      <c r="A502" s="1">
        <v>5006</v>
      </c>
      <c r="B502" s="2" t="s">
        <v>2641</v>
      </c>
      <c r="C502" s="2">
        <v>42684</v>
      </c>
      <c r="D502" s="2">
        <v>42688</v>
      </c>
      <c r="E502" s="1">
        <f t="shared" si="36"/>
        <v>2016</v>
      </c>
      <c r="F502" s="2" t="str">
        <f t="shared" si="37"/>
        <v>Nov</v>
      </c>
      <c r="G502" s="1">
        <f t="shared" si="38"/>
        <v>11</v>
      </c>
      <c r="H502" s="1">
        <f t="shared" si="35"/>
        <v>4</v>
      </c>
      <c r="I502" s="1" t="s">
        <v>83</v>
      </c>
      <c r="J502" s="1" t="s">
        <v>2642</v>
      </c>
      <c r="K502" s="1" t="s">
        <v>2643</v>
      </c>
      <c r="L502" s="1" t="s">
        <v>51</v>
      </c>
      <c r="M502" s="1" t="s">
        <v>29</v>
      </c>
      <c r="N502" s="1" t="s">
        <v>164</v>
      </c>
      <c r="O502" s="1" t="s">
        <v>2094</v>
      </c>
      <c r="P502" s="1">
        <v>47374</v>
      </c>
      <c r="Q502" s="1" t="s">
        <v>32</v>
      </c>
      <c r="R502" s="1" t="s">
        <v>2644</v>
      </c>
      <c r="S502" s="1" t="s">
        <v>34</v>
      </c>
      <c r="T502" s="1" t="s">
        <v>270</v>
      </c>
      <c r="U502" s="1" t="s">
        <v>2645</v>
      </c>
      <c r="V502" s="3">
        <v>714.3</v>
      </c>
      <c r="W502" s="1" t="str">
        <f t="shared" si="39"/>
        <v>Slow Delivery</v>
      </c>
    </row>
    <row r="503" spans="1:23" x14ac:dyDescent="0.25">
      <c r="A503" s="1">
        <v>5849</v>
      </c>
      <c r="B503" s="2" t="s">
        <v>2646</v>
      </c>
      <c r="C503" s="2">
        <v>42684</v>
      </c>
      <c r="D503" s="2">
        <v>42688</v>
      </c>
      <c r="E503" s="1">
        <f t="shared" si="36"/>
        <v>2016</v>
      </c>
      <c r="F503" s="2" t="str">
        <f t="shared" si="37"/>
        <v>Nov</v>
      </c>
      <c r="G503" s="1">
        <f t="shared" si="38"/>
        <v>11</v>
      </c>
      <c r="H503" s="1">
        <f t="shared" si="35"/>
        <v>4</v>
      </c>
      <c r="I503" s="1" t="s">
        <v>25</v>
      </c>
      <c r="J503" s="1" t="s">
        <v>2647</v>
      </c>
      <c r="K503" s="1" t="s">
        <v>2648</v>
      </c>
      <c r="L503" s="1" t="s">
        <v>131</v>
      </c>
      <c r="M503" s="1" t="s">
        <v>29</v>
      </c>
      <c r="N503" s="1" t="s">
        <v>2629</v>
      </c>
      <c r="O503" s="1" t="s">
        <v>517</v>
      </c>
      <c r="P503" s="1">
        <v>55113</v>
      </c>
      <c r="Q503" s="1" t="s">
        <v>32</v>
      </c>
      <c r="R503" s="1" t="s">
        <v>2649</v>
      </c>
      <c r="S503" s="1" t="s">
        <v>34</v>
      </c>
      <c r="T503" s="1" t="s">
        <v>74</v>
      </c>
      <c r="U503" s="1" t="s">
        <v>2650</v>
      </c>
      <c r="V503" s="3">
        <v>715.64</v>
      </c>
      <c r="W503" s="1" t="str">
        <f t="shared" si="39"/>
        <v>Slow Delivery</v>
      </c>
    </row>
    <row r="504" spans="1:23" x14ac:dyDescent="0.25">
      <c r="A504" s="1">
        <v>2689</v>
      </c>
      <c r="B504" s="2" t="s">
        <v>2651</v>
      </c>
      <c r="C504" s="2">
        <v>42686</v>
      </c>
      <c r="D504" s="2">
        <v>42688</v>
      </c>
      <c r="E504" s="1">
        <f t="shared" si="36"/>
        <v>2016</v>
      </c>
      <c r="F504" s="2" t="str">
        <f t="shared" si="37"/>
        <v>Nov</v>
      </c>
      <c r="G504" s="1">
        <f t="shared" si="38"/>
        <v>11</v>
      </c>
      <c r="H504" s="1">
        <f t="shared" si="35"/>
        <v>2</v>
      </c>
      <c r="I504" s="1" t="s">
        <v>38</v>
      </c>
      <c r="J504" s="1" t="s">
        <v>2652</v>
      </c>
      <c r="K504" s="1" t="s">
        <v>2653</v>
      </c>
      <c r="L504" s="1" t="s">
        <v>51</v>
      </c>
      <c r="M504" s="1" t="s">
        <v>29</v>
      </c>
      <c r="N504" s="1" t="s">
        <v>132</v>
      </c>
      <c r="O504" s="1" t="s">
        <v>106</v>
      </c>
      <c r="P504" s="1">
        <v>90032</v>
      </c>
      <c r="Q504" s="1" t="s">
        <v>107</v>
      </c>
      <c r="R504" s="1" t="s">
        <v>1134</v>
      </c>
      <c r="S504" s="1" t="s">
        <v>34</v>
      </c>
      <c r="T504" s="1" t="s">
        <v>174</v>
      </c>
      <c r="U504" s="1" t="s">
        <v>1135</v>
      </c>
      <c r="V504" s="3">
        <v>15.7</v>
      </c>
      <c r="W504" s="1" t="str">
        <f t="shared" si="39"/>
        <v>Fast Delivery</v>
      </c>
    </row>
    <row r="505" spans="1:23" x14ac:dyDescent="0.25">
      <c r="A505" s="1">
        <v>9331</v>
      </c>
      <c r="B505" s="2" t="s">
        <v>2654</v>
      </c>
      <c r="C505" s="2">
        <v>42686</v>
      </c>
      <c r="D505" s="2">
        <v>42692</v>
      </c>
      <c r="E505" s="1">
        <f t="shared" si="36"/>
        <v>2016</v>
      </c>
      <c r="F505" s="2" t="str">
        <f t="shared" si="37"/>
        <v>Nov</v>
      </c>
      <c r="G505" s="1">
        <f t="shared" si="38"/>
        <v>11</v>
      </c>
      <c r="H505" s="1">
        <f t="shared" si="35"/>
        <v>6</v>
      </c>
      <c r="I505" s="1" t="s">
        <v>25</v>
      </c>
      <c r="J505" s="1" t="s">
        <v>2655</v>
      </c>
      <c r="K505" s="1" t="s">
        <v>2656</v>
      </c>
      <c r="L505" s="1" t="s">
        <v>28</v>
      </c>
      <c r="M505" s="1" t="s">
        <v>29</v>
      </c>
      <c r="N505" s="1" t="s">
        <v>114</v>
      </c>
      <c r="O505" s="1" t="s">
        <v>115</v>
      </c>
      <c r="P505" s="1">
        <v>10035</v>
      </c>
      <c r="Q505" s="1" t="s">
        <v>43</v>
      </c>
      <c r="R505" s="1" t="s">
        <v>2657</v>
      </c>
      <c r="S505" s="1" t="s">
        <v>34</v>
      </c>
      <c r="T505" s="1" t="s">
        <v>426</v>
      </c>
      <c r="U505" s="1" t="s">
        <v>883</v>
      </c>
      <c r="V505" s="3">
        <v>15.56</v>
      </c>
      <c r="W505" s="1" t="str">
        <f t="shared" si="39"/>
        <v>Slow Delivery</v>
      </c>
    </row>
    <row r="506" spans="1:23" x14ac:dyDescent="0.25">
      <c r="A506" s="1">
        <v>4421</v>
      </c>
      <c r="B506" s="2" t="s">
        <v>2658</v>
      </c>
      <c r="C506" s="2">
        <v>42691</v>
      </c>
      <c r="D506" s="2">
        <v>42695</v>
      </c>
      <c r="E506" s="1">
        <f t="shared" si="36"/>
        <v>2016</v>
      </c>
      <c r="F506" s="2" t="str">
        <f t="shared" si="37"/>
        <v>Nov</v>
      </c>
      <c r="G506" s="1">
        <f t="shared" si="38"/>
        <v>11</v>
      </c>
      <c r="H506" s="1">
        <f t="shared" si="35"/>
        <v>4</v>
      </c>
      <c r="I506" s="1" t="s">
        <v>83</v>
      </c>
      <c r="J506" s="1" t="s">
        <v>2659</v>
      </c>
      <c r="K506" s="1" t="s">
        <v>2660</v>
      </c>
      <c r="L506" s="1" t="s">
        <v>28</v>
      </c>
      <c r="M506" s="1" t="s">
        <v>29</v>
      </c>
      <c r="N506" s="1" t="s">
        <v>221</v>
      </c>
      <c r="O506" s="1" t="s">
        <v>222</v>
      </c>
      <c r="P506" s="1">
        <v>60610</v>
      </c>
      <c r="Q506" s="1" t="s">
        <v>32</v>
      </c>
      <c r="R506" s="1" t="s">
        <v>2661</v>
      </c>
      <c r="S506" s="1" t="s">
        <v>34</v>
      </c>
      <c r="T506" s="1" t="s">
        <v>638</v>
      </c>
      <c r="U506" s="1" t="s">
        <v>2662</v>
      </c>
      <c r="V506" s="3">
        <v>40.92</v>
      </c>
      <c r="W506" s="1" t="str">
        <f t="shared" si="39"/>
        <v>Slow Delivery</v>
      </c>
    </row>
    <row r="507" spans="1:23" x14ac:dyDescent="0.25">
      <c r="A507" s="1">
        <v>5842</v>
      </c>
      <c r="B507" s="2" t="s">
        <v>2663</v>
      </c>
      <c r="C507" s="2">
        <v>42691</v>
      </c>
      <c r="D507" s="2">
        <v>42695</v>
      </c>
      <c r="E507" s="1">
        <f t="shared" si="36"/>
        <v>2016</v>
      </c>
      <c r="F507" s="2" t="str">
        <f t="shared" si="37"/>
        <v>Nov</v>
      </c>
      <c r="G507" s="1">
        <f t="shared" si="38"/>
        <v>11</v>
      </c>
      <c r="H507" s="1">
        <f t="shared" si="35"/>
        <v>4</v>
      </c>
      <c r="I507" s="1" t="s">
        <v>25</v>
      </c>
      <c r="J507" s="1" t="s">
        <v>2664</v>
      </c>
      <c r="K507" s="1" t="s">
        <v>2665</v>
      </c>
      <c r="L507" s="1" t="s">
        <v>28</v>
      </c>
      <c r="M507" s="1" t="s">
        <v>29</v>
      </c>
      <c r="N507" s="1" t="s">
        <v>478</v>
      </c>
      <c r="O507" s="1" t="s">
        <v>106</v>
      </c>
      <c r="P507" s="1">
        <v>92105</v>
      </c>
      <c r="Q507" s="1" t="s">
        <v>107</v>
      </c>
      <c r="R507" s="1" t="s">
        <v>2666</v>
      </c>
      <c r="S507" s="1" t="s">
        <v>64</v>
      </c>
      <c r="T507" s="1" t="s">
        <v>159</v>
      </c>
      <c r="U507" s="1" t="s">
        <v>2667</v>
      </c>
      <c r="V507" s="3">
        <v>415.96800000000002</v>
      </c>
      <c r="W507" s="1" t="str">
        <f t="shared" si="39"/>
        <v>Slow Delivery</v>
      </c>
    </row>
    <row r="508" spans="1:23" x14ac:dyDescent="0.25">
      <c r="A508" s="1">
        <v>3995</v>
      </c>
      <c r="B508" s="2" t="s">
        <v>2668</v>
      </c>
      <c r="C508" s="2">
        <v>42437</v>
      </c>
      <c r="D508" s="2">
        <v>42441</v>
      </c>
      <c r="E508" s="1">
        <f t="shared" si="36"/>
        <v>2016</v>
      </c>
      <c r="F508" s="2" t="str">
        <f t="shared" si="37"/>
        <v>Mar</v>
      </c>
      <c r="G508" s="1">
        <f t="shared" si="38"/>
        <v>3</v>
      </c>
      <c r="H508" s="1">
        <f t="shared" si="35"/>
        <v>4</v>
      </c>
      <c r="I508" s="1" t="s">
        <v>25</v>
      </c>
      <c r="J508" s="1" t="s">
        <v>2669</v>
      </c>
      <c r="K508" s="1" t="s">
        <v>2670</v>
      </c>
      <c r="L508" s="1" t="s">
        <v>28</v>
      </c>
      <c r="M508" s="1" t="s">
        <v>29</v>
      </c>
      <c r="N508" s="1" t="s">
        <v>2671</v>
      </c>
      <c r="O508" s="1" t="s">
        <v>101</v>
      </c>
      <c r="P508" s="1">
        <v>53142</v>
      </c>
      <c r="Q508" s="1" t="s">
        <v>32</v>
      </c>
      <c r="R508" s="1" t="s">
        <v>2672</v>
      </c>
      <c r="S508" s="1" t="s">
        <v>45</v>
      </c>
      <c r="T508" s="1" t="s">
        <v>413</v>
      </c>
      <c r="U508" s="1" t="s">
        <v>2673</v>
      </c>
      <c r="V508" s="3">
        <v>512.94000000000005</v>
      </c>
      <c r="W508" s="1" t="str">
        <f t="shared" si="39"/>
        <v>Slow Delivery</v>
      </c>
    </row>
    <row r="509" spans="1:23" x14ac:dyDescent="0.25">
      <c r="A509" s="1">
        <v>2975</v>
      </c>
      <c r="B509" s="2" t="s">
        <v>2674</v>
      </c>
      <c r="C509" s="2">
        <v>42497</v>
      </c>
      <c r="D509" s="2">
        <v>42502</v>
      </c>
      <c r="E509" s="1">
        <f t="shared" si="36"/>
        <v>2016</v>
      </c>
      <c r="F509" s="2" t="str">
        <f t="shared" si="37"/>
        <v>May</v>
      </c>
      <c r="G509" s="1">
        <f t="shared" si="38"/>
        <v>5</v>
      </c>
      <c r="H509" s="1">
        <f t="shared" si="35"/>
        <v>5</v>
      </c>
      <c r="I509" s="1" t="s">
        <v>25</v>
      </c>
      <c r="J509" s="1" t="s">
        <v>2675</v>
      </c>
      <c r="K509" s="1" t="s">
        <v>2676</v>
      </c>
      <c r="L509" s="1" t="s">
        <v>28</v>
      </c>
      <c r="M509" s="1" t="s">
        <v>29</v>
      </c>
      <c r="N509" s="1" t="s">
        <v>2677</v>
      </c>
      <c r="O509" s="1" t="s">
        <v>31</v>
      </c>
      <c r="P509" s="1">
        <v>75002</v>
      </c>
      <c r="Q509" s="1" t="s">
        <v>32</v>
      </c>
      <c r="R509" s="1" t="s">
        <v>2678</v>
      </c>
      <c r="S509" s="1" t="s">
        <v>45</v>
      </c>
      <c r="T509" s="1" t="s">
        <v>329</v>
      </c>
      <c r="U509" s="1" t="s">
        <v>2679</v>
      </c>
      <c r="V509" s="3">
        <v>244.006</v>
      </c>
      <c r="W509" s="1" t="str">
        <f t="shared" si="39"/>
        <v>Slow Delivery</v>
      </c>
    </row>
    <row r="510" spans="1:23" x14ac:dyDescent="0.25">
      <c r="A510" s="1">
        <v>9164</v>
      </c>
      <c r="B510" s="2" t="s">
        <v>2680</v>
      </c>
      <c r="C510" s="2">
        <v>42529</v>
      </c>
      <c r="D510" s="2">
        <v>42533</v>
      </c>
      <c r="E510" s="1">
        <f t="shared" si="36"/>
        <v>2016</v>
      </c>
      <c r="F510" s="2" t="str">
        <f t="shared" si="37"/>
        <v>Jun</v>
      </c>
      <c r="G510" s="1">
        <f t="shared" si="38"/>
        <v>6</v>
      </c>
      <c r="H510" s="1">
        <f t="shared" si="35"/>
        <v>4</v>
      </c>
      <c r="I510" s="1" t="s">
        <v>25</v>
      </c>
      <c r="J510" s="1" t="s">
        <v>2681</v>
      </c>
      <c r="K510" s="1" t="s">
        <v>2682</v>
      </c>
      <c r="L510" s="1" t="s">
        <v>28</v>
      </c>
      <c r="M510" s="1" t="s">
        <v>29</v>
      </c>
      <c r="N510" s="1" t="s">
        <v>221</v>
      </c>
      <c r="O510" s="1" t="s">
        <v>222</v>
      </c>
      <c r="P510" s="1">
        <v>60610</v>
      </c>
      <c r="Q510" s="1" t="s">
        <v>32</v>
      </c>
      <c r="R510" s="1" t="s">
        <v>2683</v>
      </c>
      <c r="S510" s="1" t="s">
        <v>64</v>
      </c>
      <c r="T510" s="1" t="s">
        <v>65</v>
      </c>
      <c r="U510" s="1" t="s">
        <v>2684</v>
      </c>
      <c r="V510" s="3">
        <v>2.3759999999999999</v>
      </c>
      <c r="W510" s="1" t="str">
        <f t="shared" si="39"/>
        <v>Slow Delivery</v>
      </c>
    </row>
    <row r="511" spans="1:23" x14ac:dyDescent="0.25">
      <c r="A511" s="1">
        <v>3119</v>
      </c>
      <c r="B511" s="2" t="s">
        <v>2685</v>
      </c>
      <c r="C511" s="2">
        <v>42532</v>
      </c>
      <c r="D511" s="2">
        <v>42533</v>
      </c>
      <c r="E511" s="1">
        <f t="shared" si="36"/>
        <v>2016</v>
      </c>
      <c r="F511" s="2" t="str">
        <f t="shared" si="37"/>
        <v>Jun</v>
      </c>
      <c r="G511" s="1">
        <f t="shared" si="38"/>
        <v>6</v>
      </c>
      <c r="H511" s="1">
        <f t="shared" si="35"/>
        <v>1</v>
      </c>
      <c r="I511" s="1" t="s">
        <v>38</v>
      </c>
      <c r="J511" s="1" t="s">
        <v>2686</v>
      </c>
      <c r="K511" s="1" t="s">
        <v>2687</v>
      </c>
      <c r="L511" s="1" t="s">
        <v>51</v>
      </c>
      <c r="M511" s="1" t="s">
        <v>29</v>
      </c>
      <c r="N511" s="1" t="s">
        <v>189</v>
      </c>
      <c r="O511" s="1" t="s">
        <v>190</v>
      </c>
      <c r="P511" s="1">
        <v>33801</v>
      </c>
      <c r="Q511" s="1" t="s">
        <v>54</v>
      </c>
      <c r="R511" s="1" t="s">
        <v>2688</v>
      </c>
      <c r="S511" s="1" t="s">
        <v>45</v>
      </c>
      <c r="T511" s="1" t="s">
        <v>89</v>
      </c>
      <c r="U511" s="1" t="s">
        <v>2689</v>
      </c>
      <c r="V511" s="3">
        <v>1123.92</v>
      </c>
      <c r="W511" s="1" t="str">
        <f t="shared" si="39"/>
        <v>Fast Delivery</v>
      </c>
    </row>
    <row r="512" spans="1:23" x14ac:dyDescent="0.25">
      <c r="A512" s="1">
        <v>5039</v>
      </c>
      <c r="B512" s="2" t="s">
        <v>2690</v>
      </c>
      <c r="C512" s="2">
        <v>42562</v>
      </c>
      <c r="D512" s="2">
        <v>42563</v>
      </c>
      <c r="E512" s="1">
        <f t="shared" si="36"/>
        <v>2016</v>
      </c>
      <c r="F512" s="2" t="str">
        <f t="shared" si="37"/>
        <v>Jul</v>
      </c>
      <c r="G512" s="1">
        <f t="shared" si="38"/>
        <v>7</v>
      </c>
      <c r="H512" s="1">
        <f t="shared" si="35"/>
        <v>1</v>
      </c>
      <c r="I512" s="1" t="s">
        <v>38</v>
      </c>
      <c r="J512" s="1" t="s">
        <v>2691</v>
      </c>
      <c r="K512" s="1" t="s">
        <v>2692</v>
      </c>
      <c r="L512" s="1" t="s">
        <v>51</v>
      </c>
      <c r="M512" s="1" t="s">
        <v>29</v>
      </c>
      <c r="N512" s="1" t="s">
        <v>653</v>
      </c>
      <c r="O512" s="1" t="s">
        <v>42</v>
      </c>
      <c r="P512" s="1">
        <v>19805</v>
      </c>
      <c r="Q512" s="1" t="s">
        <v>43</v>
      </c>
      <c r="R512" s="1" t="s">
        <v>2693</v>
      </c>
      <c r="S512" s="1" t="s">
        <v>45</v>
      </c>
      <c r="T512" s="1" t="s">
        <v>329</v>
      </c>
      <c r="U512" s="1" t="s">
        <v>2694</v>
      </c>
      <c r="V512" s="3">
        <v>199.83600000000001</v>
      </c>
      <c r="W512" s="1" t="str">
        <f t="shared" si="39"/>
        <v>Fast Delivery</v>
      </c>
    </row>
    <row r="513" spans="1:23" x14ac:dyDescent="0.25">
      <c r="A513" s="1">
        <v>5100</v>
      </c>
      <c r="B513" s="2" t="s">
        <v>2695</v>
      </c>
      <c r="C513" s="2">
        <v>42589</v>
      </c>
      <c r="D513" s="2">
        <v>42594</v>
      </c>
      <c r="E513" s="1">
        <f t="shared" si="36"/>
        <v>2016</v>
      </c>
      <c r="F513" s="2" t="str">
        <f t="shared" si="37"/>
        <v>Aug</v>
      </c>
      <c r="G513" s="1">
        <f t="shared" si="38"/>
        <v>8</v>
      </c>
      <c r="H513" s="1">
        <f t="shared" si="35"/>
        <v>5</v>
      </c>
      <c r="I513" s="1" t="s">
        <v>25</v>
      </c>
      <c r="J513" s="1" t="s">
        <v>2696</v>
      </c>
      <c r="K513" s="1" t="s">
        <v>2697</v>
      </c>
      <c r="L513" s="1" t="s">
        <v>131</v>
      </c>
      <c r="M513" s="1" t="s">
        <v>29</v>
      </c>
      <c r="N513" s="1" t="s">
        <v>2698</v>
      </c>
      <c r="O513" s="1" t="s">
        <v>106</v>
      </c>
      <c r="P513" s="1">
        <v>93309</v>
      </c>
      <c r="Q513" s="1" t="s">
        <v>107</v>
      </c>
      <c r="R513" s="1" t="s">
        <v>2699</v>
      </c>
      <c r="S513" s="1" t="s">
        <v>34</v>
      </c>
      <c r="T513" s="1" t="s">
        <v>109</v>
      </c>
      <c r="U513" s="1" t="s">
        <v>2700</v>
      </c>
      <c r="V513" s="3">
        <v>19.152000000000001</v>
      </c>
      <c r="W513" s="1" t="str">
        <f t="shared" si="39"/>
        <v>Slow Delivery</v>
      </c>
    </row>
    <row r="514" spans="1:23" x14ac:dyDescent="0.25">
      <c r="A514" s="1">
        <v>9102</v>
      </c>
      <c r="B514" s="2" t="s">
        <v>2701</v>
      </c>
      <c r="C514" s="2">
        <v>42681</v>
      </c>
      <c r="D514" s="2">
        <v>42686</v>
      </c>
      <c r="E514" s="1">
        <f t="shared" si="36"/>
        <v>2016</v>
      </c>
      <c r="F514" s="2" t="str">
        <f t="shared" si="37"/>
        <v>Nov</v>
      </c>
      <c r="G514" s="1">
        <f t="shared" si="38"/>
        <v>11</v>
      </c>
      <c r="H514" s="1">
        <f t="shared" ref="H514:H577" si="40">D514-C514</f>
        <v>5</v>
      </c>
      <c r="I514" s="1" t="s">
        <v>25</v>
      </c>
      <c r="J514" s="1" t="s">
        <v>2702</v>
      </c>
      <c r="K514" s="1" t="s">
        <v>2703</v>
      </c>
      <c r="L514" s="1" t="s">
        <v>28</v>
      </c>
      <c r="M514" s="1" t="s">
        <v>29</v>
      </c>
      <c r="N514" s="1" t="s">
        <v>150</v>
      </c>
      <c r="O514" s="1" t="s">
        <v>31</v>
      </c>
      <c r="P514" s="1">
        <v>77041</v>
      </c>
      <c r="Q514" s="1" t="s">
        <v>32</v>
      </c>
      <c r="R514" s="1" t="s">
        <v>2704</v>
      </c>
      <c r="S514" s="1" t="s">
        <v>34</v>
      </c>
      <c r="T514" s="1" t="s">
        <v>35</v>
      </c>
      <c r="U514" s="1" t="s">
        <v>2705</v>
      </c>
      <c r="V514" s="3">
        <v>23.64</v>
      </c>
      <c r="W514" s="1" t="str">
        <f t="shared" si="39"/>
        <v>Slow Delivery</v>
      </c>
    </row>
    <row r="515" spans="1:23" x14ac:dyDescent="0.25">
      <c r="A515" s="1">
        <v>5141</v>
      </c>
      <c r="B515" s="2" t="s">
        <v>2706</v>
      </c>
      <c r="C515" s="2">
        <v>42682</v>
      </c>
      <c r="D515" s="2">
        <v>42686</v>
      </c>
      <c r="E515" s="1">
        <f t="shared" ref="E515:E578" si="41">YEAR(C515)</f>
        <v>2016</v>
      </c>
      <c r="F515" s="2" t="str">
        <f t="shared" ref="F515:F578" si="42">TEXT(C515,"mmm")</f>
        <v>Nov</v>
      </c>
      <c r="G515" s="1">
        <f t="shared" ref="G515:G578" si="43">MONTH(C515)</f>
        <v>11</v>
      </c>
      <c r="H515" s="1">
        <f t="shared" si="40"/>
        <v>4</v>
      </c>
      <c r="I515" s="1" t="s">
        <v>25</v>
      </c>
      <c r="J515" s="1" t="s">
        <v>2707</v>
      </c>
      <c r="K515" s="1" t="s">
        <v>2708</v>
      </c>
      <c r="L515" s="1" t="s">
        <v>28</v>
      </c>
      <c r="M515" s="1" t="s">
        <v>29</v>
      </c>
      <c r="N515" s="1" t="s">
        <v>105</v>
      </c>
      <c r="O515" s="1" t="s">
        <v>106</v>
      </c>
      <c r="P515" s="1">
        <v>94109</v>
      </c>
      <c r="Q515" s="1" t="s">
        <v>107</v>
      </c>
      <c r="R515" s="1" t="s">
        <v>2709</v>
      </c>
      <c r="S515" s="1" t="s">
        <v>64</v>
      </c>
      <c r="T515" s="1" t="s">
        <v>65</v>
      </c>
      <c r="U515" s="1" t="s">
        <v>2710</v>
      </c>
      <c r="V515" s="3">
        <v>119.9</v>
      </c>
      <c r="W515" s="1" t="str">
        <f t="shared" ref="W515:W578" si="44">IF(H515&lt;=3,"Fast Delivery","Slow Delivery")</f>
        <v>Slow Delivery</v>
      </c>
    </row>
    <row r="516" spans="1:23" x14ac:dyDescent="0.25">
      <c r="A516" s="1">
        <v>1285</v>
      </c>
      <c r="B516" s="2" t="s">
        <v>2711</v>
      </c>
      <c r="C516" s="2">
        <v>42710</v>
      </c>
      <c r="D516" s="2">
        <v>42716</v>
      </c>
      <c r="E516" s="1">
        <f t="shared" si="41"/>
        <v>2016</v>
      </c>
      <c r="F516" s="2" t="str">
        <f t="shared" si="42"/>
        <v>Dec</v>
      </c>
      <c r="G516" s="1">
        <f t="shared" si="43"/>
        <v>12</v>
      </c>
      <c r="H516" s="1">
        <f t="shared" si="40"/>
        <v>6</v>
      </c>
      <c r="I516" s="1" t="s">
        <v>25</v>
      </c>
      <c r="J516" s="1" t="s">
        <v>2712</v>
      </c>
      <c r="K516" s="1" t="s">
        <v>2713</v>
      </c>
      <c r="L516" s="1" t="s">
        <v>28</v>
      </c>
      <c r="M516" s="1" t="s">
        <v>29</v>
      </c>
      <c r="N516" s="1" t="s">
        <v>255</v>
      </c>
      <c r="O516" s="1" t="s">
        <v>31</v>
      </c>
      <c r="P516" s="1">
        <v>78745</v>
      </c>
      <c r="Q516" s="1" t="s">
        <v>32</v>
      </c>
      <c r="R516" s="1" t="s">
        <v>2714</v>
      </c>
      <c r="S516" s="1" t="s">
        <v>34</v>
      </c>
      <c r="T516" s="1" t="s">
        <v>109</v>
      </c>
      <c r="U516" s="1" t="s">
        <v>2715</v>
      </c>
      <c r="V516" s="3">
        <v>2.7719999999999998</v>
      </c>
      <c r="W516" s="1" t="str">
        <f t="shared" si="44"/>
        <v>Slow Delivery</v>
      </c>
    </row>
    <row r="517" spans="1:23" x14ac:dyDescent="0.25">
      <c r="A517" s="1">
        <v>7575</v>
      </c>
      <c r="B517" s="2" t="s">
        <v>2716</v>
      </c>
      <c r="C517" s="2">
        <v>42712</v>
      </c>
      <c r="D517" s="2">
        <v>42716</v>
      </c>
      <c r="E517" s="1">
        <f t="shared" si="41"/>
        <v>2016</v>
      </c>
      <c r="F517" s="2" t="str">
        <f t="shared" si="42"/>
        <v>Dec</v>
      </c>
      <c r="G517" s="1">
        <f t="shared" si="43"/>
        <v>12</v>
      </c>
      <c r="H517" s="1">
        <f t="shared" si="40"/>
        <v>4</v>
      </c>
      <c r="I517" s="1" t="s">
        <v>25</v>
      </c>
      <c r="J517" s="1" t="s">
        <v>2717</v>
      </c>
      <c r="K517" s="1" t="s">
        <v>2718</v>
      </c>
      <c r="L517" s="1" t="s">
        <v>51</v>
      </c>
      <c r="M517" s="1" t="s">
        <v>29</v>
      </c>
      <c r="N517" s="1" t="s">
        <v>132</v>
      </c>
      <c r="O517" s="1" t="s">
        <v>106</v>
      </c>
      <c r="P517" s="1">
        <v>90036</v>
      </c>
      <c r="Q517" s="1" t="s">
        <v>107</v>
      </c>
      <c r="R517" s="1" t="s">
        <v>1606</v>
      </c>
      <c r="S517" s="1" t="s">
        <v>34</v>
      </c>
      <c r="T517" s="1" t="s">
        <v>270</v>
      </c>
      <c r="U517" s="1" t="s">
        <v>1607</v>
      </c>
      <c r="V517" s="3">
        <v>221.96</v>
      </c>
      <c r="W517" s="1" t="str">
        <f t="shared" si="44"/>
        <v>Slow Delivery</v>
      </c>
    </row>
    <row r="518" spans="1:23" x14ac:dyDescent="0.25">
      <c r="A518" s="1">
        <v>8626</v>
      </c>
      <c r="B518" s="2" t="s">
        <v>2719</v>
      </c>
      <c r="C518" s="2">
        <v>42712</v>
      </c>
      <c r="D518" s="2">
        <v>42716</v>
      </c>
      <c r="E518" s="1">
        <f t="shared" si="41"/>
        <v>2016</v>
      </c>
      <c r="F518" s="2" t="str">
        <f t="shared" si="42"/>
        <v>Dec</v>
      </c>
      <c r="G518" s="1">
        <f t="shared" si="43"/>
        <v>12</v>
      </c>
      <c r="H518" s="1">
        <f t="shared" si="40"/>
        <v>4</v>
      </c>
      <c r="I518" s="1" t="s">
        <v>25</v>
      </c>
      <c r="J518" s="1" t="s">
        <v>2720</v>
      </c>
      <c r="K518" s="1" t="s">
        <v>2721</v>
      </c>
      <c r="L518" s="1" t="s">
        <v>51</v>
      </c>
      <c r="M518" s="1" t="s">
        <v>29</v>
      </c>
      <c r="N518" s="1" t="s">
        <v>2722</v>
      </c>
      <c r="O518" s="1" t="s">
        <v>327</v>
      </c>
      <c r="P518" s="1">
        <v>80906</v>
      </c>
      <c r="Q518" s="1" t="s">
        <v>107</v>
      </c>
      <c r="R518" s="1" t="s">
        <v>1006</v>
      </c>
      <c r="S518" s="1" t="s">
        <v>34</v>
      </c>
      <c r="T518" s="1" t="s">
        <v>174</v>
      </c>
      <c r="U518" s="1" t="s">
        <v>1007</v>
      </c>
      <c r="V518" s="3">
        <v>15.696</v>
      </c>
      <c r="W518" s="1" t="str">
        <f t="shared" si="44"/>
        <v>Slow Delivery</v>
      </c>
    </row>
    <row r="519" spans="1:23" x14ac:dyDescent="0.25">
      <c r="A519" s="1">
        <v>980</v>
      </c>
      <c r="B519" s="2" t="s">
        <v>2723</v>
      </c>
      <c r="C519" s="2">
        <v>42713</v>
      </c>
      <c r="D519" s="2">
        <v>42716</v>
      </c>
      <c r="E519" s="1">
        <f t="shared" si="41"/>
        <v>2016</v>
      </c>
      <c r="F519" s="2" t="str">
        <f t="shared" si="42"/>
        <v>Dec</v>
      </c>
      <c r="G519" s="1">
        <f t="shared" si="43"/>
        <v>12</v>
      </c>
      <c r="H519" s="1">
        <f t="shared" si="40"/>
        <v>3</v>
      </c>
      <c r="I519" s="1" t="s">
        <v>38</v>
      </c>
      <c r="J519" s="1" t="s">
        <v>2724</v>
      </c>
      <c r="K519" s="1" t="s">
        <v>2725</v>
      </c>
      <c r="L519" s="1" t="s">
        <v>51</v>
      </c>
      <c r="M519" s="1" t="s">
        <v>29</v>
      </c>
      <c r="N519" s="1" t="s">
        <v>71</v>
      </c>
      <c r="O519" s="1" t="s">
        <v>2094</v>
      </c>
      <c r="P519" s="1">
        <v>47201</v>
      </c>
      <c r="Q519" s="1" t="s">
        <v>32</v>
      </c>
      <c r="R519" s="1" t="s">
        <v>2726</v>
      </c>
      <c r="S519" s="1" t="s">
        <v>34</v>
      </c>
      <c r="T519" s="1" t="s">
        <v>174</v>
      </c>
      <c r="U519" s="1" t="s">
        <v>2727</v>
      </c>
      <c r="V519" s="3">
        <v>34.020000000000003</v>
      </c>
      <c r="W519" s="1" t="str">
        <f t="shared" si="44"/>
        <v>Fast Delivery</v>
      </c>
    </row>
    <row r="520" spans="1:23" x14ac:dyDescent="0.25">
      <c r="A520" s="1">
        <v>1092</v>
      </c>
      <c r="B520" s="2" t="s">
        <v>2728</v>
      </c>
      <c r="C520" s="2">
        <v>42710</v>
      </c>
      <c r="D520" s="2">
        <v>42717</v>
      </c>
      <c r="E520" s="1">
        <f t="shared" si="41"/>
        <v>2016</v>
      </c>
      <c r="F520" s="2" t="str">
        <f t="shared" si="42"/>
        <v>Dec</v>
      </c>
      <c r="G520" s="1">
        <f t="shared" si="43"/>
        <v>12</v>
      </c>
      <c r="H520" s="1">
        <f t="shared" si="40"/>
        <v>7</v>
      </c>
      <c r="I520" s="1" t="s">
        <v>25</v>
      </c>
      <c r="J520" s="1" t="s">
        <v>2729</v>
      </c>
      <c r="K520" s="1" t="s">
        <v>2730</v>
      </c>
      <c r="L520" s="1" t="s">
        <v>28</v>
      </c>
      <c r="M520" s="1" t="s">
        <v>29</v>
      </c>
      <c r="N520" s="1" t="s">
        <v>478</v>
      </c>
      <c r="O520" s="1" t="s">
        <v>106</v>
      </c>
      <c r="P520" s="1">
        <v>92105</v>
      </c>
      <c r="Q520" s="1" t="s">
        <v>107</v>
      </c>
      <c r="R520" s="1" t="s">
        <v>676</v>
      </c>
      <c r="S520" s="1" t="s">
        <v>34</v>
      </c>
      <c r="T520" s="1" t="s">
        <v>35</v>
      </c>
      <c r="U520" s="1" t="s">
        <v>677</v>
      </c>
      <c r="V520" s="3">
        <v>120.15</v>
      </c>
      <c r="W520" s="1" t="str">
        <f t="shared" si="44"/>
        <v>Slow Delivery</v>
      </c>
    </row>
    <row r="521" spans="1:23" x14ac:dyDescent="0.25">
      <c r="A521" s="1">
        <v>8509</v>
      </c>
      <c r="B521" s="2" t="s">
        <v>2731</v>
      </c>
      <c r="C521" s="2">
        <v>42715</v>
      </c>
      <c r="D521" s="2">
        <v>42718</v>
      </c>
      <c r="E521" s="1">
        <f t="shared" si="41"/>
        <v>2016</v>
      </c>
      <c r="F521" s="2" t="str">
        <f t="shared" si="42"/>
        <v>Dec</v>
      </c>
      <c r="G521" s="1">
        <f t="shared" si="43"/>
        <v>12</v>
      </c>
      <c r="H521" s="1">
        <f t="shared" si="40"/>
        <v>3</v>
      </c>
      <c r="I521" s="1" t="s">
        <v>38</v>
      </c>
      <c r="J521" s="1" t="s">
        <v>2732</v>
      </c>
      <c r="K521" s="1" t="s">
        <v>2733</v>
      </c>
      <c r="L521" s="1" t="s">
        <v>28</v>
      </c>
      <c r="M521" s="1" t="s">
        <v>29</v>
      </c>
      <c r="N521" s="1" t="s">
        <v>534</v>
      </c>
      <c r="O521" s="1" t="s">
        <v>172</v>
      </c>
      <c r="P521" s="1">
        <v>48205</v>
      </c>
      <c r="Q521" s="1" t="s">
        <v>32</v>
      </c>
      <c r="R521" s="1" t="s">
        <v>2734</v>
      </c>
      <c r="S521" s="1" t="s">
        <v>64</v>
      </c>
      <c r="T521" s="1" t="s">
        <v>65</v>
      </c>
      <c r="U521" s="1" t="s">
        <v>2735</v>
      </c>
      <c r="V521" s="3">
        <v>175.23</v>
      </c>
      <c r="W521" s="1" t="str">
        <f t="shared" si="44"/>
        <v>Fast Delivery</v>
      </c>
    </row>
    <row r="522" spans="1:23" x14ac:dyDescent="0.25">
      <c r="A522" s="1">
        <v>6361</v>
      </c>
      <c r="B522" s="2" t="s">
        <v>2736</v>
      </c>
      <c r="C522" s="2">
        <v>42714</v>
      </c>
      <c r="D522" s="2">
        <v>42719</v>
      </c>
      <c r="E522" s="1">
        <f t="shared" si="41"/>
        <v>2016</v>
      </c>
      <c r="F522" s="2" t="str">
        <f t="shared" si="42"/>
        <v>Dec</v>
      </c>
      <c r="G522" s="1">
        <f t="shared" si="43"/>
        <v>12</v>
      </c>
      <c r="H522" s="1">
        <f t="shared" si="40"/>
        <v>5</v>
      </c>
      <c r="I522" s="1" t="s">
        <v>25</v>
      </c>
      <c r="J522" s="1" t="s">
        <v>2737</v>
      </c>
      <c r="K522" s="1" t="s">
        <v>2738</v>
      </c>
      <c r="L522" s="1" t="s">
        <v>131</v>
      </c>
      <c r="M522" s="1" t="s">
        <v>29</v>
      </c>
      <c r="N522" s="1" t="s">
        <v>132</v>
      </c>
      <c r="O522" s="1" t="s">
        <v>106</v>
      </c>
      <c r="P522" s="1">
        <v>90032</v>
      </c>
      <c r="Q522" s="1" t="s">
        <v>107</v>
      </c>
      <c r="R522" s="1" t="s">
        <v>2739</v>
      </c>
      <c r="S522" s="1" t="s">
        <v>34</v>
      </c>
      <c r="T522" s="1" t="s">
        <v>35</v>
      </c>
      <c r="U522" s="1" t="s">
        <v>2740</v>
      </c>
      <c r="V522" s="3">
        <v>56.3</v>
      </c>
      <c r="W522" s="1" t="str">
        <f t="shared" si="44"/>
        <v>Slow Delivery</v>
      </c>
    </row>
    <row r="523" spans="1:23" x14ac:dyDescent="0.25">
      <c r="A523" s="1">
        <v>7154</v>
      </c>
      <c r="B523" s="2" t="s">
        <v>2741</v>
      </c>
      <c r="C523" s="2">
        <v>42714</v>
      </c>
      <c r="D523" s="2">
        <v>42719</v>
      </c>
      <c r="E523" s="1">
        <f t="shared" si="41"/>
        <v>2016</v>
      </c>
      <c r="F523" s="2" t="str">
        <f t="shared" si="42"/>
        <v>Dec</v>
      </c>
      <c r="G523" s="1">
        <f t="shared" si="43"/>
        <v>12</v>
      </c>
      <c r="H523" s="1">
        <f t="shared" si="40"/>
        <v>5</v>
      </c>
      <c r="I523" s="1" t="s">
        <v>25</v>
      </c>
      <c r="J523" s="1" t="s">
        <v>2742</v>
      </c>
      <c r="K523" s="1" t="s">
        <v>2743</v>
      </c>
      <c r="L523" s="1" t="s">
        <v>28</v>
      </c>
      <c r="M523" s="1" t="s">
        <v>29</v>
      </c>
      <c r="N523" s="1" t="s">
        <v>221</v>
      </c>
      <c r="O523" s="1" t="s">
        <v>222</v>
      </c>
      <c r="P523" s="1">
        <v>60610</v>
      </c>
      <c r="Q523" s="1" t="s">
        <v>32</v>
      </c>
      <c r="R523" s="1" t="s">
        <v>2744</v>
      </c>
      <c r="S523" s="1" t="s">
        <v>34</v>
      </c>
      <c r="T523" s="1" t="s">
        <v>74</v>
      </c>
      <c r="U523" s="1" t="s">
        <v>2745</v>
      </c>
      <c r="V523" s="3">
        <v>53.088000000000001</v>
      </c>
      <c r="W523" s="1" t="str">
        <f t="shared" si="44"/>
        <v>Slow Delivery</v>
      </c>
    </row>
    <row r="524" spans="1:23" x14ac:dyDescent="0.25">
      <c r="A524" s="1">
        <v>8293</v>
      </c>
      <c r="B524" s="2" t="s">
        <v>2746</v>
      </c>
      <c r="C524" s="2">
        <v>42715</v>
      </c>
      <c r="D524" s="2">
        <v>42719</v>
      </c>
      <c r="E524" s="1">
        <f t="shared" si="41"/>
        <v>2016</v>
      </c>
      <c r="F524" s="2" t="str">
        <f t="shared" si="42"/>
        <v>Dec</v>
      </c>
      <c r="G524" s="1">
        <f t="shared" si="43"/>
        <v>12</v>
      </c>
      <c r="H524" s="1">
        <f t="shared" si="40"/>
        <v>4</v>
      </c>
      <c r="I524" s="1" t="s">
        <v>25</v>
      </c>
      <c r="J524" s="1" t="s">
        <v>2747</v>
      </c>
      <c r="K524" s="1" t="s">
        <v>2748</v>
      </c>
      <c r="L524" s="1" t="s">
        <v>28</v>
      </c>
      <c r="M524" s="1" t="s">
        <v>29</v>
      </c>
      <c r="N524" s="1" t="s">
        <v>2151</v>
      </c>
      <c r="O524" s="1" t="s">
        <v>72</v>
      </c>
      <c r="P524" s="1">
        <v>45373</v>
      </c>
      <c r="Q524" s="1" t="s">
        <v>43</v>
      </c>
      <c r="R524" s="1" t="s">
        <v>2270</v>
      </c>
      <c r="S524" s="1" t="s">
        <v>34</v>
      </c>
      <c r="T524" s="1" t="s">
        <v>109</v>
      </c>
      <c r="U524" s="1" t="s">
        <v>2271</v>
      </c>
      <c r="V524" s="3">
        <v>10.332000000000001</v>
      </c>
      <c r="W524" s="1" t="str">
        <f t="shared" si="44"/>
        <v>Slow Delivery</v>
      </c>
    </row>
    <row r="525" spans="1:23" x14ac:dyDescent="0.25">
      <c r="A525" s="1">
        <v>7794</v>
      </c>
      <c r="B525" s="2" t="s">
        <v>2749</v>
      </c>
      <c r="C525" s="2">
        <v>42716</v>
      </c>
      <c r="D525" s="2">
        <v>42719</v>
      </c>
      <c r="E525" s="1">
        <f t="shared" si="41"/>
        <v>2016</v>
      </c>
      <c r="F525" s="2" t="str">
        <f t="shared" si="42"/>
        <v>Dec</v>
      </c>
      <c r="G525" s="1">
        <f t="shared" si="43"/>
        <v>12</v>
      </c>
      <c r="H525" s="1">
        <f t="shared" si="40"/>
        <v>3</v>
      </c>
      <c r="I525" s="1" t="s">
        <v>83</v>
      </c>
      <c r="J525" s="1" t="s">
        <v>2750</v>
      </c>
      <c r="K525" s="1" t="s">
        <v>2751</v>
      </c>
      <c r="L525" s="1" t="s">
        <v>51</v>
      </c>
      <c r="M525" s="1" t="s">
        <v>29</v>
      </c>
      <c r="N525" s="1" t="s">
        <v>2752</v>
      </c>
      <c r="O525" s="1" t="s">
        <v>357</v>
      </c>
      <c r="P525" s="1">
        <v>89115</v>
      </c>
      <c r="Q525" s="1" t="s">
        <v>107</v>
      </c>
      <c r="R525" s="1" t="s">
        <v>2753</v>
      </c>
      <c r="S525" s="1" t="s">
        <v>34</v>
      </c>
      <c r="T525" s="1" t="s">
        <v>174</v>
      </c>
      <c r="U525" s="1" t="s">
        <v>2754</v>
      </c>
      <c r="V525" s="3">
        <v>32.4</v>
      </c>
      <c r="W525" s="1" t="str">
        <f t="shared" si="44"/>
        <v>Fast Delivery</v>
      </c>
    </row>
    <row r="526" spans="1:23" x14ac:dyDescent="0.25">
      <c r="A526" s="1">
        <v>4006</v>
      </c>
      <c r="B526" s="2" t="s">
        <v>2755</v>
      </c>
      <c r="C526" s="2">
        <v>42714</v>
      </c>
      <c r="D526" s="2">
        <v>42720</v>
      </c>
      <c r="E526" s="1">
        <f t="shared" si="41"/>
        <v>2016</v>
      </c>
      <c r="F526" s="2" t="str">
        <f t="shared" si="42"/>
        <v>Dec</v>
      </c>
      <c r="G526" s="1">
        <f t="shared" si="43"/>
        <v>12</v>
      </c>
      <c r="H526" s="1">
        <f t="shared" si="40"/>
        <v>6</v>
      </c>
      <c r="I526" s="1" t="s">
        <v>25</v>
      </c>
      <c r="J526" s="1" t="s">
        <v>2756</v>
      </c>
      <c r="K526" s="1" t="s">
        <v>2757</v>
      </c>
      <c r="L526" s="1" t="s">
        <v>28</v>
      </c>
      <c r="M526" s="1" t="s">
        <v>29</v>
      </c>
      <c r="N526" s="1" t="s">
        <v>61</v>
      </c>
      <c r="O526" s="1" t="s">
        <v>62</v>
      </c>
      <c r="P526" s="1">
        <v>30076</v>
      </c>
      <c r="Q526" s="1" t="s">
        <v>54</v>
      </c>
      <c r="R526" s="1" t="s">
        <v>2758</v>
      </c>
      <c r="S526" s="1" t="s">
        <v>34</v>
      </c>
      <c r="T526" s="1" t="s">
        <v>35</v>
      </c>
      <c r="U526" s="1" t="s">
        <v>2759</v>
      </c>
      <c r="V526" s="3">
        <v>1.78</v>
      </c>
      <c r="W526" s="1" t="str">
        <f t="shared" si="44"/>
        <v>Slow Delivery</v>
      </c>
    </row>
    <row r="527" spans="1:23" x14ac:dyDescent="0.25">
      <c r="A527" s="1">
        <v>8438</v>
      </c>
      <c r="B527" s="2" t="s">
        <v>2760</v>
      </c>
      <c r="C527" s="2">
        <v>42714</v>
      </c>
      <c r="D527" s="2">
        <v>42720</v>
      </c>
      <c r="E527" s="1">
        <f t="shared" si="41"/>
        <v>2016</v>
      </c>
      <c r="F527" s="2" t="str">
        <f t="shared" si="42"/>
        <v>Dec</v>
      </c>
      <c r="G527" s="1">
        <f t="shared" si="43"/>
        <v>12</v>
      </c>
      <c r="H527" s="1">
        <f t="shared" si="40"/>
        <v>6</v>
      </c>
      <c r="I527" s="1" t="s">
        <v>25</v>
      </c>
      <c r="J527" s="1" t="s">
        <v>2761</v>
      </c>
      <c r="K527" s="1" t="s">
        <v>2762</v>
      </c>
      <c r="L527" s="1" t="s">
        <v>28</v>
      </c>
      <c r="M527" s="1" t="s">
        <v>29</v>
      </c>
      <c r="N527" s="1" t="s">
        <v>2763</v>
      </c>
      <c r="O527" s="1" t="s">
        <v>72</v>
      </c>
      <c r="P527" s="1">
        <v>44105</v>
      </c>
      <c r="Q527" s="1" t="s">
        <v>43</v>
      </c>
      <c r="R527" s="1" t="s">
        <v>1413</v>
      </c>
      <c r="S527" s="1" t="s">
        <v>64</v>
      </c>
      <c r="T527" s="1" t="s">
        <v>65</v>
      </c>
      <c r="U527" s="1" t="s">
        <v>1414</v>
      </c>
      <c r="V527" s="3">
        <v>25.488</v>
      </c>
      <c r="W527" s="1" t="str">
        <f t="shared" si="44"/>
        <v>Slow Delivery</v>
      </c>
    </row>
    <row r="528" spans="1:23" x14ac:dyDescent="0.25">
      <c r="A528" s="1">
        <v>2234</v>
      </c>
      <c r="B528" s="2" t="s">
        <v>2764</v>
      </c>
      <c r="C528" s="2">
        <v>42718</v>
      </c>
      <c r="D528" s="2">
        <v>42720</v>
      </c>
      <c r="E528" s="1">
        <f t="shared" si="41"/>
        <v>2016</v>
      </c>
      <c r="F528" s="2" t="str">
        <f t="shared" si="42"/>
        <v>Dec</v>
      </c>
      <c r="G528" s="1">
        <f t="shared" si="43"/>
        <v>12</v>
      </c>
      <c r="H528" s="1">
        <f t="shared" si="40"/>
        <v>2</v>
      </c>
      <c r="I528" s="1" t="s">
        <v>83</v>
      </c>
      <c r="J528" s="1" t="s">
        <v>2765</v>
      </c>
      <c r="K528" s="1" t="s">
        <v>2766</v>
      </c>
      <c r="L528" s="1" t="s">
        <v>28</v>
      </c>
      <c r="M528" s="1" t="s">
        <v>29</v>
      </c>
      <c r="N528" s="1" t="s">
        <v>369</v>
      </c>
      <c r="O528" s="1" t="s">
        <v>370</v>
      </c>
      <c r="P528" s="1">
        <v>97206</v>
      </c>
      <c r="Q528" s="1" t="s">
        <v>107</v>
      </c>
      <c r="R528" s="1" t="s">
        <v>2767</v>
      </c>
      <c r="S528" s="1" t="s">
        <v>64</v>
      </c>
      <c r="T528" s="1" t="s">
        <v>159</v>
      </c>
      <c r="U528" s="1" t="s">
        <v>2768</v>
      </c>
      <c r="V528" s="3">
        <v>319.96800000000002</v>
      </c>
      <c r="W528" s="1" t="str">
        <f t="shared" si="44"/>
        <v>Fast Delivery</v>
      </c>
    </row>
    <row r="529" spans="1:23" x14ac:dyDescent="0.25">
      <c r="A529" s="1">
        <v>8410</v>
      </c>
      <c r="B529" s="2" t="s">
        <v>2769</v>
      </c>
      <c r="C529" s="2">
        <v>42715</v>
      </c>
      <c r="D529" s="2">
        <v>42721</v>
      </c>
      <c r="E529" s="1">
        <f t="shared" si="41"/>
        <v>2016</v>
      </c>
      <c r="F529" s="2" t="str">
        <f t="shared" si="42"/>
        <v>Dec</v>
      </c>
      <c r="G529" s="1">
        <f t="shared" si="43"/>
        <v>12</v>
      </c>
      <c r="H529" s="1">
        <f t="shared" si="40"/>
        <v>6</v>
      </c>
      <c r="I529" s="1" t="s">
        <v>25</v>
      </c>
      <c r="J529" s="1" t="s">
        <v>2770</v>
      </c>
      <c r="K529" s="1" t="s">
        <v>2771</v>
      </c>
      <c r="L529" s="1" t="s">
        <v>131</v>
      </c>
      <c r="M529" s="1" t="s">
        <v>29</v>
      </c>
      <c r="N529" s="1" t="s">
        <v>2772</v>
      </c>
      <c r="O529" s="1" t="s">
        <v>106</v>
      </c>
      <c r="P529" s="1">
        <v>92404</v>
      </c>
      <c r="Q529" s="1" t="s">
        <v>107</v>
      </c>
      <c r="R529" s="1" t="s">
        <v>872</v>
      </c>
      <c r="S529" s="1" t="s">
        <v>34</v>
      </c>
      <c r="T529" s="1" t="s">
        <v>109</v>
      </c>
      <c r="U529" s="1" t="s">
        <v>873</v>
      </c>
      <c r="V529" s="3">
        <v>110.52800000000001</v>
      </c>
      <c r="W529" s="1" t="str">
        <f t="shared" si="44"/>
        <v>Slow Delivery</v>
      </c>
    </row>
    <row r="530" spans="1:23" x14ac:dyDescent="0.25">
      <c r="A530" s="1">
        <v>6873</v>
      </c>
      <c r="B530" s="2" t="s">
        <v>2773</v>
      </c>
      <c r="C530" s="2">
        <v>42720</v>
      </c>
      <c r="D530" s="2">
        <v>42723</v>
      </c>
      <c r="E530" s="1">
        <f t="shared" si="41"/>
        <v>2016</v>
      </c>
      <c r="F530" s="2" t="str">
        <f t="shared" si="42"/>
        <v>Dec</v>
      </c>
      <c r="G530" s="1">
        <f t="shared" si="43"/>
        <v>12</v>
      </c>
      <c r="H530" s="1">
        <f t="shared" si="40"/>
        <v>3</v>
      </c>
      <c r="I530" s="1" t="s">
        <v>38</v>
      </c>
      <c r="J530" s="1" t="s">
        <v>2774</v>
      </c>
      <c r="K530" s="1" t="s">
        <v>2775</v>
      </c>
      <c r="L530" s="1" t="s">
        <v>28</v>
      </c>
      <c r="M530" s="1" t="s">
        <v>29</v>
      </c>
      <c r="N530" s="1" t="s">
        <v>488</v>
      </c>
      <c r="O530" s="1" t="s">
        <v>424</v>
      </c>
      <c r="P530" s="1">
        <v>98105</v>
      </c>
      <c r="Q530" s="1" t="s">
        <v>107</v>
      </c>
      <c r="R530" s="1" t="s">
        <v>2776</v>
      </c>
      <c r="S530" s="1" t="s">
        <v>34</v>
      </c>
      <c r="T530" s="1" t="s">
        <v>174</v>
      </c>
      <c r="U530" s="1" t="s">
        <v>2777</v>
      </c>
      <c r="V530" s="3">
        <v>4.9800000000000004</v>
      </c>
      <c r="W530" s="1" t="str">
        <f t="shared" si="44"/>
        <v>Fast Delivery</v>
      </c>
    </row>
    <row r="531" spans="1:23" x14ac:dyDescent="0.25">
      <c r="A531" s="1">
        <v>4993</v>
      </c>
      <c r="B531" s="2" t="s">
        <v>2778</v>
      </c>
      <c r="C531" s="2">
        <v>42722</v>
      </c>
      <c r="D531" s="2">
        <v>42729</v>
      </c>
      <c r="E531" s="1">
        <f t="shared" si="41"/>
        <v>2016</v>
      </c>
      <c r="F531" s="2" t="str">
        <f t="shared" si="42"/>
        <v>Dec</v>
      </c>
      <c r="G531" s="1">
        <f t="shared" si="43"/>
        <v>12</v>
      </c>
      <c r="H531" s="1">
        <f t="shared" si="40"/>
        <v>7</v>
      </c>
      <c r="I531" s="1" t="s">
        <v>25</v>
      </c>
      <c r="J531" s="1" t="s">
        <v>2779</v>
      </c>
      <c r="K531" s="1" t="s">
        <v>2780</v>
      </c>
      <c r="L531" s="1" t="s">
        <v>51</v>
      </c>
      <c r="M531" s="1" t="s">
        <v>29</v>
      </c>
      <c r="N531" s="1" t="s">
        <v>2781</v>
      </c>
      <c r="O531" s="1" t="s">
        <v>1028</v>
      </c>
      <c r="P531" s="1">
        <v>38109</v>
      </c>
      <c r="Q531" s="1" t="s">
        <v>54</v>
      </c>
      <c r="R531" s="1" t="s">
        <v>2782</v>
      </c>
      <c r="S531" s="1" t="s">
        <v>34</v>
      </c>
      <c r="T531" s="1" t="s">
        <v>426</v>
      </c>
      <c r="U531" s="1" t="s">
        <v>2783</v>
      </c>
      <c r="V531" s="3">
        <v>55.936</v>
      </c>
      <c r="W531" s="1" t="str">
        <f t="shared" si="44"/>
        <v>Slow Delivery</v>
      </c>
    </row>
    <row r="532" spans="1:23" x14ac:dyDescent="0.25">
      <c r="A532" s="1">
        <v>6735</v>
      </c>
      <c r="B532" s="2" t="s">
        <v>2784</v>
      </c>
      <c r="C532" s="2">
        <v>42724</v>
      </c>
      <c r="D532" s="2">
        <v>42729</v>
      </c>
      <c r="E532" s="1">
        <f t="shared" si="41"/>
        <v>2016</v>
      </c>
      <c r="F532" s="2" t="str">
        <f t="shared" si="42"/>
        <v>Dec</v>
      </c>
      <c r="G532" s="1">
        <f t="shared" si="43"/>
        <v>12</v>
      </c>
      <c r="H532" s="1">
        <f t="shared" si="40"/>
        <v>5</v>
      </c>
      <c r="I532" s="1" t="s">
        <v>25</v>
      </c>
      <c r="J532" s="1" t="s">
        <v>2785</v>
      </c>
      <c r="K532" s="1" t="s">
        <v>2786</v>
      </c>
      <c r="L532" s="1" t="s">
        <v>131</v>
      </c>
      <c r="M532" s="1" t="s">
        <v>29</v>
      </c>
      <c r="N532" s="1" t="s">
        <v>236</v>
      </c>
      <c r="O532" s="1" t="s">
        <v>190</v>
      </c>
      <c r="P532" s="1">
        <v>33142</v>
      </c>
      <c r="Q532" s="1" t="s">
        <v>54</v>
      </c>
      <c r="R532" s="1" t="s">
        <v>2787</v>
      </c>
      <c r="S532" s="1" t="s">
        <v>34</v>
      </c>
      <c r="T532" s="1" t="s">
        <v>56</v>
      </c>
      <c r="U532" s="1" t="s">
        <v>2788</v>
      </c>
      <c r="V532" s="3">
        <v>11.696</v>
      </c>
      <c r="W532" s="1" t="str">
        <f t="shared" si="44"/>
        <v>Slow Delivery</v>
      </c>
    </row>
    <row r="533" spans="1:23" x14ac:dyDescent="0.25">
      <c r="A533" s="1">
        <v>4173</v>
      </c>
      <c r="B533" s="2" t="s">
        <v>2789</v>
      </c>
      <c r="C533" s="2">
        <v>42917</v>
      </c>
      <c r="D533" s="2">
        <v>42917</v>
      </c>
      <c r="E533" s="1">
        <f t="shared" si="41"/>
        <v>2017</v>
      </c>
      <c r="F533" s="2" t="str">
        <f t="shared" si="42"/>
        <v>Jul</v>
      </c>
      <c r="G533" s="1">
        <f t="shared" si="43"/>
        <v>7</v>
      </c>
      <c r="H533" s="1">
        <f t="shared" si="40"/>
        <v>0</v>
      </c>
      <c r="I533" s="1" t="s">
        <v>68</v>
      </c>
      <c r="J533" s="1" t="s">
        <v>2790</v>
      </c>
      <c r="K533" s="1" t="s">
        <v>2791</v>
      </c>
      <c r="L533" s="1" t="s">
        <v>28</v>
      </c>
      <c r="M533" s="1" t="s">
        <v>29</v>
      </c>
      <c r="N533" s="1" t="s">
        <v>86</v>
      </c>
      <c r="O533" s="1" t="s">
        <v>1532</v>
      </c>
      <c r="P533" s="1">
        <v>29203</v>
      </c>
      <c r="Q533" s="1" t="s">
        <v>54</v>
      </c>
      <c r="R533" s="1" t="s">
        <v>2249</v>
      </c>
      <c r="S533" s="1" t="s">
        <v>34</v>
      </c>
      <c r="T533" s="1" t="s">
        <v>109</v>
      </c>
      <c r="U533" s="1" t="s">
        <v>2250</v>
      </c>
      <c r="V533" s="3">
        <v>14.2</v>
      </c>
      <c r="W533" s="1" t="str">
        <f t="shared" si="44"/>
        <v>Fast Delivery</v>
      </c>
    </row>
    <row r="534" spans="1:23" x14ac:dyDescent="0.25">
      <c r="A534" s="1">
        <v>2667</v>
      </c>
      <c r="B534" s="2" t="s">
        <v>2792</v>
      </c>
      <c r="C534" s="2">
        <v>43009</v>
      </c>
      <c r="D534" s="2">
        <v>43009</v>
      </c>
      <c r="E534" s="1">
        <f t="shared" si="41"/>
        <v>2017</v>
      </c>
      <c r="F534" s="2" t="str">
        <f t="shared" si="42"/>
        <v>Oct</v>
      </c>
      <c r="G534" s="1">
        <f t="shared" si="43"/>
        <v>10</v>
      </c>
      <c r="H534" s="1">
        <f t="shared" si="40"/>
        <v>0</v>
      </c>
      <c r="I534" s="1" t="s">
        <v>68</v>
      </c>
      <c r="J534" s="1" t="s">
        <v>2793</v>
      </c>
      <c r="K534" s="1" t="s">
        <v>2794</v>
      </c>
      <c r="L534" s="1" t="s">
        <v>28</v>
      </c>
      <c r="M534" s="1" t="s">
        <v>29</v>
      </c>
      <c r="N534" s="1" t="s">
        <v>2795</v>
      </c>
      <c r="O534" s="1" t="s">
        <v>31</v>
      </c>
      <c r="P534" s="1">
        <v>79109</v>
      </c>
      <c r="Q534" s="1" t="s">
        <v>32</v>
      </c>
      <c r="R534" s="1" t="s">
        <v>2796</v>
      </c>
      <c r="S534" s="1" t="s">
        <v>64</v>
      </c>
      <c r="T534" s="1" t="s">
        <v>65</v>
      </c>
      <c r="U534" s="1" t="s">
        <v>2797</v>
      </c>
      <c r="V534" s="3">
        <v>79.512</v>
      </c>
      <c r="W534" s="1" t="str">
        <f t="shared" si="44"/>
        <v>Fast Delivery</v>
      </c>
    </row>
    <row r="535" spans="1:23" x14ac:dyDescent="0.25">
      <c r="A535" s="1">
        <v>6970</v>
      </c>
      <c r="B535" s="2" t="s">
        <v>2798</v>
      </c>
      <c r="C535" s="2">
        <v>42745</v>
      </c>
      <c r="D535" s="2">
        <v>42748</v>
      </c>
      <c r="E535" s="1">
        <f t="shared" si="41"/>
        <v>2017</v>
      </c>
      <c r="F535" s="2" t="str">
        <f t="shared" si="42"/>
        <v>Jan</v>
      </c>
      <c r="G535" s="1">
        <f t="shared" si="43"/>
        <v>1</v>
      </c>
      <c r="H535" s="1">
        <f t="shared" si="40"/>
        <v>3</v>
      </c>
      <c r="I535" s="1" t="s">
        <v>83</v>
      </c>
      <c r="J535" s="1" t="s">
        <v>2799</v>
      </c>
      <c r="K535" s="1" t="s">
        <v>2800</v>
      </c>
      <c r="L535" s="1" t="s">
        <v>28</v>
      </c>
      <c r="M535" s="1" t="s">
        <v>29</v>
      </c>
      <c r="N535" s="1" t="s">
        <v>2801</v>
      </c>
      <c r="O535" s="1" t="s">
        <v>424</v>
      </c>
      <c r="P535" s="1">
        <v>98632</v>
      </c>
      <c r="Q535" s="1" t="s">
        <v>107</v>
      </c>
      <c r="R535" s="1" t="s">
        <v>44</v>
      </c>
      <c r="S535" s="1" t="s">
        <v>45</v>
      </c>
      <c r="T535" s="1" t="s">
        <v>46</v>
      </c>
      <c r="U535" s="1" t="s">
        <v>47</v>
      </c>
      <c r="V535" s="3">
        <v>24.85</v>
      </c>
      <c r="W535" s="1" t="str">
        <f t="shared" si="44"/>
        <v>Fast Delivery</v>
      </c>
    </row>
    <row r="536" spans="1:23" x14ac:dyDescent="0.25">
      <c r="A536" s="1">
        <v>2471</v>
      </c>
      <c r="B536" s="2" t="s">
        <v>2802</v>
      </c>
      <c r="C536" s="2">
        <v>42757</v>
      </c>
      <c r="D536" s="2">
        <v>42763</v>
      </c>
      <c r="E536" s="1">
        <f t="shared" si="41"/>
        <v>2017</v>
      </c>
      <c r="F536" s="2" t="str">
        <f t="shared" si="42"/>
        <v>Jan</v>
      </c>
      <c r="G536" s="1">
        <f t="shared" si="43"/>
        <v>1</v>
      </c>
      <c r="H536" s="1">
        <f t="shared" si="40"/>
        <v>6</v>
      </c>
      <c r="I536" s="1" t="s">
        <v>25</v>
      </c>
      <c r="J536" s="1" t="s">
        <v>2803</v>
      </c>
      <c r="K536" s="1" t="s">
        <v>2804</v>
      </c>
      <c r="L536" s="1" t="s">
        <v>28</v>
      </c>
      <c r="M536" s="1" t="s">
        <v>29</v>
      </c>
      <c r="N536" s="1" t="s">
        <v>738</v>
      </c>
      <c r="O536" s="1" t="s">
        <v>320</v>
      </c>
      <c r="P536" s="1">
        <v>28314</v>
      </c>
      <c r="Q536" s="1" t="s">
        <v>54</v>
      </c>
      <c r="R536" s="1" t="s">
        <v>2805</v>
      </c>
      <c r="S536" s="1" t="s">
        <v>45</v>
      </c>
      <c r="T536" s="1" t="s">
        <v>46</v>
      </c>
      <c r="U536" s="1" t="s">
        <v>2806</v>
      </c>
      <c r="V536" s="3">
        <v>14.272</v>
      </c>
      <c r="W536" s="1" t="str">
        <f t="shared" si="44"/>
        <v>Slow Delivery</v>
      </c>
    </row>
    <row r="537" spans="1:23" x14ac:dyDescent="0.25">
      <c r="A537" s="1">
        <v>3237</v>
      </c>
      <c r="B537" s="2" t="s">
        <v>2807</v>
      </c>
      <c r="C537" s="2">
        <v>42857</v>
      </c>
      <c r="D537" s="2">
        <v>42857</v>
      </c>
      <c r="E537" s="1">
        <f t="shared" si="41"/>
        <v>2017</v>
      </c>
      <c r="F537" s="2" t="str">
        <f t="shared" si="42"/>
        <v>May</v>
      </c>
      <c r="G537" s="1">
        <f t="shared" si="43"/>
        <v>5</v>
      </c>
      <c r="H537" s="1">
        <f t="shared" si="40"/>
        <v>0</v>
      </c>
      <c r="I537" s="1" t="s">
        <v>68</v>
      </c>
      <c r="J537" s="1" t="s">
        <v>2808</v>
      </c>
      <c r="K537" s="1" t="s">
        <v>2809</v>
      </c>
      <c r="L537" s="1" t="s">
        <v>28</v>
      </c>
      <c r="M537" s="1" t="s">
        <v>29</v>
      </c>
      <c r="N537" s="1" t="s">
        <v>114</v>
      </c>
      <c r="O537" s="1" t="s">
        <v>115</v>
      </c>
      <c r="P537" s="1">
        <v>10024</v>
      </c>
      <c r="Q537" s="1" t="s">
        <v>43</v>
      </c>
      <c r="R537" s="1" t="s">
        <v>2810</v>
      </c>
      <c r="S537" s="1" t="s">
        <v>34</v>
      </c>
      <c r="T537" s="1" t="s">
        <v>270</v>
      </c>
      <c r="U537" s="1" t="s">
        <v>2811</v>
      </c>
      <c r="V537" s="3">
        <v>44.94</v>
      </c>
      <c r="W537" s="1" t="str">
        <f t="shared" si="44"/>
        <v>Fast Delivery</v>
      </c>
    </row>
    <row r="538" spans="1:23" x14ac:dyDescent="0.25">
      <c r="A538" s="1">
        <v>1068</v>
      </c>
      <c r="B538" s="2" t="s">
        <v>2812</v>
      </c>
      <c r="C538" s="2">
        <v>43009</v>
      </c>
      <c r="D538" s="2">
        <v>43010</v>
      </c>
      <c r="E538" s="1">
        <f t="shared" si="41"/>
        <v>2017</v>
      </c>
      <c r="F538" s="2" t="str">
        <f t="shared" si="42"/>
        <v>Oct</v>
      </c>
      <c r="G538" s="1">
        <f t="shared" si="43"/>
        <v>10</v>
      </c>
      <c r="H538" s="1">
        <f t="shared" si="40"/>
        <v>1</v>
      </c>
      <c r="I538" s="1" t="s">
        <v>38</v>
      </c>
      <c r="J538" s="1" t="s">
        <v>2813</v>
      </c>
      <c r="K538" s="1" t="s">
        <v>2814</v>
      </c>
      <c r="L538" s="1" t="s">
        <v>28</v>
      </c>
      <c r="M538" s="1" t="s">
        <v>29</v>
      </c>
      <c r="N538" s="1" t="s">
        <v>105</v>
      </c>
      <c r="O538" s="1" t="s">
        <v>106</v>
      </c>
      <c r="P538" s="1">
        <v>94122</v>
      </c>
      <c r="Q538" s="1" t="s">
        <v>107</v>
      </c>
      <c r="R538" s="1" t="s">
        <v>88</v>
      </c>
      <c r="S538" s="1" t="s">
        <v>45</v>
      </c>
      <c r="T538" s="1" t="s">
        <v>89</v>
      </c>
      <c r="U538" s="1" t="s">
        <v>90</v>
      </c>
      <c r="V538" s="3">
        <v>194.84800000000001</v>
      </c>
      <c r="W538" s="1" t="str">
        <f t="shared" si="44"/>
        <v>Fast Delivery</v>
      </c>
    </row>
    <row r="539" spans="1:23" x14ac:dyDescent="0.25">
      <c r="A539" s="1">
        <v>8842</v>
      </c>
      <c r="B539" s="2" t="s">
        <v>2815</v>
      </c>
      <c r="C539" s="2">
        <v>42775</v>
      </c>
      <c r="D539" s="2">
        <v>42779</v>
      </c>
      <c r="E539" s="1">
        <f t="shared" si="41"/>
        <v>2017</v>
      </c>
      <c r="F539" s="2" t="str">
        <f t="shared" si="42"/>
        <v>Feb</v>
      </c>
      <c r="G539" s="1">
        <f t="shared" si="43"/>
        <v>2</v>
      </c>
      <c r="H539" s="1">
        <f t="shared" si="40"/>
        <v>4</v>
      </c>
      <c r="I539" s="1" t="s">
        <v>25</v>
      </c>
      <c r="J539" s="1" t="s">
        <v>2816</v>
      </c>
      <c r="K539" s="1" t="s">
        <v>2817</v>
      </c>
      <c r="L539" s="1" t="s">
        <v>51</v>
      </c>
      <c r="M539" s="1" t="s">
        <v>29</v>
      </c>
      <c r="N539" s="1" t="s">
        <v>105</v>
      </c>
      <c r="O539" s="1" t="s">
        <v>106</v>
      </c>
      <c r="P539" s="1">
        <v>94110</v>
      </c>
      <c r="Q539" s="1" t="s">
        <v>107</v>
      </c>
      <c r="R539" s="1" t="s">
        <v>63</v>
      </c>
      <c r="S539" s="1" t="s">
        <v>64</v>
      </c>
      <c r="T539" s="1" t="s">
        <v>65</v>
      </c>
      <c r="U539" s="1" t="s">
        <v>66</v>
      </c>
      <c r="V539" s="3">
        <v>89.97</v>
      </c>
      <c r="W539" s="1" t="str">
        <f t="shared" si="44"/>
        <v>Slow Delivery</v>
      </c>
    </row>
    <row r="540" spans="1:23" x14ac:dyDescent="0.25">
      <c r="A540" s="1">
        <v>1809</v>
      </c>
      <c r="B540" s="2" t="s">
        <v>2818</v>
      </c>
      <c r="C540" s="2">
        <v>42777</v>
      </c>
      <c r="D540" s="2">
        <v>42779</v>
      </c>
      <c r="E540" s="1">
        <f t="shared" si="41"/>
        <v>2017</v>
      </c>
      <c r="F540" s="2" t="str">
        <f t="shared" si="42"/>
        <v>Feb</v>
      </c>
      <c r="G540" s="1">
        <f t="shared" si="43"/>
        <v>2</v>
      </c>
      <c r="H540" s="1">
        <f t="shared" si="40"/>
        <v>2</v>
      </c>
      <c r="I540" s="1" t="s">
        <v>38</v>
      </c>
      <c r="J540" s="1" t="s">
        <v>2819</v>
      </c>
      <c r="K540" s="1" t="s">
        <v>2820</v>
      </c>
      <c r="L540" s="1" t="s">
        <v>51</v>
      </c>
      <c r="M540" s="1" t="s">
        <v>29</v>
      </c>
      <c r="N540" s="1" t="s">
        <v>1214</v>
      </c>
      <c r="O540" s="1" t="s">
        <v>1190</v>
      </c>
      <c r="P540" s="1">
        <v>74133</v>
      </c>
      <c r="Q540" s="1" t="s">
        <v>32</v>
      </c>
      <c r="R540" s="1" t="s">
        <v>2821</v>
      </c>
      <c r="S540" s="1" t="s">
        <v>64</v>
      </c>
      <c r="T540" s="1" t="s">
        <v>159</v>
      </c>
      <c r="U540" s="1" t="s">
        <v>2822</v>
      </c>
      <c r="V540" s="3">
        <v>69.930000000000007</v>
      </c>
      <c r="W540" s="1" t="str">
        <f t="shared" si="44"/>
        <v>Fast Delivery</v>
      </c>
    </row>
    <row r="541" spans="1:23" x14ac:dyDescent="0.25">
      <c r="A541" s="1">
        <v>4748</v>
      </c>
      <c r="B541" s="2" t="s">
        <v>2823</v>
      </c>
      <c r="C541" s="2">
        <v>42797</v>
      </c>
      <c r="D541" s="2">
        <v>42797</v>
      </c>
      <c r="E541" s="1">
        <f t="shared" si="41"/>
        <v>2017</v>
      </c>
      <c r="F541" s="2" t="str">
        <f t="shared" si="42"/>
        <v>Mar</v>
      </c>
      <c r="G541" s="1">
        <f t="shared" si="43"/>
        <v>3</v>
      </c>
      <c r="H541" s="1">
        <f t="shared" si="40"/>
        <v>0</v>
      </c>
      <c r="I541" s="1" t="s">
        <v>68</v>
      </c>
      <c r="J541" s="1" t="s">
        <v>2824</v>
      </c>
      <c r="K541" s="1" t="s">
        <v>2825</v>
      </c>
      <c r="L541" s="1" t="s">
        <v>51</v>
      </c>
      <c r="M541" s="1" t="s">
        <v>29</v>
      </c>
      <c r="N541" s="1" t="s">
        <v>105</v>
      </c>
      <c r="O541" s="1" t="s">
        <v>106</v>
      </c>
      <c r="P541" s="1">
        <v>94110</v>
      </c>
      <c r="Q541" s="1" t="s">
        <v>107</v>
      </c>
      <c r="R541" s="1" t="s">
        <v>2826</v>
      </c>
      <c r="S541" s="1" t="s">
        <v>34</v>
      </c>
      <c r="T541" s="1" t="s">
        <v>638</v>
      </c>
      <c r="U541" s="1" t="s">
        <v>2827</v>
      </c>
      <c r="V541" s="3">
        <v>25.35</v>
      </c>
      <c r="W541" s="1" t="str">
        <f t="shared" si="44"/>
        <v>Fast Delivery</v>
      </c>
    </row>
    <row r="542" spans="1:23" x14ac:dyDescent="0.25">
      <c r="A542" s="1">
        <v>448</v>
      </c>
      <c r="B542" s="2" t="s">
        <v>2828</v>
      </c>
      <c r="C542" s="2">
        <v>42826</v>
      </c>
      <c r="D542" s="2">
        <v>42828</v>
      </c>
      <c r="E542" s="1">
        <f t="shared" si="41"/>
        <v>2017</v>
      </c>
      <c r="F542" s="2" t="str">
        <f t="shared" si="42"/>
        <v>Apr</v>
      </c>
      <c r="G542" s="1">
        <f t="shared" si="43"/>
        <v>4</v>
      </c>
      <c r="H542" s="1">
        <f t="shared" si="40"/>
        <v>2</v>
      </c>
      <c r="I542" s="1" t="s">
        <v>83</v>
      </c>
      <c r="J542" s="1" t="s">
        <v>2829</v>
      </c>
      <c r="K542" s="1" t="s">
        <v>2830</v>
      </c>
      <c r="L542" s="1" t="s">
        <v>28</v>
      </c>
      <c r="M542" s="1" t="s">
        <v>29</v>
      </c>
      <c r="N542" s="1" t="s">
        <v>2831</v>
      </c>
      <c r="O542" s="1" t="s">
        <v>115</v>
      </c>
      <c r="P542" s="1">
        <v>13021</v>
      </c>
      <c r="Q542" s="1" t="s">
        <v>43</v>
      </c>
      <c r="R542" s="1" t="s">
        <v>898</v>
      </c>
      <c r="S542" s="1" t="s">
        <v>34</v>
      </c>
      <c r="T542" s="1" t="s">
        <v>35</v>
      </c>
      <c r="U542" s="1" t="s">
        <v>899</v>
      </c>
      <c r="V542" s="3">
        <v>59.52</v>
      </c>
      <c r="W542" s="1" t="str">
        <f t="shared" si="44"/>
        <v>Fast Delivery</v>
      </c>
    </row>
    <row r="543" spans="1:23" x14ac:dyDescent="0.25">
      <c r="A543" s="1">
        <v>350</v>
      </c>
      <c r="B543" s="2" t="s">
        <v>2832</v>
      </c>
      <c r="C543" s="2">
        <v>42979</v>
      </c>
      <c r="D543" s="2">
        <v>42981</v>
      </c>
      <c r="E543" s="1">
        <f t="shared" si="41"/>
        <v>2017</v>
      </c>
      <c r="F543" s="2" t="str">
        <f t="shared" si="42"/>
        <v>Sep</v>
      </c>
      <c r="G543" s="1">
        <f t="shared" si="43"/>
        <v>9</v>
      </c>
      <c r="H543" s="1">
        <f t="shared" si="40"/>
        <v>2</v>
      </c>
      <c r="I543" s="1" t="s">
        <v>38</v>
      </c>
      <c r="J543" s="1" t="s">
        <v>2833</v>
      </c>
      <c r="K543" s="1" t="s">
        <v>2834</v>
      </c>
      <c r="L543" s="1" t="s">
        <v>131</v>
      </c>
      <c r="M543" s="1" t="s">
        <v>29</v>
      </c>
      <c r="N543" s="1" t="s">
        <v>114</v>
      </c>
      <c r="O543" s="1" t="s">
        <v>115</v>
      </c>
      <c r="P543" s="1">
        <v>10009</v>
      </c>
      <c r="Q543" s="1" t="s">
        <v>43</v>
      </c>
      <c r="R543" s="1" t="s">
        <v>2835</v>
      </c>
      <c r="S543" s="1" t="s">
        <v>64</v>
      </c>
      <c r="T543" s="1" t="s">
        <v>65</v>
      </c>
      <c r="U543" s="1" t="s">
        <v>2836</v>
      </c>
      <c r="V543" s="3">
        <v>6.79</v>
      </c>
      <c r="W543" s="1" t="str">
        <f t="shared" si="44"/>
        <v>Fast Delivery</v>
      </c>
    </row>
    <row r="544" spans="1:23" x14ac:dyDescent="0.25">
      <c r="A544" s="1">
        <v>7482</v>
      </c>
      <c r="B544" s="2" t="s">
        <v>2837</v>
      </c>
      <c r="C544" s="2">
        <v>42979</v>
      </c>
      <c r="D544" s="2">
        <v>42981</v>
      </c>
      <c r="E544" s="1">
        <f t="shared" si="41"/>
        <v>2017</v>
      </c>
      <c r="F544" s="2" t="str">
        <f t="shared" si="42"/>
        <v>Sep</v>
      </c>
      <c r="G544" s="1">
        <f t="shared" si="43"/>
        <v>9</v>
      </c>
      <c r="H544" s="1">
        <f t="shared" si="40"/>
        <v>2</v>
      </c>
      <c r="I544" s="1" t="s">
        <v>83</v>
      </c>
      <c r="J544" s="1" t="s">
        <v>2838</v>
      </c>
      <c r="K544" s="1" t="s">
        <v>2839</v>
      </c>
      <c r="L544" s="1" t="s">
        <v>131</v>
      </c>
      <c r="M544" s="1" t="s">
        <v>29</v>
      </c>
      <c r="N544" s="1" t="s">
        <v>2840</v>
      </c>
      <c r="O544" s="1" t="s">
        <v>106</v>
      </c>
      <c r="P544" s="1">
        <v>92646</v>
      </c>
      <c r="Q544" s="1" t="s">
        <v>107</v>
      </c>
      <c r="R544" s="1" t="s">
        <v>2841</v>
      </c>
      <c r="S544" s="1" t="s">
        <v>34</v>
      </c>
      <c r="T544" s="1" t="s">
        <v>426</v>
      </c>
      <c r="U544" s="1" t="s">
        <v>2842</v>
      </c>
      <c r="V544" s="3">
        <v>12.78</v>
      </c>
      <c r="W544" s="1" t="str">
        <f t="shared" si="44"/>
        <v>Fast Delivery</v>
      </c>
    </row>
    <row r="545" spans="1:23" x14ac:dyDescent="0.25">
      <c r="A545" s="1">
        <v>4513</v>
      </c>
      <c r="B545" s="2" t="s">
        <v>2843</v>
      </c>
      <c r="C545" s="2">
        <v>43010</v>
      </c>
      <c r="D545" s="2">
        <v>43011</v>
      </c>
      <c r="E545" s="1">
        <f t="shared" si="41"/>
        <v>2017</v>
      </c>
      <c r="F545" s="2" t="str">
        <f t="shared" si="42"/>
        <v>Oct</v>
      </c>
      <c r="G545" s="1">
        <f t="shared" si="43"/>
        <v>10</v>
      </c>
      <c r="H545" s="1">
        <f t="shared" si="40"/>
        <v>1</v>
      </c>
      <c r="I545" s="1" t="s">
        <v>38</v>
      </c>
      <c r="J545" s="1" t="s">
        <v>2844</v>
      </c>
      <c r="K545" s="1" t="s">
        <v>2845</v>
      </c>
      <c r="L545" s="1" t="s">
        <v>28</v>
      </c>
      <c r="M545" s="1" t="s">
        <v>29</v>
      </c>
      <c r="N545" s="1" t="s">
        <v>1973</v>
      </c>
      <c r="O545" s="1" t="s">
        <v>229</v>
      </c>
      <c r="P545" s="1">
        <v>85023</v>
      </c>
      <c r="Q545" s="1" t="s">
        <v>107</v>
      </c>
      <c r="R545" s="1" t="s">
        <v>2846</v>
      </c>
      <c r="S545" s="1" t="s">
        <v>34</v>
      </c>
      <c r="T545" s="1" t="s">
        <v>109</v>
      </c>
      <c r="U545" s="1" t="s">
        <v>2847</v>
      </c>
      <c r="V545" s="3">
        <v>54.792000000000002</v>
      </c>
      <c r="W545" s="1" t="str">
        <f t="shared" si="44"/>
        <v>Fast Delivery</v>
      </c>
    </row>
    <row r="546" spans="1:23" x14ac:dyDescent="0.25">
      <c r="A546" s="1">
        <v>8112</v>
      </c>
      <c r="B546" s="2" t="s">
        <v>2848</v>
      </c>
      <c r="C546" s="2">
        <v>43070</v>
      </c>
      <c r="D546" s="2">
        <v>43072</v>
      </c>
      <c r="E546" s="1">
        <f t="shared" si="41"/>
        <v>2017</v>
      </c>
      <c r="F546" s="2" t="str">
        <f t="shared" si="42"/>
        <v>Dec</v>
      </c>
      <c r="G546" s="1">
        <f t="shared" si="43"/>
        <v>12</v>
      </c>
      <c r="H546" s="1">
        <f t="shared" si="40"/>
        <v>2</v>
      </c>
      <c r="I546" s="1" t="s">
        <v>83</v>
      </c>
      <c r="J546" s="1" t="s">
        <v>2849</v>
      </c>
      <c r="K546" s="1" t="s">
        <v>2850</v>
      </c>
      <c r="L546" s="1" t="s">
        <v>28</v>
      </c>
      <c r="M546" s="1" t="s">
        <v>29</v>
      </c>
      <c r="N546" s="1" t="s">
        <v>2851</v>
      </c>
      <c r="O546" s="1" t="s">
        <v>31</v>
      </c>
      <c r="P546" s="1">
        <v>76903</v>
      </c>
      <c r="Q546" s="1" t="s">
        <v>32</v>
      </c>
      <c r="R546" s="1" t="s">
        <v>1359</v>
      </c>
      <c r="S546" s="1" t="s">
        <v>45</v>
      </c>
      <c r="T546" s="1" t="s">
        <v>89</v>
      </c>
      <c r="U546" s="1" t="s">
        <v>1360</v>
      </c>
      <c r="V546" s="3">
        <v>248.43</v>
      </c>
      <c r="W546" s="1" t="str">
        <f t="shared" si="44"/>
        <v>Fast Delivery</v>
      </c>
    </row>
    <row r="547" spans="1:23" x14ac:dyDescent="0.25">
      <c r="A547" s="1">
        <v>1047</v>
      </c>
      <c r="B547" s="2" t="s">
        <v>2852</v>
      </c>
      <c r="C547" s="2">
        <v>42802</v>
      </c>
      <c r="D547" s="2">
        <v>42807</v>
      </c>
      <c r="E547" s="1">
        <f t="shared" si="41"/>
        <v>2017</v>
      </c>
      <c r="F547" s="2" t="str">
        <f t="shared" si="42"/>
        <v>Mar</v>
      </c>
      <c r="G547" s="1">
        <f t="shared" si="43"/>
        <v>3</v>
      </c>
      <c r="H547" s="1">
        <f t="shared" si="40"/>
        <v>5</v>
      </c>
      <c r="I547" s="1" t="s">
        <v>25</v>
      </c>
      <c r="J547" s="1" t="s">
        <v>2853</v>
      </c>
      <c r="K547" s="1" t="s">
        <v>2854</v>
      </c>
      <c r="L547" s="1" t="s">
        <v>28</v>
      </c>
      <c r="M547" s="1" t="s">
        <v>29</v>
      </c>
      <c r="N547" s="1" t="s">
        <v>236</v>
      </c>
      <c r="O547" s="1" t="s">
        <v>190</v>
      </c>
      <c r="P547" s="1">
        <v>33142</v>
      </c>
      <c r="Q547" s="1" t="s">
        <v>54</v>
      </c>
      <c r="R547" s="1" t="s">
        <v>1059</v>
      </c>
      <c r="S547" s="1" t="s">
        <v>64</v>
      </c>
      <c r="T547" s="1" t="s">
        <v>159</v>
      </c>
      <c r="U547" s="1" t="s">
        <v>1060</v>
      </c>
      <c r="V547" s="3">
        <v>1363.96</v>
      </c>
      <c r="W547" s="1" t="str">
        <f t="shared" si="44"/>
        <v>Slow Delivery</v>
      </c>
    </row>
    <row r="548" spans="1:23" x14ac:dyDescent="0.25">
      <c r="A548" s="1">
        <v>8100</v>
      </c>
      <c r="B548" s="2" t="s">
        <v>2855</v>
      </c>
      <c r="C548" s="2">
        <v>42804</v>
      </c>
      <c r="D548" s="2">
        <v>42807</v>
      </c>
      <c r="E548" s="1">
        <f t="shared" si="41"/>
        <v>2017</v>
      </c>
      <c r="F548" s="2" t="str">
        <f t="shared" si="42"/>
        <v>Mar</v>
      </c>
      <c r="G548" s="1">
        <f t="shared" si="43"/>
        <v>3</v>
      </c>
      <c r="H548" s="1">
        <f t="shared" si="40"/>
        <v>3</v>
      </c>
      <c r="I548" s="1" t="s">
        <v>38</v>
      </c>
      <c r="J548" s="1" t="s">
        <v>2856</v>
      </c>
      <c r="K548" s="1" t="s">
        <v>2857</v>
      </c>
      <c r="L548" s="1" t="s">
        <v>131</v>
      </c>
      <c r="M548" s="1" t="s">
        <v>29</v>
      </c>
      <c r="N548" s="1" t="s">
        <v>132</v>
      </c>
      <c r="O548" s="1" t="s">
        <v>106</v>
      </c>
      <c r="P548" s="1">
        <v>90045</v>
      </c>
      <c r="Q548" s="1" t="s">
        <v>107</v>
      </c>
      <c r="R548" s="1" t="s">
        <v>2065</v>
      </c>
      <c r="S548" s="1" t="s">
        <v>64</v>
      </c>
      <c r="T548" s="1" t="s">
        <v>65</v>
      </c>
      <c r="U548" s="1" t="s">
        <v>2066</v>
      </c>
      <c r="V548" s="3">
        <v>26.85</v>
      </c>
      <c r="W548" s="1" t="str">
        <f t="shared" si="44"/>
        <v>Fast Delivery</v>
      </c>
    </row>
    <row r="549" spans="1:23" x14ac:dyDescent="0.25">
      <c r="A549" s="1">
        <v>9412</v>
      </c>
      <c r="B549" s="2" t="s">
        <v>2858</v>
      </c>
      <c r="C549" s="2">
        <v>42804</v>
      </c>
      <c r="D549" s="2">
        <v>42808</v>
      </c>
      <c r="E549" s="1">
        <f t="shared" si="41"/>
        <v>2017</v>
      </c>
      <c r="F549" s="2" t="str">
        <f t="shared" si="42"/>
        <v>Mar</v>
      </c>
      <c r="G549" s="1">
        <f t="shared" si="43"/>
        <v>3</v>
      </c>
      <c r="H549" s="1">
        <f t="shared" si="40"/>
        <v>4</v>
      </c>
      <c r="I549" s="1" t="s">
        <v>83</v>
      </c>
      <c r="J549" s="1" t="s">
        <v>2859</v>
      </c>
      <c r="K549" s="1" t="s">
        <v>2860</v>
      </c>
      <c r="L549" s="1" t="s">
        <v>51</v>
      </c>
      <c r="M549" s="1" t="s">
        <v>29</v>
      </c>
      <c r="N549" s="1" t="s">
        <v>242</v>
      </c>
      <c r="O549" s="1" t="s">
        <v>229</v>
      </c>
      <c r="P549" s="1">
        <v>85301</v>
      </c>
      <c r="Q549" s="1" t="s">
        <v>107</v>
      </c>
      <c r="R549" s="1" t="s">
        <v>2861</v>
      </c>
      <c r="S549" s="1" t="s">
        <v>34</v>
      </c>
      <c r="T549" s="1" t="s">
        <v>270</v>
      </c>
      <c r="U549" s="1" t="s">
        <v>2862</v>
      </c>
      <c r="V549" s="3">
        <v>104.696</v>
      </c>
      <c r="W549" s="1" t="str">
        <f t="shared" si="44"/>
        <v>Slow Delivery</v>
      </c>
    </row>
    <row r="550" spans="1:23" x14ac:dyDescent="0.25">
      <c r="A550" s="1">
        <v>1693</v>
      </c>
      <c r="B550" s="2" t="s">
        <v>2863</v>
      </c>
      <c r="C550" s="2">
        <v>42808</v>
      </c>
      <c r="D550" s="2">
        <v>42813</v>
      </c>
      <c r="E550" s="1">
        <f t="shared" si="41"/>
        <v>2017</v>
      </c>
      <c r="F550" s="2" t="str">
        <f t="shared" si="42"/>
        <v>Mar</v>
      </c>
      <c r="G550" s="1">
        <f t="shared" si="43"/>
        <v>3</v>
      </c>
      <c r="H550" s="1">
        <f t="shared" si="40"/>
        <v>5</v>
      </c>
      <c r="I550" s="1" t="s">
        <v>25</v>
      </c>
      <c r="J550" s="1" t="s">
        <v>2864</v>
      </c>
      <c r="K550" s="1" t="s">
        <v>2865</v>
      </c>
      <c r="L550" s="1" t="s">
        <v>28</v>
      </c>
      <c r="M550" s="1" t="s">
        <v>29</v>
      </c>
      <c r="N550" s="1" t="s">
        <v>71</v>
      </c>
      <c r="O550" s="1" t="s">
        <v>72</v>
      </c>
      <c r="P550" s="1">
        <v>43229</v>
      </c>
      <c r="Q550" s="1" t="s">
        <v>43</v>
      </c>
      <c r="R550" s="1" t="s">
        <v>1123</v>
      </c>
      <c r="S550" s="1" t="s">
        <v>45</v>
      </c>
      <c r="T550" s="1" t="s">
        <v>46</v>
      </c>
      <c r="U550" s="1" t="s">
        <v>1124</v>
      </c>
      <c r="V550" s="3">
        <v>21.88</v>
      </c>
      <c r="W550" s="1" t="str">
        <f t="shared" si="44"/>
        <v>Slow Delivery</v>
      </c>
    </row>
    <row r="551" spans="1:23" x14ac:dyDescent="0.25">
      <c r="A551" s="1">
        <v>2664</v>
      </c>
      <c r="B551" s="2" t="s">
        <v>2866</v>
      </c>
      <c r="C551" s="2">
        <v>42856</v>
      </c>
      <c r="D551" s="2">
        <v>42859</v>
      </c>
      <c r="E551" s="1">
        <f t="shared" si="41"/>
        <v>2017</v>
      </c>
      <c r="F551" s="2" t="str">
        <f t="shared" si="42"/>
        <v>May</v>
      </c>
      <c r="G551" s="1">
        <f t="shared" si="43"/>
        <v>5</v>
      </c>
      <c r="H551" s="1">
        <f t="shared" si="40"/>
        <v>3</v>
      </c>
      <c r="I551" s="1" t="s">
        <v>38</v>
      </c>
      <c r="J551" s="1" t="s">
        <v>2867</v>
      </c>
      <c r="K551" s="1" t="s">
        <v>2868</v>
      </c>
      <c r="L551" s="1" t="s">
        <v>28</v>
      </c>
      <c r="M551" s="1" t="s">
        <v>29</v>
      </c>
      <c r="N551" s="1" t="s">
        <v>2781</v>
      </c>
      <c r="O551" s="1" t="s">
        <v>1028</v>
      </c>
      <c r="P551" s="1">
        <v>38109</v>
      </c>
      <c r="Q551" s="1" t="s">
        <v>54</v>
      </c>
      <c r="R551" s="1" t="s">
        <v>572</v>
      </c>
      <c r="S551" s="1" t="s">
        <v>34</v>
      </c>
      <c r="T551" s="1" t="s">
        <v>56</v>
      </c>
      <c r="U551" s="1" t="s">
        <v>573</v>
      </c>
      <c r="V551" s="3">
        <v>3.984</v>
      </c>
      <c r="W551" s="1" t="str">
        <f t="shared" si="44"/>
        <v>Fast Delivery</v>
      </c>
    </row>
    <row r="552" spans="1:23" x14ac:dyDescent="0.25">
      <c r="A552" s="1">
        <v>5862</v>
      </c>
      <c r="B552" s="2" t="s">
        <v>2869</v>
      </c>
      <c r="C552" s="2">
        <v>42856</v>
      </c>
      <c r="D552" s="2">
        <v>42859</v>
      </c>
      <c r="E552" s="1">
        <f t="shared" si="41"/>
        <v>2017</v>
      </c>
      <c r="F552" s="2" t="str">
        <f t="shared" si="42"/>
        <v>May</v>
      </c>
      <c r="G552" s="1">
        <f t="shared" si="43"/>
        <v>5</v>
      </c>
      <c r="H552" s="1">
        <f t="shared" si="40"/>
        <v>3</v>
      </c>
      <c r="I552" s="1" t="s">
        <v>83</v>
      </c>
      <c r="J552" s="1" t="s">
        <v>2870</v>
      </c>
      <c r="K552" s="1" t="s">
        <v>2871</v>
      </c>
      <c r="L552" s="1" t="s">
        <v>28</v>
      </c>
      <c r="M552" s="1" t="s">
        <v>29</v>
      </c>
      <c r="N552" s="1" t="s">
        <v>527</v>
      </c>
      <c r="O552" s="1" t="s">
        <v>528</v>
      </c>
      <c r="P552" s="1">
        <v>72209</v>
      </c>
      <c r="Q552" s="1" t="s">
        <v>54</v>
      </c>
      <c r="R552" s="1" t="s">
        <v>2872</v>
      </c>
      <c r="S552" s="1" t="s">
        <v>34</v>
      </c>
      <c r="T552" s="1" t="s">
        <v>174</v>
      </c>
      <c r="U552" s="1" t="s">
        <v>2873</v>
      </c>
      <c r="V552" s="3">
        <v>109.92</v>
      </c>
      <c r="W552" s="1" t="str">
        <f t="shared" si="44"/>
        <v>Fast Delivery</v>
      </c>
    </row>
    <row r="553" spans="1:23" x14ac:dyDescent="0.25">
      <c r="A553" s="1">
        <v>2602</v>
      </c>
      <c r="B553" s="2" t="s">
        <v>2874</v>
      </c>
      <c r="C553" s="2">
        <v>42890</v>
      </c>
      <c r="D553" s="2">
        <v>42890</v>
      </c>
      <c r="E553" s="1">
        <f t="shared" si="41"/>
        <v>2017</v>
      </c>
      <c r="F553" s="2" t="str">
        <f t="shared" si="42"/>
        <v>Jun</v>
      </c>
      <c r="G553" s="1">
        <f t="shared" si="43"/>
        <v>6</v>
      </c>
      <c r="H553" s="1">
        <f t="shared" si="40"/>
        <v>0</v>
      </c>
      <c r="I553" s="1" t="s">
        <v>68</v>
      </c>
      <c r="J553" s="1" t="s">
        <v>2875</v>
      </c>
      <c r="K553" s="1" t="s">
        <v>2876</v>
      </c>
      <c r="L553" s="1" t="s">
        <v>28</v>
      </c>
      <c r="M553" s="1" t="s">
        <v>29</v>
      </c>
      <c r="N553" s="1" t="s">
        <v>114</v>
      </c>
      <c r="O553" s="1" t="s">
        <v>115</v>
      </c>
      <c r="P553" s="1">
        <v>10035</v>
      </c>
      <c r="Q553" s="1" t="s">
        <v>43</v>
      </c>
      <c r="R553" s="1" t="s">
        <v>2352</v>
      </c>
      <c r="S553" s="1" t="s">
        <v>34</v>
      </c>
      <c r="T553" s="1" t="s">
        <v>174</v>
      </c>
      <c r="U553" s="1" t="s">
        <v>827</v>
      </c>
      <c r="V553" s="3">
        <v>14.94</v>
      </c>
      <c r="W553" s="1" t="str">
        <f t="shared" si="44"/>
        <v>Fast Delivery</v>
      </c>
    </row>
    <row r="554" spans="1:23" x14ac:dyDescent="0.25">
      <c r="A554" s="1">
        <v>5245</v>
      </c>
      <c r="B554" s="2" t="s">
        <v>2877</v>
      </c>
      <c r="C554" s="2">
        <v>42949</v>
      </c>
      <c r="D554" s="2">
        <v>42951</v>
      </c>
      <c r="E554" s="1">
        <f t="shared" si="41"/>
        <v>2017</v>
      </c>
      <c r="F554" s="2" t="str">
        <f t="shared" si="42"/>
        <v>Aug</v>
      </c>
      <c r="G554" s="1">
        <f t="shared" si="43"/>
        <v>8</v>
      </c>
      <c r="H554" s="1">
        <f t="shared" si="40"/>
        <v>2</v>
      </c>
      <c r="I554" s="1" t="s">
        <v>83</v>
      </c>
      <c r="J554" s="1" t="s">
        <v>2878</v>
      </c>
      <c r="K554" s="1" t="s">
        <v>2879</v>
      </c>
      <c r="L554" s="1" t="s">
        <v>51</v>
      </c>
      <c r="M554" s="1" t="s">
        <v>29</v>
      </c>
      <c r="N554" s="1" t="s">
        <v>132</v>
      </c>
      <c r="O554" s="1" t="s">
        <v>106</v>
      </c>
      <c r="P554" s="1">
        <v>90032</v>
      </c>
      <c r="Q554" s="1" t="s">
        <v>107</v>
      </c>
      <c r="R554" s="1" t="s">
        <v>2880</v>
      </c>
      <c r="S554" s="1" t="s">
        <v>45</v>
      </c>
      <c r="T554" s="1" t="s">
        <v>329</v>
      </c>
      <c r="U554" s="1" t="s">
        <v>2881</v>
      </c>
      <c r="V554" s="3">
        <v>136.464</v>
      </c>
      <c r="W554" s="1" t="str">
        <f t="shared" si="44"/>
        <v>Fast Delivery</v>
      </c>
    </row>
    <row r="555" spans="1:23" x14ac:dyDescent="0.25">
      <c r="A555" s="1">
        <v>963</v>
      </c>
      <c r="B555" s="2" t="s">
        <v>2882</v>
      </c>
      <c r="C555" s="2">
        <v>42979</v>
      </c>
      <c r="D555" s="2">
        <v>42982</v>
      </c>
      <c r="E555" s="1">
        <f t="shared" si="41"/>
        <v>2017</v>
      </c>
      <c r="F555" s="2" t="str">
        <f t="shared" si="42"/>
        <v>Sep</v>
      </c>
      <c r="G555" s="1">
        <f t="shared" si="43"/>
        <v>9</v>
      </c>
      <c r="H555" s="1">
        <f t="shared" si="40"/>
        <v>3</v>
      </c>
      <c r="I555" s="1" t="s">
        <v>38</v>
      </c>
      <c r="J555" s="1" t="s">
        <v>2883</v>
      </c>
      <c r="K555" s="1" t="s">
        <v>2884</v>
      </c>
      <c r="L555" s="1" t="s">
        <v>51</v>
      </c>
      <c r="M555" s="1" t="s">
        <v>29</v>
      </c>
      <c r="N555" s="1" t="s">
        <v>105</v>
      </c>
      <c r="O555" s="1" t="s">
        <v>106</v>
      </c>
      <c r="P555" s="1">
        <v>94110</v>
      </c>
      <c r="Q555" s="1" t="s">
        <v>107</v>
      </c>
      <c r="R555" s="1" t="s">
        <v>2885</v>
      </c>
      <c r="S555" s="1" t="s">
        <v>34</v>
      </c>
      <c r="T555" s="1" t="s">
        <v>426</v>
      </c>
      <c r="U555" s="1" t="s">
        <v>2886</v>
      </c>
      <c r="V555" s="3">
        <v>21.88</v>
      </c>
      <c r="W555" s="1" t="str">
        <f t="shared" si="44"/>
        <v>Fast Delivery</v>
      </c>
    </row>
    <row r="556" spans="1:23" x14ac:dyDescent="0.25">
      <c r="A556" s="1">
        <v>4304</v>
      </c>
      <c r="B556" s="2" t="s">
        <v>2887</v>
      </c>
      <c r="C556" s="2">
        <v>43012</v>
      </c>
      <c r="D556" s="2">
        <v>43012</v>
      </c>
      <c r="E556" s="1">
        <f t="shared" si="41"/>
        <v>2017</v>
      </c>
      <c r="F556" s="2" t="str">
        <f t="shared" si="42"/>
        <v>Oct</v>
      </c>
      <c r="G556" s="1">
        <f t="shared" si="43"/>
        <v>10</v>
      </c>
      <c r="H556" s="1">
        <f t="shared" si="40"/>
        <v>0</v>
      </c>
      <c r="I556" s="1" t="s">
        <v>68</v>
      </c>
      <c r="J556" s="1" t="s">
        <v>2888</v>
      </c>
      <c r="K556" s="1" t="s">
        <v>2889</v>
      </c>
      <c r="L556" s="1" t="s">
        <v>28</v>
      </c>
      <c r="M556" s="1" t="s">
        <v>29</v>
      </c>
      <c r="N556" s="1" t="s">
        <v>2890</v>
      </c>
      <c r="O556" s="1" t="s">
        <v>31</v>
      </c>
      <c r="P556" s="1">
        <v>75056</v>
      </c>
      <c r="Q556" s="1" t="s">
        <v>32</v>
      </c>
      <c r="R556" s="1" t="s">
        <v>2891</v>
      </c>
      <c r="S556" s="1" t="s">
        <v>34</v>
      </c>
      <c r="T556" s="1" t="s">
        <v>426</v>
      </c>
      <c r="U556" s="1" t="s">
        <v>2892</v>
      </c>
      <c r="V556" s="3">
        <v>59.752000000000002</v>
      </c>
      <c r="W556" s="1" t="str">
        <f t="shared" si="44"/>
        <v>Fast Delivery</v>
      </c>
    </row>
    <row r="557" spans="1:23" x14ac:dyDescent="0.25">
      <c r="A557" s="1">
        <v>355</v>
      </c>
      <c r="B557" s="2" t="s">
        <v>2893</v>
      </c>
      <c r="C557" s="2">
        <v>42833</v>
      </c>
      <c r="D557" s="2">
        <v>42838</v>
      </c>
      <c r="E557" s="1">
        <f t="shared" si="41"/>
        <v>2017</v>
      </c>
      <c r="F557" s="2" t="str">
        <f t="shared" si="42"/>
        <v>Apr</v>
      </c>
      <c r="G557" s="1">
        <f t="shared" si="43"/>
        <v>4</v>
      </c>
      <c r="H557" s="1">
        <f t="shared" si="40"/>
        <v>5</v>
      </c>
      <c r="I557" s="1" t="s">
        <v>25</v>
      </c>
      <c r="J557" s="1" t="s">
        <v>2894</v>
      </c>
      <c r="K557" s="1" t="s">
        <v>2895</v>
      </c>
      <c r="L557" s="1" t="s">
        <v>28</v>
      </c>
      <c r="M557" s="1" t="s">
        <v>29</v>
      </c>
      <c r="N557" s="1" t="s">
        <v>114</v>
      </c>
      <c r="O557" s="1" t="s">
        <v>115</v>
      </c>
      <c r="P557" s="1">
        <v>10035</v>
      </c>
      <c r="Q557" s="1" t="s">
        <v>43</v>
      </c>
      <c r="R557" s="1" t="s">
        <v>2896</v>
      </c>
      <c r="S557" s="1" t="s">
        <v>45</v>
      </c>
      <c r="T557" s="1" t="s">
        <v>413</v>
      </c>
      <c r="U557" s="1" t="s">
        <v>2897</v>
      </c>
      <c r="V557" s="3">
        <v>388.70400000000001</v>
      </c>
      <c r="W557" s="1" t="str">
        <f t="shared" si="44"/>
        <v>Slow Delivery</v>
      </c>
    </row>
    <row r="558" spans="1:23" x14ac:dyDescent="0.25">
      <c r="A558" s="1">
        <v>3054</v>
      </c>
      <c r="B558" s="2" t="s">
        <v>2898</v>
      </c>
      <c r="C558" s="2">
        <v>42834</v>
      </c>
      <c r="D558" s="2">
        <v>42839</v>
      </c>
      <c r="E558" s="1">
        <f t="shared" si="41"/>
        <v>2017</v>
      </c>
      <c r="F558" s="2" t="str">
        <f t="shared" si="42"/>
        <v>Apr</v>
      </c>
      <c r="G558" s="1">
        <f t="shared" si="43"/>
        <v>4</v>
      </c>
      <c r="H558" s="1">
        <f t="shared" si="40"/>
        <v>5</v>
      </c>
      <c r="I558" s="1" t="s">
        <v>83</v>
      </c>
      <c r="J558" s="1" t="s">
        <v>2899</v>
      </c>
      <c r="K558" s="1" t="s">
        <v>2900</v>
      </c>
      <c r="L558" s="1" t="s">
        <v>131</v>
      </c>
      <c r="M558" s="1" t="s">
        <v>29</v>
      </c>
      <c r="N558" s="1" t="s">
        <v>534</v>
      </c>
      <c r="O558" s="1" t="s">
        <v>172</v>
      </c>
      <c r="P558" s="1">
        <v>48227</v>
      </c>
      <c r="Q558" s="1" t="s">
        <v>32</v>
      </c>
      <c r="R558" s="1" t="s">
        <v>2901</v>
      </c>
      <c r="S558" s="1" t="s">
        <v>64</v>
      </c>
      <c r="T558" s="1" t="s">
        <v>159</v>
      </c>
      <c r="U558" s="1" t="s">
        <v>2902</v>
      </c>
      <c r="V558" s="3">
        <v>517.9</v>
      </c>
      <c r="W558" s="1" t="str">
        <f t="shared" si="44"/>
        <v>Slow Delivery</v>
      </c>
    </row>
    <row r="559" spans="1:23" x14ac:dyDescent="0.25">
      <c r="A559" s="1">
        <v>7361</v>
      </c>
      <c r="B559" s="2" t="s">
        <v>2903</v>
      </c>
      <c r="C559" s="2">
        <v>42837</v>
      </c>
      <c r="D559" s="2">
        <v>42839</v>
      </c>
      <c r="E559" s="1">
        <f t="shared" si="41"/>
        <v>2017</v>
      </c>
      <c r="F559" s="2" t="str">
        <f t="shared" si="42"/>
        <v>Apr</v>
      </c>
      <c r="G559" s="1">
        <f t="shared" si="43"/>
        <v>4</v>
      </c>
      <c r="H559" s="1">
        <f t="shared" si="40"/>
        <v>2</v>
      </c>
      <c r="I559" s="1" t="s">
        <v>38</v>
      </c>
      <c r="J559" s="1" t="s">
        <v>2904</v>
      </c>
      <c r="K559" s="1" t="s">
        <v>2905</v>
      </c>
      <c r="L559" s="1" t="s">
        <v>28</v>
      </c>
      <c r="M559" s="1" t="s">
        <v>29</v>
      </c>
      <c r="N559" s="1" t="s">
        <v>132</v>
      </c>
      <c r="O559" s="1" t="s">
        <v>106</v>
      </c>
      <c r="P559" s="1">
        <v>90036</v>
      </c>
      <c r="Q559" s="1" t="s">
        <v>107</v>
      </c>
      <c r="R559" s="1" t="s">
        <v>2906</v>
      </c>
      <c r="S559" s="1" t="s">
        <v>34</v>
      </c>
      <c r="T559" s="1" t="s">
        <v>174</v>
      </c>
      <c r="U559" s="1" t="s">
        <v>2907</v>
      </c>
      <c r="V559" s="3">
        <v>19.440000000000001</v>
      </c>
      <c r="W559" s="1" t="str">
        <f t="shared" si="44"/>
        <v>Fast Delivery</v>
      </c>
    </row>
    <row r="560" spans="1:23" x14ac:dyDescent="0.25">
      <c r="A560" s="1">
        <v>5643</v>
      </c>
      <c r="B560" s="2" t="s">
        <v>2908</v>
      </c>
      <c r="C560" s="2">
        <v>42826</v>
      </c>
      <c r="D560" s="2">
        <v>42830</v>
      </c>
      <c r="E560" s="1">
        <f t="shared" si="41"/>
        <v>2017</v>
      </c>
      <c r="F560" s="2" t="str">
        <f t="shared" si="42"/>
        <v>Apr</v>
      </c>
      <c r="G560" s="1">
        <f t="shared" si="43"/>
        <v>4</v>
      </c>
      <c r="H560" s="1">
        <f t="shared" si="40"/>
        <v>4</v>
      </c>
      <c r="I560" s="1" t="s">
        <v>83</v>
      </c>
      <c r="J560" s="1" t="s">
        <v>2909</v>
      </c>
      <c r="K560" s="1" t="s">
        <v>2910</v>
      </c>
      <c r="L560" s="1" t="s">
        <v>131</v>
      </c>
      <c r="M560" s="1" t="s">
        <v>29</v>
      </c>
      <c r="N560" s="1" t="s">
        <v>71</v>
      </c>
      <c r="O560" s="1" t="s">
        <v>62</v>
      </c>
      <c r="P560" s="1">
        <v>31907</v>
      </c>
      <c r="Q560" s="1" t="s">
        <v>54</v>
      </c>
      <c r="R560" s="1" t="s">
        <v>2911</v>
      </c>
      <c r="S560" s="1" t="s">
        <v>45</v>
      </c>
      <c r="T560" s="1" t="s">
        <v>46</v>
      </c>
      <c r="U560" s="1" t="s">
        <v>2912</v>
      </c>
      <c r="V560" s="3">
        <v>7.04</v>
      </c>
      <c r="W560" s="1" t="str">
        <f t="shared" si="44"/>
        <v>Slow Delivery</v>
      </c>
    </row>
    <row r="561" spans="1:23" x14ac:dyDescent="0.25">
      <c r="A561" s="1">
        <v>9559</v>
      </c>
      <c r="B561" s="2" t="s">
        <v>2913</v>
      </c>
      <c r="C561" s="2">
        <v>42858</v>
      </c>
      <c r="D561" s="2">
        <v>42860</v>
      </c>
      <c r="E561" s="1">
        <f t="shared" si="41"/>
        <v>2017</v>
      </c>
      <c r="F561" s="2" t="str">
        <f t="shared" si="42"/>
        <v>May</v>
      </c>
      <c r="G561" s="1">
        <f t="shared" si="43"/>
        <v>5</v>
      </c>
      <c r="H561" s="1">
        <f t="shared" si="40"/>
        <v>2</v>
      </c>
      <c r="I561" s="1" t="s">
        <v>38</v>
      </c>
      <c r="J561" s="1" t="s">
        <v>2914</v>
      </c>
      <c r="K561" s="1" t="s">
        <v>2915</v>
      </c>
      <c r="L561" s="1" t="s">
        <v>28</v>
      </c>
      <c r="M561" s="1" t="s">
        <v>29</v>
      </c>
      <c r="N561" s="1" t="s">
        <v>855</v>
      </c>
      <c r="O561" s="1" t="s">
        <v>72</v>
      </c>
      <c r="P561" s="1">
        <v>43055</v>
      </c>
      <c r="Q561" s="1" t="s">
        <v>43</v>
      </c>
      <c r="R561" s="1" t="s">
        <v>2796</v>
      </c>
      <c r="S561" s="1" t="s">
        <v>64</v>
      </c>
      <c r="T561" s="1" t="s">
        <v>65</v>
      </c>
      <c r="U561" s="1" t="s">
        <v>2797</v>
      </c>
      <c r="V561" s="3">
        <v>132.52000000000001</v>
      </c>
      <c r="W561" s="1" t="str">
        <f t="shared" si="44"/>
        <v>Fast Delivery</v>
      </c>
    </row>
    <row r="562" spans="1:23" x14ac:dyDescent="0.25">
      <c r="A562" s="1">
        <v>7102</v>
      </c>
      <c r="B562" s="2" t="s">
        <v>2916</v>
      </c>
      <c r="C562" s="2">
        <v>42948</v>
      </c>
      <c r="D562" s="2">
        <v>42952</v>
      </c>
      <c r="E562" s="1">
        <f t="shared" si="41"/>
        <v>2017</v>
      </c>
      <c r="F562" s="2" t="str">
        <f t="shared" si="42"/>
        <v>Aug</v>
      </c>
      <c r="G562" s="1">
        <f t="shared" si="43"/>
        <v>8</v>
      </c>
      <c r="H562" s="1">
        <f t="shared" si="40"/>
        <v>4</v>
      </c>
      <c r="I562" s="1" t="s">
        <v>83</v>
      </c>
      <c r="J562" s="1" t="s">
        <v>2917</v>
      </c>
      <c r="K562" s="1" t="s">
        <v>2918</v>
      </c>
      <c r="L562" s="1" t="s">
        <v>51</v>
      </c>
      <c r="M562" s="1" t="s">
        <v>29</v>
      </c>
      <c r="N562" s="1" t="s">
        <v>2795</v>
      </c>
      <c r="O562" s="1" t="s">
        <v>31</v>
      </c>
      <c r="P562" s="1">
        <v>79109</v>
      </c>
      <c r="Q562" s="1" t="s">
        <v>32</v>
      </c>
      <c r="R562" s="1" t="s">
        <v>2919</v>
      </c>
      <c r="S562" s="1" t="s">
        <v>34</v>
      </c>
      <c r="T562" s="1" t="s">
        <v>174</v>
      </c>
      <c r="U562" s="1" t="s">
        <v>827</v>
      </c>
      <c r="V562" s="3">
        <v>19.648</v>
      </c>
      <c r="W562" s="1" t="str">
        <f t="shared" si="44"/>
        <v>Slow Delivery</v>
      </c>
    </row>
    <row r="563" spans="1:23" x14ac:dyDescent="0.25">
      <c r="A563" s="1">
        <v>6158</v>
      </c>
      <c r="B563" s="2" t="s">
        <v>2920</v>
      </c>
      <c r="C563" s="2">
        <v>42950</v>
      </c>
      <c r="D563" s="2">
        <v>42952</v>
      </c>
      <c r="E563" s="1">
        <f t="shared" si="41"/>
        <v>2017</v>
      </c>
      <c r="F563" s="2" t="str">
        <f t="shared" si="42"/>
        <v>Aug</v>
      </c>
      <c r="G563" s="1">
        <f t="shared" si="43"/>
        <v>8</v>
      </c>
      <c r="H563" s="1">
        <f t="shared" si="40"/>
        <v>2</v>
      </c>
      <c r="I563" s="1" t="s">
        <v>83</v>
      </c>
      <c r="J563" s="1" t="s">
        <v>2921</v>
      </c>
      <c r="K563" s="1" t="s">
        <v>2922</v>
      </c>
      <c r="L563" s="1" t="s">
        <v>28</v>
      </c>
      <c r="M563" s="1" t="s">
        <v>29</v>
      </c>
      <c r="N563" s="1" t="s">
        <v>1214</v>
      </c>
      <c r="O563" s="1" t="s">
        <v>1190</v>
      </c>
      <c r="P563" s="1">
        <v>74133</v>
      </c>
      <c r="Q563" s="1" t="s">
        <v>32</v>
      </c>
      <c r="R563" s="1" t="s">
        <v>2923</v>
      </c>
      <c r="S563" s="1" t="s">
        <v>34</v>
      </c>
      <c r="T563" s="1" t="s">
        <v>426</v>
      </c>
      <c r="U563" s="1" t="s">
        <v>2924</v>
      </c>
      <c r="V563" s="3">
        <v>81.540000000000006</v>
      </c>
      <c r="W563" s="1" t="str">
        <f t="shared" si="44"/>
        <v>Fast Delivery</v>
      </c>
    </row>
    <row r="564" spans="1:23" x14ac:dyDescent="0.25">
      <c r="A564" s="1">
        <v>2688</v>
      </c>
      <c r="B564" s="2" t="s">
        <v>2925</v>
      </c>
      <c r="C564" s="2">
        <v>42951</v>
      </c>
      <c r="D564" s="2">
        <v>42952</v>
      </c>
      <c r="E564" s="1">
        <f t="shared" si="41"/>
        <v>2017</v>
      </c>
      <c r="F564" s="2" t="str">
        <f t="shared" si="42"/>
        <v>Aug</v>
      </c>
      <c r="G564" s="1">
        <f t="shared" si="43"/>
        <v>8</v>
      </c>
      <c r="H564" s="1">
        <f t="shared" si="40"/>
        <v>1</v>
      </c>
      <c r="I564" s="1" t="s">
        <v>38</v>
      </c>
      <c r="J564" s="1" t="s">
        <v>2926</v>
      </c>
      <c r="K564" s="1" t="s">
        <v>2927</v>
      </c>
      <c r="L564" s="1" t="s">
        <v>28</v>
      </c>
      <c r="M564" s="1" t="s">
        <v>29</v>
      </c>
      <c r="N564" s="1" t="s">
        <v>1352</v>
      </c>
      <c r="O564" s="1" t="s">
        <v>222</v>
      </c>
      <c r="P564" s="1">
        <v>61604</v>
      </c>
      <c r="Q564" s="1" t="s">
        <v>32</v>
      </c>
      <c r="R564" s="1" t="s">
        <v>2021</v>
      </c>
      <c r="S564" s="1" t="s">
        <v>34</v>
      </c>
      <c r="T564" s="1" t="s">
        <v>109</v>
      </c>
      <c r="U564" s="1" t="s">
        <v>2022</v>
      </c>
      <c r="V564" s="3">
        <v>3.98</v>
      </c>
      <c r="W564" s="1" t="str">
        <f t="shared" si="44"/>
        <v>Fast Delivery</v>
      </c>
    </row>
    <row r="565" spans="1:23" x14ac:dyDescent="0.25">
      <c r="A565" s="1">
        <v>1178</v>
      </c>
      <c r="B565" s="2" t="s">
        <v>2928</v>
      </c>
      <c r="C565" s="2">
        <v>43070</v>
      </c>
      <c r="D565" s="2">
        <v>43074</v>
      </c>
      <c r="E565" s="1">
        <f t="shared" si="41"/>
        <v>2017</v>
      </c>
      <c r="F565" s="2" t="str">
        <f t="shared" si="42"/>
        <v>Dec</v>
      </c>
      <c r="G565" s="1">
        <f t="shared" si="43"/>
        <v>12</v>
      </c>
      <c r="H565" s="1">
        <f t="shared" si="40"/>
        <v>4</v>
      </c>
      <c r="I565" s="1" t="s">
        <v>25</v>
      </c>
      <c r="J565" s="1" t="s">
        <v>2929</v>
      </c>
      <c r="K565" s="1" t="s">
        <v>2930</v>
      </c>
      <c r="L565" s="1" t="s">
        <v>28</v>
      </c>
      <c r="M565" s="1" t="s">
        <v>29</v>
      </c>
      <c r="N565" s="1" t="s">
        <v>1939</v>
      </c>
      <c r="O565" s="1" t="s">
        <v>794</v>
      </c>
      <c r="P565" s="1">
        <v>20852</v>
      </c>
      <c r="Q565" s="1" t="s">
        <v>43</v>
      </c>
      <c r="R565" s="1" t="s">
        <v>2384</v>
      </c>
      <c r="S565" s="1" t="s">
        <v>45</v>
      </c>
      <c r="T565" s="1" t="s">
        <v>89</v>
      </c>
      <c r="U565" s="1" t="s">
        <v>2385</v>
      </c>
      <c r="V565" s="3">
        <v>172.5</v>
      </c>
      <c r="W565" s="1" t="str">
        <f t="shared" si="44"/>
        <v>Slow Delivery</v>
      </c>
    </row>
    <row r="566" spans="1:23" x14ac:dyDescent="0.25">
      <c r="A566" s="1">
        <v>3471</v>
      </c>
      <c r="B566" s="2" t="s">
        <v>2931</v>
      </c>
      <c r="C566" s="2">
        <v>43070</v>
      </c>
      <c r="D566" s="2">
        <v>43074</v>
      </c>
      <c r="E566" s="1">
        <f t="shared" si="41"/>
        <v>2017</v>
      </c>
      <c r="F566" s="2" t="str">
        <f t="shared" si="42"/>
        <v>Dec</v>
      </c>
      <c r="G566" s="1">
        <f t="shared" si="43"/>
        <v>12</v>
      </c>
      <c r="H566" s="1">
        <f t="shared" si="40"/>
        <v>4</v>
      </c>
      <c r="I566" s="1" t="s">
        <v>25</v>
      </c>
      <c r="J566" s="1" t="s">
        <v>2932</v>
      </c>
      <c r="K566" s="1" t="s">
        <v>2933</v>
      </c>
      <c r="L566" s="1" t="s">
        <v>28</v>
      </c>
      <c r="M566" s="1" t="s">
        <v>29</v>
      </c>
      <c r="N566" s="1" t="s">
        <v>105</v>
      </c>
      <c r="O566" s="1" t="s">
        <v>106</v>
      </c>
      <c r="P566" s="1">
        <v>94122</v>
      </c>
      <c r="Q566" s="1" t="s">
        <v>107</v>
      </c>
      <c r="R566" s="1" t="s">
        <v>2934</v>
      </c>
      <c r="S566" s="1" t="s">
        <v>45</v>
      </c>
      <c r="T566" s="1" t="s">
        <v>46</v>
      </c>
      <c r="U566" s="1" t="s">
        <v>2935</v>
      </c>
      <c r="V566" s="3">
        <v>16.739999999999998</v>
      </c>
      <c r="W566" s="1" t="str">
        <f t="shared" si="44"/>
        <v>Slow Delivery</v>
      </c>
    </row>
    <row r="567" spans="1:23" x14ac:dyDescent="0.25">
      <c r="A567" s="1">
        <v>1590</v>
      </c>
      <c r="B567" s="2" t="s">
        <v>2936</v>
      </c>
      <c r="C567" s="2">
        <v>42867</v>
      </c>
      <c r="D567" s="2">
        <v>42871</v>
      </c>
      <c r="E567" s="1">
        <f t="shared" si="41"/>
        <v>2017</v>
      </c>
      <c r="F567" s="2" t="str">
        <f t="shared" si="42"/>
        <v>May</v>
      </c>
      <c r="G567" s="1">
        <f t="shared" si="43"/>
        <v>5</v>
      </c>
      <c r="H567" s="1">
        <f t="shared" si="40"/>
        <v>4</v>
      </c>
      <c r="I567" s="1" t="s">
        <v>25</v>
      </c>
      <c r="J567" s="1" t="s">
        <v>2937</v>
      </c>
      <c r="K567" s="1" t="s">
        <v>2938</v>
      </c>
      <c r="L567" s="1" t="s">
        <v>51</v>
      </c>
      <c r="M567" s="1" t="s">
        <v>29</v>
      </c>
      <c r="N567" s="1" t="s">
        <v>914</v>
      </c>
      <c r="O567" s="1" t="s">
        <v>53</v>
      </c>
      <c r="P567" s="1">
        <v>23464</v>
      </c>
      <c r="Q567" s="1" t="s">
        <v>54</v>
      </c>
      <c r="R567" s="1" t="s">
        <v>2939</v>
      </c>
      <c r="S567" s="1" t="s">
        <v>34</v>
      </c>
      <c r="T567" s="1" t="s">
        <v>35</v>
      </c>
      <c r="U567" s="1" t="s">
        <v>2940</v>
      </c>
      <c r="V567" s="3">
        <v>10.96</v>
      </c>
      <c r="W567" s="1" t="str">
        <f t="shared" si="44"/>
        <v>Slow Delivery</v>
      </c>
    </row>
    <row r="568" spans="1:23" x14ac:dyDescent="0.25">
      <c r="A568" s="1">
        <v>9496</v>
      </c>
      <c r="B568" s="2" t="s">
        <v>2941</v>
      </c>
      <c r="C568" s="2">
        <v>42867</v>
      </c>
      <c r="D568" s="2">
        <v>42871</v>
      </c>
      <c r="E568" s="1">
        <f t="shared" si="41"/>
        <v>2017</v>
      </c>
      <c r="F568" s="2" t="str">
        <f t="shared" si="42"/>
        <v>May</v>
      </c>
      <c r="G568" s="1">
        <f t="shared" si="43"/>
        <v>5</v>
      </c>
      <c r="H568" s="1">
        <f t="shared" si="40"/>
        <v>4</v>
      </c>
      <c r="I568" s="1" t="s">
        <v>25</v>
      </c>
      <c r="J568" s="1" t="s">
        <v>2942</v>
      </c>
      <c r="K568" s="1" t="s">
        <v>2943</v>
      </c>
      <c r="L568" s="1" t="s">
        <v>28</v>
      </c>
      <c r="M568" s="1" t="s">
        <v>29</v>
      </c>
      <c r="N568" s="1" t="s">
        <v>2944</v>
      </c>
      <c r="O568" s="1" t="s">
        <v>106</v>
      </c>
      <c r="P568" s="1">
        <v>92691</v>
      </c>
      <c r="Q568" s="1" t="s">
        <v>107</v>
      </c>
      <c r="R568" s="1" t="s">
        <v>2945</v>
      </c>
      <c r="S568" s="1" t="s">
        <v>64</v>
      </c>
      <c r="T568" s="1" t="s">
        <v>65</v>
      </c>
      <c r="U568" s="1" t="s">
        <v>2946</v>
      </c>
      <c r="V568" s="3">
        <v>120</v>
      </c>
      <c r="W568" s="1" t="str">
        <f t="shared" si="44"/>
        <v>Slow Delivery</v>
      </c>
    </row>
    <row r="569" spans="1:23" x14ac:dyDescent="0.25">
      <c r="A569" s="1">
        <v>1336</v>
      </c>
      <c r="B569" s="2" t="s">
        <v>2947</v>
      </c>
      <c r="C569" s="2">
        <v>42871</v>
      </c>
      <c r="D569" s="2">
        <v>42878</v>
      </c>
      <c r="E569" s="1">
        <f t="shared" si="41"/>
        <v>2017</v>
      </c>
      <c r="F569" s="2" t="str">
        <f t="shared" si="42"/>
        <v>May</v>
      </c>
      <c r="G569" s="1">
        <f t="shared" si="43"/>
        <v>5</v>
      </c>
      <c r="H569" s="1">
        <f t="shared" si="40"/>
        <v>7</v>
      </c>
      <c r="I569" s="1" t="s">
        <v>25</v>
      </c>
      <c r="J569" s="1" t="s">
        <v>2948</v>
      </c>
      <c r="K569" s="1" t="s">
        <v>2949</v>
      </c>
      <c r="L569" s="1" t="s">
        <v>28</v>
      </c>
      <c r="M569" s="1" t="s">
        <v>29</v>
      </c>
      <c r="N569" s="1" t="s">
        <v>196</v>
      </c>
      <c r="O569" s="1" t="s">
        <v>197</v>
      </c>
      <c r="P569" s="1">
        <v>6457</v>
      </c>
      <c r="Q569" s="1" t="s">
        <v>43</v>
      </c>
      <c r="R569" s="1" t="s">
        <v>2950</v>
      </c>
      <c r="S569" s="1" t="s">
        <v>34</v>
      </c>
      <c r="T569" s="1" t="s">
        <v>270</v>
      </c>
      <c r="U569" s="1" t="s">
        <v>2951</v>
      </c>
      <c r="V569" s="3">
        <v>552.55999999999995</v>
      </c>
      <c r="W569" s="1" t="str">
        <f t="shared" si="44"/>
        <v>Slow Delivery</v>
      </c>
    </row>
    <row r="570" spans="1:23" x14ac:dyDescent="0.25">
      <c r="A570" s="1">
        <v>3756</v>
      </c>
      <c r="B570" s="2" t="s">
        <v>2952</v>
      </c>
      <c r="C570" s="2">
        <v>42797</v>
      </c>
      <c r="D570" s="2">
        <v>42800</v>
      </c>
      <c r="E570" s="1">
        <f t="shared" si="41"/>
        <v>2017</v>
      </c>
      <c r="F570" s="2" t="str">
        <f t="shared" si="42"/>
        <v>Mar</v>
      </c>
      <c r="G570" s="1">
        <f t="shared" si="43"/>
        <v>3</v>
      </c>
      <c r="H570" s="1">
        <f t="shared" si="40"/>
        <v>3</v>
      </c>
      <c r="I570" s="1" t="s">
        <v>38</v>
      </c>
      <c r="J570" s="1" t="s">
        <v>2953</v>
      </c>
      <c r="K570" s="1" t="s">
        <v>2954</v>
      </c>
      <c r="L570" s="1" t="s">
        <v>51</v>
      </c>
      <c r="M570" s="1" t="s">
        <v>29</v>
      </c>
      <c r="N570" s="1" t="s">
        <v>2955</v>
      </c>
      <c r="O570" s="1" t="s">
        <v>31</v>
      </c>
      <c r="P570" s="1">
        <v>79762</v>
      </c>
      <c r="Q570" s="1" t="s">
        <v>32</v>
      </c>
      <c r="R570" s="1" t="s">
        <v>2956</v>
      </c>
      <c r="S570" s="1" t="s">
        <v>34</v>
      </c>
      <c r="T570" s="1" t="s">
        <v>174</v>
      </c>
      <c r="U570" s="1" t="s">
        <v>2957</v>
      </c>
      <c r="V570" s="3">
        <v>42.783999999999999</v>
      </c>
      <c r="W570" s="1" t="str">
        <f t="shared" si="44"/>
        <v>Fast Delivery</v>
      </c>
    </row>
    <row r="571" spans="1:23" x14ac:dyDescent="0.25">
      <c r="A571" s="1">
        <v>3967</v>
      </c>
      <c r="B571" s="2" t="s">
        <v>2958</v>
      </c>
      <c r="C571" s="2">
        <v>42826</v>
      </c>
      <c r="D571" s="2">
        <v>42831</v>
      </c>
      <c r="E571" s="1">
        <f t="shared" si="41"/>
        <v>2017</v>
      </c>
      <c r="F571" s="2" t="str">
        <f t="shared" si="42"/>
        <v>Apr</v>
      </c>
      <c r="G571" s="1">
        <f t="shared" si="43"/>
        <v>4</v>
      </c>
      <c r="H571" s="1">
        <f t="shared" si="40"/>
        <v>5</v>
      </c>
      <c r="I571" s="1" t="s">
        <v>25</v>
      </c>
      <c r="J571" s="1" t="s">
        <v>2959</v>
      </c>
      <c r="K571" s="1" t="s">
        <v>2960</v>
      </c>
      <c r="L571" s="1" t="s">
        <v>28</v>
      </c>
      <c r="M571" s="1" t="s">
        <v>29</v>
      </c>
      <c r="N571" s="1" t="s">
        <v>114</v>
      </c>
      <c r="O571" s="1" t="s">
        <v>115</v>
      </c>
      <c r="P571" s="1">
        <v>10024</v>
      </c>
      <c r="Q571" s="1" t="s">
        <v>43</v>
      </c>
      <c r="R571" s="1" t="s">
        <v>2961</v>
      </c>
      <c r="S571" s="1" t="s">
        <v>34</v>
      </c>
      <c r="T571" s="1" t="s">
        <v>35</v>
      </c>
      <c r="U571" s="1" t="s">
        <v>2962</v>
      </c>
      <c r="V571" s="3">
        <v>88.04</v>
      </c>
      <c r="W571" s="1" t="str">
        <f t="shared" si="44"/>
        <v>Slow Delivery</v>
      </c>
    </row>
    <row r="572" spans="1:23" x14ac:dyDescent="0.25">
      <c r="A572" s="1">
        <v>7115</v>
      </c>
      <c r="B572" s="2" t="s">
        <v>2963</v>
      </c>
      <c r="C572" s="2">
        <v>42860</v>
      </c>
      <c r="D572" s="2">
        <v>42861</v>
      </c>
      <c r="E572" s="1">
        <f t="shared" si="41"/>
        <v>2017</v>
      </c>
      <c r="F572" s="2" t="str">
        <f t="shared" si="42"/>
        <v>May</v>
      </c>
      <c r="G572" s="1">
        <f t="shared" si="43"/>
        <v>5</v>
      </c>
      <c r="H572" s="1">
        <f t="shared" si="40"/>
        <v>1</v>
      </c>
      <c r="I572" s="1" t="s">
        <v>38</v>
      </c>
      <c r="J572" s="1" t="s">
        <v>2964</v>
      </c>
      <c r="K572" s="1" t="s">
        <v>2965</v>
      </c>
      <c r="L572" s="1" t="s">
        <v>51</v>
      </c>
      <c r="M572" s="1" t="s">
        <v>29</v>
      </c>
      <c r="N572" s="1" t="s">
        <v>1302</v>
      </c>
      <c r="O572" s="1" t="s">
        <v>357</v>
      </c>
      <c r="P572" s="1">
        <v>89015</v>
      </c>
      <c r="Q572" s="1" t="s">
        <v>107</v>
      </c>
      <c r="R572" s="1" t="s">
        <v>2966</v>
      </c>
      <c r="S572" s="1" t="s">
        <v>45</v>
      </c>
      <c r="T572" s="1" t="s">
        <v>329</v>
      </c>
      <c r="U572" s="1" t="s">
        <v>2967</v>
      </c>
      <c r="V572" s="3">
        <v>1685.88</v>
      </c>
      <c r="W572" s="1" t="str">
        <f t="shared" si="44"/>
        <v>Fast Delivery</v>
      </c>
    </row>
    <row r="573" spans="1:23" x14ac:dyDescent="0.25">
      <c r="A573" s="1">
        <v>3565</v>
      </c>
      <c r="B573" s="2" t="s">
        <v>2968</v>
      </c>
      <c r="C573" s="2">
        <v>42919</v>
      </c>
      <c r="D573" s="2">
        <v>42922</v>
      </c>
      <c r="E573" s="1">
        <f t="shared" si="41"/>
        <v>2017</v>
      </c>
      <c r="F573" s="2" t="str">
        <f t="shared" si="42"/>
        <v>Jul</v>
      </c>
      <c r="G573" s="1">
        <f t="shared" si="43"/>
        <v>7</v>
      </c>
      <c r="H573" s="1">
        <f t="shared" si="40"/>
        <v>3</v>
      </c>
      <c r="I573" s="1" t="s">
        <v>38</v>
      </c>
      <c r="J573" s="1" t="s">
        <v>2969</v>
      </c>
      <c r="K573" s="1" t="s">
        <v>2970</v>
      </c>
      <c r="L573" s="1" t="s">
        <v>28</v>
      </c>
      <c r="M573" s="1" t="s">
        <v>29</v>
      </c>
      <c r="N573" s="1" t="s">
        <v>132</v>
      </c>
      <c r="O573" s="1" t="s">
        <v>106</v>
      </c>
      <c r="P573" s="1">
        <v>90049</v>
      </c>
      <c r="Q573" s="1" t="s">
        <v>107</v>
      </c>
      <c r="R573" s="1" t="s">
        <v>2971</v>
      </c>
      <c r="S573" s="1" t="s">
        <v>34</v>
      </c>
      <c r="T573" s="1" t="s">
        <v>174</v>
      </c>
      <c r="U573" s="1" t="s">
        <v>2972</v>
      </c>
      <c r="V573" s="3">
        <v>12.96</v>
      </c>
      <c r="W573" s="1" t="str">
        <f t="shared" si="44"/>
        <v>Fast Delivery</v>
      </c>
    </row>
    <row r="574" spans="1:23" x14ac:dyDescent="0.25">
      <c r="A574" s="1">
        <v>4086</v>
      </c>
      <c r="B574" s="2" t="s">
        <v>2973</v>
      </c>
      <c r="C574" s="2">
        <v>42951</v>
      </c>
      <c r="D574" s="2">
        <v>42953</v>
      </c>
      <c r="E574" s="1">
        <f t="shared" si="41"/>
        <v>2017</v>
      </c>
      <c r="F574" s="2" t="str">
        <f t="shared" si="42"/>
        <v>Aug</v>
      </c>
      <c r="G574" s="1">
        <f t="shared" si="43"/>
        <v>8</v>
      </c>
      <c r="H574" s="1">
        <f t="shared" si="40"/>
        <v>2</v>
      </c>
      <c r="I574" s="1" t="s">
        <v>83</v>
      </c>
      <c r="J574" s="1" t="s">
        <v>2974</v>
      </c>
      <c r="K574" s="1" t="s">
        <v>2975</v>
      </c>
      <c r="L574" s="1" t="s">
        <v>51</v>
      </c>
      <c r="M574" s="1" t="s">
        <v>29</v>
      </c>
      <c r="N574" s="1" t="s">
        <v>1785</v>
      </c>
      <c r="O574" s="1" t="s">
        <v>106</v>
      </c>
      <c r="P574" s="1">
        <v>95823</v>
      </c>
      <c r="Q574" s="1" t="s">
        <v>107</v>
      </c>
      <c r="R574" s="1" t="s">
        <v>2976</v>
      </c>
      <c r="S574" s="1" t="s">
        <v>64</v>
      </c>
      <c r="T574" s="1" t="s">
        <v>159</v>
      </c>
      <c r="U574" s="1" t="s">
        <v>2977</v>
      </c>
      <c r="V574" s="3">
        <v>302.38400000000001</v>
      </c>
      <c r="W574" s="1" t="str">
        <f t="shared" si="44"/>
        <v>Fast Delivery</v>
      </c>
    </row>
    <row r="575" spans="1:23" x14ac:dyDescent="0.25">
      <c r="A575" s="1">
        <v>7078</v>
      </c>
      <c r="B575" s="2" t="s">
        <v>2978</v>
      </c>
      <c r="C575" s="2">
        <v>42980</v>
      </c>
      <c r="D575" s="2">
        <v>42984</v>
      </c>
      <c r="E575" s="1">
        <f t="shared" si="41"/>
        <v>2017</v>
      </c>
      <c r="F575" s="2" t="str">
        <f t="shared" si="42"/>
        <v>Sep</v>
      </c>
      <c r="G575" s="1">
        <f t="shared" si="43"/>
        <v>9</v>
      </c>
      <c r="H575" s="1">
        <f t="shared" si="40"/>
        <v>4</v>
      </c>
      <c r="I575" s="1" t="s">
        <v>25</v>
      </c>
      <c r="J575" s="1" t="s">
        <v>2979</v>
      </c>
      <c r="K575" s="1" t="s">
        <v>2980</v>
      </c>
      <c r="L575" s="1" t="s">
        <v>28</v>
      </c>
      <c r="M575" s="1" t="s">
        <v>29</v>
      </c>
      <c r="N575" s="1" t="s">
        <v>319</v>
      </c>
      <c r="O575" s="1" t="s">
        <v>320</v>
      </c>
      <c r="P575" s="1">
        <v>28205</v>
      </c>
      <c r="Q575" s="1" t="s">
        <v>54</v>
      </c>
      <c r="R575" s="1" t="s">
        <v>2981</v>
      </c>
      <c r="S575" s="1" t="s">
        <v>34</v>
      </c>
      <c r="T575" s="1" t="s">
        <v>109</v>
      </c>
      <c r="U575" s="1" t="s">
        <v>2982</v>
      </c>
      <c r="V575" s="3">
        <v>22.911000000000001</v>
      </c>
      <c r="W575" s="1" t="str">
        <f t="shared" si="44"/>
        <v>Slow Delivery</v>
      </c>
    </row>
    <row r="576" spans="1:23" x14ac:dyDescent="0.25">
      <c r="A576" s="1">
        <v>7192</v>
      </c>
      <c r="B576" s="2" t="s">
        <v>2983</v>
      </c>
      <c r="C576" s="2">
        <v>43009</v>
      </c>
      <c r="D576" s="2">
        <v>43014</v>
      </c>
      <c r="E576" s="1">
        <f t="shared" si="41"/>
        <v>2017</v>
      </c>
      <c r="F576" s="2" t="str">
        <f t="shared" si="42"/>
        <v>Oct</v>
      </c>
      <c r="G576" s="1">
        <f t="shared" si="43"/>
        <v>10</v>
      </c>
      <c r="H576" s="1">
        <f t="shared" si="40"/>
        <v>5</v>
      </c>
      <c r="I576" s="1" t="s">
        <v>83</v>
      </c>
      <c r="J576" s="1" t="s">
        <v>2984</v>
      </c>
      <c r="K576" s="1" t="s">
        <v>2985</v>
      </c>
      <c r="L576" s="1" t="s">
        <v>28</v>
      </c>
      <c r="M576" s="1" t="s">
        <v>29</v>
      </c>
      <c r="N576" s="1" t="s">
        <v>2986</v>
      </c>
      <c r="O576" s="1" t="s">
        <v>190</v>
      </c>
      <c r="P576" s="1">
        <v>33012</v>
      </c>
      <c r="Q576" s="1" t="s">
        <v>54</v>
      </c>
      <c r="R576" s="1" t="s">
        <v>292</v>
      </c>
      <c r="S576" s="1" t="s">
        <v>34</v>
      </c>
      <c r="T576" s="1" t="s">
        <v>109</v>
      </c>
      <c r="U576" s="1" t="s">
        <v>293</v>
      </c>
      <c r="V576" s="3">
        <v>5.3879999999999999</v>
      </c>
      <c r="W576" s="1" t="str">
        <f t="shared" si="44"/>
        <v>Slow Delivery</v>
      </c>
    </row>
    <row r="577" spans="1:23" x14ac:dyDescent="0.25">
      <c r="A577" s="1">
        <v>2993</v>
      </c>
      <c r="B577" s="2" t="s">
        <v>2987</v>
      </c>
      <c r="C577" s="2">
        <v>43010</v>
      </c>
      <c r="D577" s="2">
        <v>43014</v>
      </c>
      <c r="E577" s="1">
        <f t="shared" si="41"/>
        <v>2017</v>
      </c>
      <c r="F577" s="2" t="str">
        <f t="shared" si="42"/>
        <v>Oct</v>
      </c>
      <c r="G577" s="1">
        <f t="shared" si="43"/>
        <v>10</v>
      </c>
      <c r="H577" s="1">
        <f t="shared" si="40"/>
        <v>4</v>
      </c>
      <c r="I577" s="1" t="s">
        <v>25</v>
      </c>
      <c r="J577" s="1" t="s">
        <v>2988</v>
      </c>
      <c r="K577" s="1" t="s">
        <v>2989</v>
      </c>
      <c r="L577" s="1" t="s">
        <v>51</v>
      </c>
      <c r="M577" s="1" t="s">
        <v>29</v>
      </c>
      <c r="N577" s="1" t="s">
        <v>114</v>
      </c>
      <c r="O577" s="1" t="s">
        <v>115</v>
      </c>
      <c r="P577" s="1">
        <v>10024</v>
      </c>
      <c r="Q577" s="1" t="s">
        <v>43</v>
      </c>
      <c r="R577" s="1" t="s">
        <v>1241</v>
      </c>
      <c r="S577" s="1" t="s">
        <v>34</v>
      </c>
      <c r="T577" s="1" t="s">
        <v>74</v>
      </c>
      <c r="U577" s="1" t="s">
        <v>1242</v>
      </c>
      <c r="V577" s="3">
        <v>61.44</v>
      </c>
      <c r="W577" s="1" t="str">
        <f t="shared" si="44"/>
        <v>Slow Delivery</v>
      </c>
    </row>
    <row r="578" spans="1:23" x14ac:dyDescent="0.25">
      <c r="A578" s="1">
        <v>2474</v>
      </c>
      <c r="B578" s="2" t="s">
        <v>2990</v>
      </c>
      <c r="C578" s="2">
        <v>43042</v>
      </c>
      <c r="D578" s="2">
        <v>43045</v>
      </c>
      <c r="E578" s="1">
        <f t="shared" si="41"/>
        <v>2017</v>
      </c>
      <c r="F578" s="2" t="str">
        <f t="shared" si="42"/>
        <v>Nov</v>
      </c>
      <c r="G578" s="1">
        <f t="shared" si="43"/>
        <v>11</v>
      </c>
      <c r="H578" s="1">
        <f t="shared" ref="H578:H641" si="45">D578-C578</f>
        <v>3</v>
      </c>
      <c r="I578" s="1" t="s">
        <v>38</v>
      </c>
      <c r="J578" s="1" t="s">
        <v>2991</v>
      </c>
      <c r="K578" s="1" t="s">
        <v>2992</v>
      </c>
      <c r="L578" s="1" t="s">
        <v>28</v>
      </c>
      <c r="M578" s="1" t="s">
        <v>29</v>
      </c>
      <c r="N578" s="1" t="s">
        <v>132</v>
      </c>
      <c r="O578" s="1" t="s">
        <v>106</v>
      </c>
      <c r="P578" s="1">
        <v>90032</v>
      </c>
      <c r="Q578" s="1" t="s">
        <v>107</v>
      </c>
      <c r="R578" s="1" t="s">
        <v>2993</v>
      </c>
      <c r="S578" s="1" t="s">
        <v>45</v>
      </c>
      <c r="T578" s="1" t="s">
        <v>89</v>
      </c>
      <c r="U578" s="1" t="s">
        <v>2994</v>
      </c>
      <c r="V578" s="3">
        <v>217.584</v>
      </c>
      <c r="W578" s="1" t="str">
        <f t="shared" si="44"/>
        <v>Fast Delivery</v>
      </c>
    </row>
    <row r="579" spans="1:23" x14ac:dyDescent="0.25">
      <c r="A579" s="1">
        <v>7783</v>
      </c>
      <c r="B579" s="2" t="s">
        <v>2995</v>
      </c>
      <c r="C579" s="2">
        <v>43043</v>
      </c>
      <c r="D579" s="2">
        <v>43045</v>
      </c>
      <c r="E579" s="1">
        <f t="shared" ref="E579:E642" si="46">YEAR(C579)</f>
        <v>2017</v>
      </c>
      <c r="F579" s="2" t="str">
        <f t="shared" ref="F579:F642" si="47">TEXT(C579,"mmm")</f>
        <v>Nov</v>
      </c>
      <c r="G579" s="1">
        <f t="shared" ref="G579:G642" si="48">MONTH(C579)</f>
        <v>11</v>
      </c>
      <c r="H579" s="1">
        <f t="shared" si="45"/>
        <v>2</v>
      </c>
      <c r="I579" s="1" t="s">
        <v>83</v>
      </c>
      <c r="J579" s="1" t="s">
        <v>2996</v>
      </c>
      <c r="K579" s="1" t="s">
        <v>2997</v>
      </c>
      <c r="L579" s="1" t="s">
        <v>51</v>
      </c>
      <c r="M579" s="1" t="s">
        <v>29</v>
      </c>
      <c r="N579" s="1" t="s">
        <v>319</v>
      </c>
      <c r="O579" s="1" t="s">
        <v>320</v>
      </c>
      <c r="P579" s="1">
        <v>28205</v>
      </c>
      <c r="Q579" s="1" t="s">
        <v>54</v>
      </c>
      <c r="R579" s="1" t="s">
        <v>2998</v>
      </c>
      <c r="S579" s="1" t="s">
        <v>34</v>
      </c>
      <c r="T579" s="1" t="s">
        <v>270</v>
      </c>
      <c r="U579" s="1" t="s">
        <v>2999</v>
      </c>
      <c r="V579" s="3">
        <v>45.247999999999998</v>
      </c>
      <c r="W579" s="1" t="str">
        <f t="shared" ref="W579:W642" si="49">IF(H579&lt;=3,"Fast Delivery","Slow Delivery")</f>
        <v>Fast Delivery</v>
      </c>
    </row>
    <row r="580" spans="1:23" x14ac:dyDescent="0.25">
      <c r="A580" s="1">
        <v>2758</v>
      </c>
      <c r="B580" s="2" t="s">
        <v>3000</v>
      </c>
      <c r="C580" s="2">
        <v>42897</v>
      </c>
      <c r="D580" s="2">
        <v>42899</v>
      </c>
      <c r="E580" s="1">
        <f t="shared" si="46"/>
        <v>2017</v>
      </c>
      <c r="F580" s="2" t="str">
        <f t="shared" si="47"/>
        <v>Jun</v>
      </c>
      <c r="G580" s="1">
        <f t="shared" si="48"/>
        <v>6</v>
      </c>
      <c r="H580" s="1">
        <f t="shared" si="45"/>
        <v>2</v>
      </c>
      <c r="I580" s="1" t="s">
        <v>83</v>
      </c>
      <c r="J580" s="1" t="s">
        <v>3001</v>
      </c>
      <c r="K580" s="1" t="s">
        <v>3002</v>
      </c>
      <c r="L580" s="1" t="s">
        <v>28</v>
      </c>
      <c r="M580" s="1" t="s">
        <v>29</v>
      </c>
      <c r="N580" s="1" t="s">
        <v>114</v>
      </c>
      <c r="O580" s="1" t="s">
        <v>115</v>
      </c>
      <c r="P580" s="1">
        <v>10035</v>
      </c>
      <c r="Q580" s="1" t="s">
        <v>43</v>
      </c>
      <c r="R580" s="1" t="s">
        <v>3003</v>
      </c>
      <c r="S580" s="1" t="s">
        <v>64</v>
      </c>
      <c r="T580" s="1" t="s">
        <v>65</v>
      </c>
      <c r="U580" s="1" t="s">
        <v>3004</v>
      </c>
      <c r="V580" s="3">
        <v>239.97</v>
      </c>
      <c r="W580" s="1" t="str">
        <f t="shared" si="49"/>
        <v>Fast Delivery</v>
      </c>
    </row>
    <row r="581" spans="1:23" x14ac:dyDescent="0.25">
      <c r="A581" s="1">
        <v>557</v>
      </c>
      <c r="B581" s="2" t="s">
        <v>3005</v>
      </c>
      <c r="C581" s="2">
        <v>42896</v>
      </c>
      <c r="D581" s="2">
        <v>42901</v>
      </c>
      <c r="E581" s="1">
        <f t="shared" si="46"/>
        <v>2017</v>
      </c>
      <c r="F581" s="2" t="str">
        <f t="shared" si="47"/>
        <v>Jun</v>
      </c>
      <c r="G581" s="1">
        <f t="shared" si="48"/>
        <v>6</v>
      </c>
      <c r="H581" s="1">
        <f t="shared" si="45"/>
        <v>5</v>
      </c>
      <c r="I581" s="1" t="s">
        <v>25</v>
      </c>
      <c r="J581" s="1" t="s">
        <v>3006</v>
      </c>
      <c r="K581" s="1" t="s">
        <v>3007</v>
      </c>
      <c r="L581" s="1" t="s">
        <v>28</v>
      </c>
      <c r="M581" s="1" t="s">
        <v>29</v>
      </c>
      <c r="N581" s="1" t="s">
        <v>132</v>
      </c>
      <c r="O581" s="1" t="s">
        <v>106</v>
      </c>
      <c r="P581" s="1">
        <v>90045</v>
      </c>
      <c r="Q581" s="1" t="s">
        <v>107</v>
      </c>
      <c r="R581" s="1" t="s">
        <v>3008</v>
      </c>
      <c r="S581" s="1" t="s">
        <v>34</v>
      </c>
      <c r="T581" s="1" t="s">
        <v>56</v>
      </c>
      <c r="U581" s="1" t="s">
        <v>3009</v>
      </c>
      <c r="V581" s="3">
        <v>20.7</v>
      </c>
      <c r="W581" s="1" t="str">
        <f t="shared" si="49"/>
        <v>Slow Delivery</v>
      </c>
    </row>
    <row r="582" spans="1:23" x14ac:dyDescent="0.25">
      <c r="A582" s="1">
        <v>80</v>
      </c>
      <c r="B582" s="2" t="s">
        <v>3010</v>
      </c>
      <c r="C582" s="2">
        <v>42898</v>
      </c>
      <c r="D582" s="2">
        <v>42901</v>
      </c>
      <c r="E582" s="1">
        <f t="shared" si="46"/>
        <v>2017</v>
      </c>
      <c r="F582" s="2" t="str">
        <f t="shared" si="47"/>
        <v>Jun</v>
      </c>
      <c r="G582" s="1">
        <f t="shared" si="48"/>
        <v>6</v>
      </c>
      <c r="H582" s="1">
        <f t="shared" si="45"/>
        <v>3</v>
      </c>
      <c r="I582" s="1" t="s">
        <v>38</v>
      </c>
      <c r="J582" s="1" t="s">
        <v>3011</v>
      </c>
      <c r="K582" s="1" t="s">
        <v>3012</v>
      </c>
      <c r="L582" s="1" t="s">
        <v>51</v>
      </c>
      <c r="M582" s="1" t="s">
        <v>29</v>
      </c>
      <c r="N582" s="1" t="s">
        <v>669</v>
      </c>
      <c r="O582" s="1" t="s">
        <v>1326</v>
      </c>
      <c r="P582" s="1">
        <v>35601</v>
      </c>
      <c r="Q582" s="1" t="s">
        <v>54</v>
      </c>
      <c r="R582" s="1" t="s">
        <v>3013</v>
      </c>
      <c r="S582" s="1" t="s">
        <v>34</v>
      </c>
      <c r="T582" s="1" t="s">
        <v>74</v>
      </c>
      <c r="U582" s="1" t="s">
        <v>3014</v>
      </c>
      <c r="V582" s="3">
        <v>208.16</v>
      </c>
      <c r="W582" s="1" t="str">
        <f t="shared" si="49"/>
        <v>Fast Delivery</v>
      </c>
    </row>
    <row r="583" spans="1:23" x14ac:dyDescent="0.25">
      <c r="A583" s="1">
        <v>3</v>
      </c>
      <c r="B583" s="2" t="s">
        <v>3015</v>
      </c>
      <c r="C583" s="2">
        <v>42898</v>
      </c>
      <c r="D583" s="2">
        <v>42902</v>
      </c>
      <c r="E583" s="1">
        <f t="shared" si="46"/>
        <v>2017</v>
      </c>
      <c r="F583" s="2" t="str">
        <f t="shared" si="47"/>
        <v>Jun</v>
      </c>
      <c r="G583" s="1">
        <f t="shared" si="48"/>
        <v>6</v>
      </c>
      <c r="H583" s="1">
        <f t="shared" si="45"/>
        <v>4</v>
      </c>
      <c r="I583" s="1" t="s">
        <v>83</v>
      </c>
      <c r="J583" s="1" t="s">
        <v>3016</v>
      </c>
      <c r="K583" s="1" t="s">
        <v>3017</v>
      </c>
      <c r="L583" s="1" t="s">
        <v>51</v>
      </c>
      <c r="M583" s="1" t="s">
        <v>29</v>
      </c>
      <c r="N583" s="1" t="s">
        <v>132</v>
      </c>
      <c r="O583" s="1" t="s">
        <v>106</v>
      </c>
      <c r="P583" s="1">
        <v>90036</v>
      </c>
      <c r="Q583" s="1" t="s">
        <v>107</v>
      </c>
      <c r="R583" s="1" t="s">
        <v>321</v>
      </c>
      <c r="S583" s="1" t="s">
        <v>34</v>
      </c>
      <c r="T583" s="1" t="s">
        <v>56</v>
      </c>
      <c r="U583" s="1" t="s">
        <v>322</v>
      </c>
      <c r="V583" s="3">
        <v>14.62</v>
      </c>
      <c r="W583" s="1" t="str">
        <f t="shared" si="49"/>
        <v>Slow Delivery</v>
      </c>
    </row>
    <row r="584" spans="1:23" x14ac:dyDescent="0.25">
      <c r="A584" s="1">
        <v>2903</v>
      </c>
      <c r="B584" s="2" t="s">
        <v>3018</v>
      </c>
      <c r="C584" s="2">
        <v>42898</v>
      </c>
      <c r="D584" s="2">
        <v>42903</v>
      </c>
      <c r="E584" s="1">
        <f t="shared" si="46"/>
        <v>2017</v>
      </c>
      <c r="F584" s="2" t="str">
        <f t="shared" si="47"/>
        <v>Jun</v>
      </c>
      <c r="G584" s="1">
        <f t="shared" si="48"/>
        <v>6</v>
      </c>
      <c r="H584" s="1">
        <f t="shared" si="45"/>
        <v>5</v>
      </c>
      <c r="I584" s="1" t="s">
        <v>25</v>
      </c>
      <c r="J584" s="1" t="s">
        <v>3019</v>
      </c>
      <c r="K584" s="1" t="s">
        <v>3020</v>
      </c>
      <c r="L584" s="1" t="s">
        <v>28</v>
      </c>
      <c r="M584" s="1" t="s">
        <v>29</v>
      </c>
      <c r="N584" s="1" t="s">
        <v>221</v>
      </c>
      <c r="O584" s="1" t="s">
        <v>222</v>
      </c>
      <c r="P584" s="1">
        <v>60610</v>
      </c>
      <c r="Q584" s="1" t="s">
        <v>32</v>
      </c>
      <c r="R584" s="1" t="s">
        <v>3021</v>
      </c>
      <c r="S584" s="1" t="s">
        <v>34</v>
      </c>
      <c r="T584" s="1" t="s">
        <v>174</v>
      </c>
      <c r="U584" s="1" t="s">
        <v>3022</v>
      </c>
      <c r="V584" s="3">
        <v>23.12</v>
      </c>
      <c r="W584" s="1" t="str">
        <f t="shared" si="49"/>
        <v>Slow Delivery</v>
      </c>
    </row>
    <row r="585" spans="1:23" x14ac:dyDescent="0.25">
      <c r="A585" s="1">
        <v>6050</v>
      </c>
      <c r="B585" s="2" t="s">
        <v>3023</v>
      </c>
      <c r="C585" s="2">
        <v>42901</v>
      </c>
      <c r="D585" s="2">
        <v>42904</v>
      </c>
      <c r="E585" s="1">
        <f t="shared" si="46"/>
        <v>2017</v>
      </c>
      <c r="F585" s="2" t="str">
        <f t="shared" si="47"/>
        <v>Jun</v>
      </c>
      <c r="G585" s="1">
        <f t="shared" si="48"/>
        <v>6</v>
      </c>
      <c r="H585" s="1">
        <f t="shared" si="45"/>
        <v>3</v>
      </c>
      <c r="I585" s="1" t="s">
        <v>38</v>
      </c>
      <c r="J585" s="1" t="s">
        <v>3024</v>
      </c>
      <c r="K585" s="1" t="s">
        <v>3025</v>
      </c>
      <c r="L585" s="1" t="s">
        <v>28</v>
      </c>
      <c r="M585" s="1" t="s">
        <v>29</v>
      </c>
      <c r="N585" s="1" t="s">
        <v>150</v>
      </c>
      <c r="O585" s="1" t="s">
        <v>31</v>
      </c>
      <c r="P585" s="1">
        <v>77036</v>
      </c>
      <c r="Q585" s="1" t="s">
        <v>32</v>
      </c>
      <c r="R585" s="1" t="s">
        <v>3026</v>
      </c>
      <c r="S585" s="1" t="s">
        <v>34</v>
      </c>
      <c r="T585" s="1" t="s">
        <v>174</v>
      </c>
      <c r="U585" s="1" t="s">
        <v>3027</v>
      </c>
      <c r="V585" s="3">
        <v>173.488</v>
      </c>
      <c r="W585" s="1" t="str">
        <f t="shared" si="49"/>
        <v>Fast Delivery</v>
      </c>
    </row>
    <row r="586" spans="1:23" x14ac:dyDescent="0.25">
      <c r="A586" s="1">
        <v>7880</v>
      </c>
      <c r="B586" s="2" t="s">
        <v>3028</v>
      </c>
      <c r="C586" s="2">
        <v>42900</v>
      </c>
      <c r="D586" s="2">
        <v>42907</v>
      </c>
      <c r="E586" s="1">
        <f t="shared" si="46"/>
        <v>2017</v>
      </c>
      <c r="F586" s="2" t="str">
        <f t="shared" si="47"/>
        <v>Jun</v>
      </c>
      <c r="G586" s="1">
        <f t="shared" si="48"/>
        <v>6</v>
      </c>
      <c r="H586" s="1">
        <f t="shared" si="45"/>
        <v>7</v>
      </c>
      <c r="I586" s="1" t="s">
        <v>25</v>
      </c>
      <c r="J586" s="1" t="s">
        <v>3029</v>
      </c>
      <c r="K586" s="1" t="s">
        <v>3030</v>
      </c>
      <c r="L586" s="1" t="s">
        <v>51</v>
      </c>
      <c r="M586" s="1" t="s">
        <v>29</v>
      </c>
      <c r="N586" s="1" t="s">
        <v>410</v>
      </c>
      <c r="O586" s="1" t="s">
        <v>411</v>
      </c>
      <c r="P586" s="1">
        <v>19140</v>
      </c>
      <c r="Q586" s="1" t="s">
        <v>43</v>
      </c>
      <c r="R586" s="1" t="s">
        <v>2966</v>
      </c>
      <c r="S586" s="1" t="s">
        <v>45</v>
      </c>
      <c r="T586" s="1" t="s">
        <v>329</v>
      </c>
      <c r="U586" s="1" t="s">
        <v>2967</v>
      </c>
      <c r="V586" s="3">
        <v>337.17599999999999</v>
      </c>
      <c r="W586" s="1" t="str">
        <f t="shared" si="49"/>
        <v>Slow Delivery</v>
      </c>
    </row>
    <row r="587" spans="1:23" x14ac:dyDescent="0.25">
      <c r="A587" s="1">
        <v>6506</v>
      </c>
      <c r="B587" s="2" t="s">
        <v>3031</v>
      </c>
      <c r="C587" s="2">
        <v>42912</v>
      </c>
      <c r="D587" s="2">
        <v>42916</v>
      </c>
      <c r="E587" s="1">
        <f t="shared" si="46"/>
        <v>2017</v>
      </c>
      <c r="F587" s="2" t="str">
        <f t="shared" si="47"/>
        <v>Jun</v>
      </c>
      <c r="G587" s="1">
        <f t="shared" si="48"/>
        <v>6</v>
      </c>
      <c r="H587" s="1">
        <f t="shared" si="45"/>
        <v>4</v>
      </c>
      <c r="I587" s="1" t="s">
        <v>25</v>
      </c>
      <c r="J587" s="1" t="s">
        <v>3032</v>
      </c>
      <c r="K587" s="1" t="s">
        <v>3033</v>
      </c>
      <c r="L587" s="1" t="s">
        <v>51</v>
      </c>
      <c r="M587" s="1" t="s">
        <v>29</v>
      </c>
      <c r="N587" s="1" t="s">
        <v>221</v>
      </c>
      <c r="O587" s="1" t="s">
        <v>222</v>
      </c>
      <c r="P587" s="1">
        <v>60653</v>
      </c>
      <c r="Q587" s="1" t="s">
        <v>32</v>
      </c>
      <c r="R587" s="1" t="s">
        <v>3034</v>
      </c>
      <c r="S587" s="1" t="s">
        <v>34</v>
      </c>
      <c r="T587" s="1" t="s">
        <v>35</v>
      </c>
      <c r="U587" s="1" t="s">
        <v>3035</v>
      </c>
      <c r="V587" s="3">
        <v>5.3040000000000003</v>
      </c>
      <c r="W587" s="1" t="str">
        <f t="shared" si="49"/>
        <v>Slow Delivery</v>
      </c>
    </row>
    <row r="588" spans="1:23" x14ac:dyDescent="0.25">
      <c r="A588" s="1">
        <v>4919</v>
      </c>
      <c r="B588" s="2" t="s">
        <v>3036</v>
      </c>
      <c r="C588" s="2">
        <v>42737</v>
      </c>
      <c r="D588" s="2">
        <v>42742</v>
      </c>
      <c r="E588" s="1">
        <f t="shared" si="46"/>
        <v>2017</v>
      </c>
      <c r="F588" s="2" t="str">
        <f t="shared" si="47"/>
        <v>Jan</v>
      </c>
      <c r="G588" s="1">
        <f t="shared" si="48"/>
        <v>1</v>
      </c>
      <c r="H588" s="1">
        <f t="shared" si="45"/>
        <v>5</v>
      </c>
      <c r="I588" s="1" t="s">
        <v>25</v>
      </c>
      <c r="J588" s="1" t="s">
        <v>3037</v>
      </c>
      <c r="K588" s="1" t="s">
        <v>3038</v>
      </c>
      <c r="L588" s="1" t="s">
        <v>51</v>
      </c>
      <c r="M588" s="1" t="s">
        <v>29</v>
      </c>
      <c r="N588" s="1" t="s">
        <v>3039</v>
      </c>
      <c r="O588" s="1" t="s">
        <v>794</v>
      </c>
      <c r="P588" s="1">
        <v>20877</v>
      </c>
      <c r="Q588" s="1" t="s">
        <v>43</v>
      </c>
      <c r="R588" s="1" t="s">
        <v>3040</v>
      </c>
      <c r="S588" s="1" t="s">
        <v>45</v>
      </c>
      <c r="T588" s="1" t="s">
        <v>413</v>
      </c>
      <c r="U588" s="1" t="s">
        <v>3041</v>
      </c>
      <c r="V588" s="3">
        <v>173.94</v>
      </c>
      <c r="W588" s="1" t="str">
        <f t="shared" si="49"/>
        <v>Slow Delivery</v>
      </c>
    </row>
    <row r="589" spans="1:23" x14ac:dyDescent="0.25">
      <c r="A589" s="1">
        <v>863</v>
      </c>
      <c r="B589" s="2" t="s">
        <v>3042</v>
      </c>
      <c r="C589" s="2">
        <v>42740</v>
      </c>
      <c r="D589" s="2">
        <v>42742</v>
      </c>
      <c r="E589" s="1">
        <f t="shared" si="46"/>
        <v>2017</v>
      </c>
      <c r="F589" s="2" t="str">
        <f t="shared" si="47"/>
        <v>Jan</v>
      </c>
      <c r="G589" s="1">
        <f t="shared" si="48"/>
        <v>1</v>
      </c>
      <c r="H589" s="1">
        <f t="shared" si="45"/>
        <v>2</v>
      </c>
      <c r="I589" s="1" t="s">
        <v>83</v>
      </c>
      <c r="J589" s="1" t="s">
        <v>3043</v>
      </c>
      <c r="K589" s="1" t="s">
        <v>3044</v>
      </c>
      <c r="L589" s="1" t="s">
        <v>51</v>
      </c>
      <c r="M589" s="1" t="s">
        <v>29</v>
      </c>
      <c r="N589" s="1" t="s">
        <v>782</v>
      </c>
      <c r="O589" s="1" t="s">
        <v>190</v>
      </c>
      <c r="P589" s="1">
        <v>32216</v>
      </c>
      <c r="Q589" s="1" t="s">
        <v>54</v>
      </c>
      <c r="R589" s="1" t="s">
        <v>3045</v>
      </c>
      <c r="S589" s="1" t="s">
        <v>64</v>
      </c>
      <c r="T589" s="1" t="s">
        <v>65</v>
      </c>
      <c r="U589" s="1" t="s">
        <v>3046</v>
      </c>
      <c r="V589" s="3">
        <v>191.47200000000001</v>
      </c>
      <c r="W589" s="1" t="str">
        <f t="shared" si="49"/>
        <v>Fast Delivery</v>
      </c>
    </row>
    <row r="590" spans="1:23" x14ac:dyDescent="0.25">
      <c r="A590" s="1">
        <v>1729</v>
      </c>
      <c r="B590" s="2" t="s">
        <v>3047</v>
      </c>
      <c r="C590" s="2">
        <v>42773</v>
      </c>
      <c r="D590" s="2">
        <v>42773</v>
      </c>
      <c r="E590" s="1">
        <f t="shared" si="46"/>
        <v>2017</v>
      </c>
      <c r="F590" s="2" t="str">
        <f t="shared" si="47"/>
        <v>Feb</v>
      </c>
      <c r="G590" s="1">
        <f t="shared" si="48"/>
        <v>2</v>
      </c>
      <c r="H590" s="1">
        <f t="shared" si="45"/>
        <v>0</v>
      </c>
      <c r="I590" s="1" t="s">
        <v>68</v>
      </c>
      <c r="J590" s="1" t="s">
        <v>3048</v>
      </c>
      <c r="K590" s="1" t="s">
        <v>3049</v>
      </c>
      <c r="L590" s="1" t="s">
        <v>28</v>
      </c>
      <c r="M590" s="1" t="s">
        <v>29</v>
      </c>
      <c r="N590" s="1" t="s">
        <v>52</v>
      </c>
      <c r="O590" s="1" t="s">
        <v>53</v>
      </c>
      <c r="P590" s="1">
        <v>22153</v>
      </c>
      <c r="Q590" s="1" t="s">
        <v>54</v>
      </c>
      <c r="R590" s="1" t="s">
        <v>3050</v>
      </c>
      <c r="S590" s="1" t="s">
        <v>64</v>
      </c>
      <c r="T590" s="1" t="s">
        <v>65</v>
      </c>
      <c r="U590" s="1" t="s">
        <v>3051</v>
      </c>
      <c r="V590" s="3">
        <v>100</v>
      </c>
      <c r="W590" s="1" t="str">
        <f t="shared" si="49"/>
        <v>Fast Delivery</v>
      </c>
    </row>
    <row r="591" spans="1:23" x14ac:dyDescent="0.25">
      <c r="A591" s="1">
        <v>8523</v>
      </c>
      <c r="B591" s="2" t="s">
        <v>3052</v>
      </c>
      <c r="C591" s="2">
        <v>42826</v>
      </c>
      <c r="D591" s="2">
        <v>42832</v>
      </c>
      <c r="E591" s="1">
        <f t="shared" si="46"/>
        <v>2017</v>
      </c>
      <c r="F591" s="2" t="str">
        <f t="shared" si="47"/>
        <v>Apr</v>
      </c>
      <c r="G591" s="1">
        <f t="shared" si="48"/>
        <v>4</v>
      </c>
      <c r="H591" s="1">
        <f t="shared" si="45"/>
        <v>6</v>
      </c>
      <c r="I591" s="1" t="s">
        <v>25</v>
      </c>
      <c r="J591" s="1" t="s">
        <v>3053</v>
      </c>
      <c r="K591" s="1" t="s">
        <v>3054</v>
      </c>
      <c r="L591" s="1" t="s">
        <v>51</v>
      </c>
      <c r="M591" s="1" t="s">
        <v>29</v>
      </c>
      <c r="N591" s="1" t="s">
        <v>442</v>
      </c>
      <c r="O591" s="1" t="s">
        <v>101</v>
      </c>
      <c r="P591" s="1">
        <v>53209</v>
      </c>
      <c r="Q591" s="1" t="s">
        <v>32</v>
      </c>
      <c r="R591" s="1" t="s">
        <v>3055</v>
      </c>
      <c r="S591" s="1" t="s">
        <v>64</v>
      </c>
      <c r="T591" s="1" t="s">
        <v>159</v>
      </c>
      <c r="U591" s="1" t="s">
        <v>3056</v>
      </c>
      <c r="V591" s="3">
        <v>12.99</v>
      </c>
      <c r="W591" s="1" t="str">
        <f t="shared" si="49"/>
        <v>Slow Delivery</v>
      </c>
    </row>
    <row r="592" spans="1:23" x14ac:dyDescent="0.25">
      <c r="A592" s="1">
        <v>1278</v>
      </c>
      <c r="B592" s="2" t="s">
        <v>3057</v>
      </c>
      <c r="C592" s="2">
        <v>42857</v>
      </c>
      <c r="D592" s="2">
        <v>42862</v>
      </c>
      <c r="E592" s="1">
        <f t="shared" si="46"/>
        <v>2017</v>
      </c>
      <c r="F592" s="2" t="str">
        <f t="shared" si="47"/>
        <v>May</v>
      </c>
      <c r="G592" s="1">
        <f t="shared" si="48"/>
        <v>5</v>
      </c>
      <c r="H592" s="1">
        <f t="shared" si="45"/>
        <v>5</v>
      </c>
      <c r="I592" s="1" t="s">
        <v>25</v>
      </c>
      <c r="J592" s="1" t="s">
        <v>3058</v>
      </c>
      <c r="K592" s="1" t="s">
        <v>3059</v>
      </c>
      <c r="L592" s="1" t="s">
        <v>28</v>
      </c>
      <c r="M592" s="1" t="s">
        <v>29</v>
      </c>
      <c r="N592" s="1" t="s">
        <v>150</v>
      </c>
      <c r="O592" s="1" t="s">
        <v>31</v>
      </c>
      <c r="P592" s="1">
        <v>77070</v>
      </c>
      <c r="Q592" s="1" t="s">
        <v>32</v>
      </c>
      <c r="R592" s="1" t="s">
        <v>3060</v>
      </c>
      <c r="S592" s="1" t="s">
        <v>34</v>
      </c>
      <c r="T592" s="1" t="s">
        <v>35</v>
      </c>
      <c r="U592" s="1" t="s">
        <v>3061</v>
      </c>
      <c r="V592" s="3">
        <v>86.352000000000004</v>
      </c>
      <c r="W592" s="1" t="str">
        <f t="shared" si="49"/>
        <v>Slow Delivery</v>
      </c>
    </row>
    <row r="593" spans="1:23" x14ac:dyDescent="0.25">
      <c r="A593" s="1">
        <v>8679</v>
      </c>
      <c r="B593" s="2" t="s">
        <v>3062</v>
      </c>
      <c r="C593" s="2">
        <v>42980</v>
      </c>
      <c r="D593" s="2">
        <v>42985</v>
      </c>
      <c r="E593" s="1">
        <f t="shared" si="46"/>
        <v>2017</v>
      </c>
      <c r="F593" s="2" t="str">
        <f t="shared" si="47"/>
        <v>Sep</v>
      </c>
      <c r="G593" s="1">
        <f t="shared" si="48"/>
        <v>9</v>
      </c>
      <c r="H593" s="1">
        <f t="shared" si="45"/>
        <v>5</v>
      </c>
      <c r="I593" s="1" t="s">
        <v>83</v>
      </c>
      <c r="J593" s="1" t="s">
        <v>3063</v>
      </c>
      <c r="K593" s="1" t="s">
        <v>3064</v>
      </c>
      <c r="L593" s="1" t="s">
        <v>131</v>
      </c>
      <c r="M593" s="1" t="s">
        <v>29</v>
      </c>
      <c r="N593" s="1" t="s">
        <v>150</v>
      </c>
      <c r="O593" s="1" t="s">
        <v>31</v>
      </c>
      <c r="P593" s="1">
        <v>77070</v>
      </c>
      <c r="Q593" s="1" t="s">
        <v>32</v>
      </c>
      <c r="R593" s="1" t="s">
        <v>3065</v>
      </c>
      <c r="S593" s="1" t="s">
        <v>34</v>
      </c>
      <c r="T593" s="1" t="s">
        <v>109</v>
      </c>
      <c r="U593" s="1" t="s">
        <v>3066</v>
      </c>
      <c r="V593" s="3">
        <v>8.6080000000000005</v>
      </c>
      <c r="W593" s="1" t="str">
        <f t="shared" si="49"/>
        <v>Slow Delivery</v>
      </c>
    </row>
    <row r="594" spans="1:23" x14ac:dyDescent="0.25">
      <c r="A594" s="1">
        <v>7563</v>
      </c>
      <c r="B594" s="2" t="s">
        <v>3067</v>
      </c>
      <c r="C594" s="2">
        <v>42981</v>
      </c>
      <c r="D594" s="2">
        <v>42985</v>
      </c>
      <c r="E594" s="1">
        <f t="shared" si="46"/>
        <v>2017</v>
      </c>
      <c r="F594" s="2" t="str">
        <f t="shared" si="47"/>
        <v>Sep</v>
      </c>
      <c r="G594" s="1">
        <f t="shared" si="48"/>
        <v>9</v>
      </c>
      <c r="H594" s="1">
        <f t="shared" si="45"/>
        <v>4</v>
      </c>
      <c r="I594" s="1" t="s">
        <v>25</v>
      </c>
      <c r="J594" s="1" t="s">
        <v>3068</v>
      </c>
      <c r="K594" s="1" t="s">
        <v>3069</v>
      </c>
      <c r="L594" s="1" t="s">
        <v>28</v>
      </c>
      <c r="M594" s="1" t="s">
        <v>29</v>
      </c>
      <c r="N594" s="1" t="s">
        <v>221</v>
      </c>
      <c r="O594" s="1" t="s">
        <v>222</v>
      </c>
      <c r="P594" s="1">
        <v>60610</v>
      </c>
      <c r="Q594" s="1" t="s">
        <v>32</v>
      </c>
      <c r="R594" s="1" t="s">
        <v>3070</v>
      </c>
      <c r="S594" s="1" t="s">
        <v>45</v>
      </c>
      <c r="T594" s="1" t="s">
        <v>413</v>
      </c>
      <c r="U594" s="1" t="s">
        <v>3071</v>
      </c>
      <c r="V594" s="3">
        <v>198.744</v>
      </c>
      <c r="W594" s="1" t="str">
        <f t="shared" si="49"/>
        <v>Slow Delivery</v>
      </c>
    </row>
    <row r="595" spans="1:23" x14ac:dyDescent="0.25">
      <c r="A595" s="1">
        <v>9142</v>
      </c>
      <c r="B595" s="2" t="s">
        <v>3072</v>
      </c>
      <c r="C595" s="2">
        <v>42983</v>
      </c>
      <c r="D595" s="2">
        <v>42985</v>
      </c>
      <c r="E595" s="1">
        <f t="shared" si="46"/>
        <v>2017</v>
      </c>
      <c r="F595" s="2" t="str">
        <f t="shared" si="47"/>
        <v>Sep</v>
      </c>
      <c r="G595" s="1">
        <f t="shared" si="48"/>
        <v>9</v>
      </c>
      <c r="H595" s="1">
        <f t="shared" si="45"/>
        <v>2</v>
      </c>
      <c r="I595" s="1" t="s">
        <v>38</v>
      </c>
      <c r="J595" s="1" t="s">
        <v>3073</v>
      </c>
      <c r="K595" s="1" t="s">
        <v>3074</v>
      </c>
      <c r="L595" s="1" t="s">
        <v>51</v>
      </c>
      <c r="M595" s="1" t="s">
        <v>29</v>
      </c>
      <c r="N595" s="1" t="s">
        <v>114</v>
      </c>
      <c r="O595" s="1" t="s">
        <v>115</v>
      </c>
      <c r="P595" s="1">
        <v>10011</v>
      </c>
      <c r="Q595" s="1" t="s">
        <v>43</v>
      </c>
      <c r="R595" s="1" t="s">
        <v>3075</v>
      </c>
      <c r="S595" s="1" t="s">
        <v>64</v>
      </c>
      <c r="T595" s="1" t="s">
        <v>159</v>
      </c>
      <c r="U595" s="1" t="s">
        <v>3076</v>
      </c>
      <c r="V595" s="3">
        <v>43.6</v>
      </c>
      <c r="W595" s="1" t="str">
        <f t="shared" si="49"/>
        <v>Fast Delivery</v>
      </c>
    </row>
    <row r="596" spans="1:23" x14ac:dyDescent="0.25">
      <c r="A596" s="1">
        <v>6696</v>
      </c>
      <c r="B596" s="2" t="s">
        <v>3077</v>
      </c>
      <c r="C596" s="2">
        <v>43071</v>
      </c>
      <c r="D596" s="2">
        <v>43076</v>
      </c>
      <c r="E596" s="1">
        <f t="shared" si="46"/>
        <v>2017</v>
      </c>
      <c r="F596" s="2" t="str">
        <f t="shared" si="47"/>
        <v>Dec</v>
      </c>
      <c r="G596" s="1">
        <f t="shared" si="48"/>
        <v>12</v>
      </c>
      <c r="H596" s="1">
        <f t="shared" si="45"/>
        <v>5</v>
      </c>
      <c r="I596" s="1" t="s">
        <v>25</v>
      </c>
      <c r="J596" s="1" t="s">
        <v>3078</v>
      </c>
      <c r="K596" s="1" t="s">
        <v>3079</v>
      </c>
      <c r="L596" s="1" t="s">
        <v>28</v>
      </c>
      <c r="M596" s="1" t="s">
        <v>29</v>
      </c>
      <c r="N596" s="1" t="s">
        <v>114</v>
      </c>
      <c r="O596" s="1" t="s">
        <v>115</v>
      </c>
      <c r="P596" s="1">
        <v>10024</v>
      </c>
      <c r="Q596" s="1" t="s">
        <v>43</v>
      </c>
      <c r="R596" s="1" t="s">
        <v>3080</v>
      </c>
      <c r="S596" s="1" t="s">
        <v>34</v>
      </c>
      <c r="T596" s="1" t="s">
        <v>109</v>
      </c>
      <c r="U596" s="1" t="s">
        <v>3081</v>
      </c>
      <c r="V596" s="3">
        <v>415.17599999999999</v>
      </c>
      <c r="W596" s="1" t="str">
        <f t="shared" si="49"/>
        <v>Slow Delivery</v>
      </c>
    </row>
    <row r="597" spans="1:23" x14ac:dyDescent="0.25">
      <c r="A597" s="1">
        <v>4185</v>
      </c>
      <c r="B597" s="2" t="s">
        <v>3082</v>
      </c>
      <c r="C597" s="2">
        <v>43074</v>
      </c>
      <c r="D597" s="2">
        <v>43076</v>
      </c>
      <c r="E597" s="1">
        <f t="shared" si="46"/>
        <v>2017</v>
      </c>
      <c r="F597" s="2" t="str">
        <f t="shared" si="47"/>
        <v>Dec</v>
      </c>
      <c r="G597" s="1">
        <f t="shared" si="48"/>
        <v>12</v>
      </c>
      <c r="H597" s="1">
        <f t="shared" si="45"/>
        <v>2</v>
      </c>
      <c r="I597" s="1" t="s">
        <v>38</v>
      </c>
      <c r="J597" s="1" t="s">
        <v>3083</v>
      </c>
      <c r="K597" s="1" t="s">
        <v>3084</v>
      </c>
      <c r="L597" s="1" t="s">
        <v>51</v>
      </c>
      <c r="M597" s="1" t="s">
        <v>29</v>
      </c>
      <c r="N597" s="1" t="s">
        <v>2254</v>
      </c>
      <c r="O597" s="1" t="s">
        <v>157</v>
      </c>
      <c r="P597" s="1">
        <v>2038</v>
      </c>
      <c r="Q597" s="1" t="s">
        <v>43</v>
      </c>
      <c r="R597" s="1" t="s">
        <v>3085</v>
      </c>
      <c r="S597" s="1" t="s">
        <v>45</v>
      </c>
      <c r="T597" s="1" t="s">
        <v>413</v>
      </c>
      <c r="U597" s="1" t="s">
        <v>3086</v>
      </c>
      <c r="V597" s="3">
        <v>81.94</v>
      </c>
      <c r="W597" s="1" t="str">
        <f t="shared" si="49"/>
        <v>Fast Delivery</v>
      </c>
    </row>
    <row r="598" spans="1:23" x14ac:dyDescent="0.25">
      <c r="A598" s="1">
        <v>5060</v>
      </c>
      <c r="B598" s="2" t="s">
        <v>3087</v>
      </c>
      <c r="C598" s="2">
        <v>43074</v>
      </c>
      <c r="D598" s="2">
        <v>43076</v>
      </c>
      <c r="E598" s="1">
        <f t="shared" si="46"/>
        <v>2017</v>
      </c>
      <c r="F598" s="2" t="str">
        <f t="shared" si="47"/>
        <v>Dec</v>
      </c>
      <c r="G598" s="1">
        <f t="shared" si="48"/>
        <v>12</v>
      </c>
      <c r="H598" s="1">
        <f t="shared" si="45"/>
        <v>2</v>
      </c>
      <c r="I598" s="1" t="s">
        <v>83</v>
      </c>
      <c r="J598" s="1" t="s">
        <v>3088</v>
      </c>
      <c r="K598" s="1" t="s">
        <v>3089</v>
      </c>
      <c r="L598" s="1" t="s">
        <v>28</v>
      </c>
      <c r="M598" s="1" t="s">
        <v>29</v>
      </c>
      <c r="N598" s="1" t="s">
        <v>3090</v>
      </c>
      <c r="O598" s="1" t="s">
        <v>165</v>
      </c>
      <c r="P598" s="1">
        <v>40324</v>
      </c>
      <c r="Q598" s="1" t="s">
        <v>54</v>
      </c>
      <c r="R598" s="1" t="s">
        <v>3091</v>
      </c>
      <c r="S598" s="1" t="s">
        <v>64</v>
      </c>
      <c r="T598" s="1" t="s">
        <v>159</v>
      </c>
      <c r="U598" s="1" t="s">
        <v>3092</v>
      </c>
      <c r="V598" s="3">
        <v>699.98</v>
      </c>
      <c r="W598" s="1" t="str">
        <f t="shared" si="49"/>
        <v>Fast Delivery</v>
      </c>
    </row>
    <row r="599" spans="1:23" x14ac:dyDescent="0.25">
      <c r="A599" s="1">
        <v>6524</v>
      </c>
      <c r="B599" s="2" t="s">
        <v>3093</v>
      </c>
      <c r="C599" s="2">
        <v>42923</v>
      </c>
      <c r="D599" s="2">
        <v>42929</v>
      </c>
      <c r="E599" s="1">
        <f t="shared" si="46"/>
        <v>2017</v>
      </c>
      <c r="F599" s="2" t="str">
        <f t="shared" si="47"/>
        <v>Jul</v>
      </c>
      <c r="G599" s="1">
        <f t="shared" si="48"/>
        <v>7</v>
      </c>
      <c r="H599" s="1">
        <f t="shared" si="45"/>
        <v>6</v>
      </c>
      <c r="I599" s="1" t="s">
        <v>25</v>
      </c>
      <c r="J599" s="1" t="s">
        <v>3094</v>
      </c>
      <c r="K599" s="1" t="s">
        <v>3095</v>
      </c>
      <c r="L599" s="1" t="s">
        <v>131</v>
      </c>
      <c r="M599" s="1" t="s">
        <v>29</v>
      </c>
      <c r="N599" s="1" t="s">
        <v>410</v>
      </c>
      <c r="O599" s="1" t="s">
        <v>411</v>
      </c>
      <c r="P599" s="1">
        <v>19120</v>
      </c>
      <c r="Q599" s="1" t="s">
        <v>43</v>
      </c>
      <c r="R599" s="1" t="s">
        <v>3096</v>
      </c>
      <c r="S599" s="1" t="s">
        <v>34</v>
      </c>
      <c r="T599" s="1" t="s">
        <v>56</v>
      </c>
      <c r="U599" s="1" t="s">
        <v>3097</v>
      </c>
      <c r="V599" s="3">
        <v>10.08</v>
      </c>
      <c r="W599" s="1" t="str">
        <f t="shared" si="49"/>
        <v>Slow Delivery</v>
      </c>
    </row>
    <row r="600" spans="1:23" x14ac:dyDescent="0.25">
      <c r="A600" s="1">
        <v>2154</v>
      </c>
      <c r="B600" s="2" t="s">
        <v>3098</v>
      </c>
      <c r="C600" s="2">
        <v>42930</v>
      </c>
      <c r="D600" s="2">
        <v>42934</v>
      </c>
      <c r="E600" s="1">
        <f t="shared" si="46"/>
        <v>2017</v>
      </c>
      <c r="F600" s="2" t="str">
        <f t="shared" si="47"/>
        <v>Jul</v>
      </c>
      <c r="G600" s="1">
        <f t="shared" si="48"/>
        <v>7</v>
      </c>
      <c r="H600" s="1">
        <f t="shared" si="45"/>
        <v>4</v>
      </c>
      <c r="I600" s="1" t="s">
        <v>25</v>
      </c>
      <c r="J600" s="1" t="s">
        <v>3099</v>
      </c>
      <c r="K600" s="1" t="s">
        <v>3100</v>
      </c>
      <c r="L600" s="1" t="s">
        <v>51</v>
      </c>
      <c r="M600" s="1" t="s">
        <v>29</v>
      </c>
      <c r="N600" s="1" t="s">
        <v>114</v>
      </c>
      <c r="O600" s="1" t="s">
        <v>115</v>
      </c>
      <c r="P600" s="1">
        <v>10009</v>
      </c>
      <c r="Q600" s="1" t="s">
        <v>43</v>
      </c>
      <c r="R600" s="1" t="s">
        <v>3101</v>
      </c>
      <c r="S600" s="1" t="s">
        <v>34</v>
      </c>
      <c r="T600" s="1" t="s">
        <v>109</v>
      </c>
      <c r="U600" s="1" t="s">
        <v>3102</v>
      </c>
      <c r="V600" s="3">
        <v>14.16</v>
      </c>
      <c r="W600" s="1" t="str">
        <f t="shared" si="49"/>
        <v>Slow Delivery</v>
      </c>
    </row>
    <row r="601" spans="1:23" x14ac:dyDescent="0.25">
      <c r="A601" s="1">
        <v>6957</v>
      </c>
      <c r="B601" s="2" t="s">
        <v>3103</v>
      </c>
      <c r="C601" s="2">
        <v>42930</v>
      </c>
      <c r="D601" s="2">
        <v>42935</v>
      </c>
      <c r="E601" s="1">
        <f t="shared" si="46"/>
        <v>2017</v>
      </c>
      <c r="F601" s="2" t="str">
        <f t="shared" si="47"/>
        <v>Jul</v>
      </c>
      <c r="G601" s="1">
        <f t="shared" si="48"/>
        <v>7</v>
      </c>
      <c r="H601" s="1">
        <f t="shared" si="45"/>
        <v>5</v>
      </c>
      <c r="I601" s="1" t="s">
        <v>25</v>
      </c>
      <c r="J601" s="1" t="s">
        <v>3104</v>
      </c>
      <c r="K601" s="1" t="s">
        <v>3105</v>
      </c>
      <c r="L601" s="1" t="s">
        <v>28</v>
      </c>
      <c r="M601" s="1" t="s">
        <v>29</v>
      </c>
      <c r="N601" s="1" t="s">
        <v>71</v>
      </c>
      <c r="O601" s="1" t="s">
        <v>62</v>
      </c>
      <c r="P601" s="1">
        <v>31907</v>
      </c>
      <c r="Q601" s="1" t="s">
        <v>54</v>
      </c>
      <c r="R601" s="1" t="s">
        <v>3106</v>
      </c>
      <c r="S601" s="1" t="s">
        <v>34</v>
      </c>
      <c r="T601" s="1" t="s">
        <v>109</v>
      </c>
      <c r="U601" s="1" t="s">
        <v>3107</v>
      </c>
      <c r="V601" s="3">
        <v>36.4</v>
      </c>
      <c r="W601" s="1" t="str">
        <f t="shared" si="49"/>
        <v>Slow Delivery</v>
      </c>
    </row>
    <row r="602" spans="1:23" x14ac:dyDescent="0.25">
      <c r="A602" s="1">
        <v>7932</v>
      </c>
      <c r="B602" s="2" t="s">
        <v>3108</v>
      </c>
      <c r="C602" s="2">
        <v>42931</v>
      </c>
      <c r="D602" s="2">
        <v>42936</v>
      </c>
      <c r="E602" s="1">
        <f t="shared" si="46"/>
        <v>2017</v>
      </c>
      <c r="F602" s="2" t="str">
        <f t="shared" si="47"/>
        <v>Jul</v>
      </c>
      <c r="G602" s="1">
        <f t="shared" si="48"/>
        <v>7</v>
      </c>
      <c r="H602" s="1">
        <f t="shared" si="45"/>
        <v>5</v>
      </c>
      <c r="I602" s="1" t="s">
        <v>25</v>
      </c>
      <c r="J602" s="1" t="s">
        <v>3109</v>
      </c>
      <c r="K602" s="1" t="s">
        <v>3110</v>
      </c>
      <c r="L602" s="1" t="s">
        <v>51</v>
      </c>
      <c r="M602" s="1" t="s">
        <v>29</v>
      </c>
      <c r="N602" s="1" t="s">
        <v>369</v>
      </c>
      <c r="O602" s="1" t="s">
        <v>370</v>
      </c>
      <c r="P602" s="1">
        <v>97206</v>
      </c>
      <c r="Q602" s="1" t="s">
        <v>107</v>
      </c>
      <c r="R602" s="1" t="s">
        <v>3111</v>
      </c>
      <c r="S602" s="1" t="s">
        <v>45</v>
      </c>
      <c r="T602" s="1" t="s">
        <v>89</v>
      </c>
      <c r="U602" s="1" t="s">
        <v>3112</v>
      </c>
      <c r="V602" s="3">
        <v>230.28</v>
      </c>
      <c r="W602" s="1" t="str">
        <f t="shared" si="49"/>
        <v>Slow Delivery</v>
      </c>
    </row>
    <row r="603" spans="1:23" x14ac:dyDescent="0.25">
      <c r="A603" s="1">
        <v>8604</v>
      </c>
      <c r="B603" s="2" t="s">
        <v>3113</v>
      </c>
      <c r="C603" s="2">
        <v>42738</v>
      </c>
      <c r="D603" s="2">
        <v>42743</v>
      </c>
      <c r="E603" s="1">
        <f t="shared" si="46"/>
        <v>2017</v>
      </c>
      <c r="F603" s="2" t="str">
        <f t="shared" si="47"/>
        <v>Jan</v>
      </c>
      <c r="G603" s="1">
        <f t="shared" si="48"/>
        <v>1</v>
      </c>
      <c r="H603" s="1">
        <f t="shared" si="45"/>
        <v>5</v>
      </c>
      <c r="I603" s="1" t="s">
        <v>25</v>
      </c>
      <c r="J603" s="1" t="s">
        <v>3114</v>
      </c>
      <c r="K603" s="1" t="s">
        <v>3115</v>
      </c>
      <c r="L603" s="1" t="s">
        <v>51</v>
      </c>
      <c r="M603" s="1" t="s">
        <v>29</v>
      </c>
      <c r="N603" s="1" t="s">
        <v>938</v>
      </c>
      <c r="O603" s="1" t="s">
        <v>31</v>
      </c>
      <c r="P603" s="1">
        <v>78207</v>
      </c>
      <c r="Q603" s="1" t="s">
        <v>32</v>
      </c>
      <c r="R603" s="1" t="s">
        <v>3116</v>
      </c>
      <c r="S603" s="1" t="s">
        <v>64</v>
      </c>
      <c r="T603" s="1" t="s">
        <v>65</v>
      </c>
      <c r="U603" s="1" t="s">
        <v>3117</v>
      </c>
      <c r="V603" s="3">
        <v>30.08</v>
      </c>
      <c r="W603" s="1" t="str">
        <f t="shared" si="49"/>
        <v>Slow Delivery</v>
      </c>
    </row>
    <row r="604" spans="1:23" x14ac:dyDescent="0.25">
      <c r="A604" s="1">
        <v>9494</v>
      </c>
      <c r="B604" s="2" t="s">
        <v>3118</v>
      </c>
      <c r="C604" s="2">
        <v>42738</v>
      </c>
      <c r="D604" s="2">
        <v>42743</v>
      </c>
      <c r="E604" s="1">
        <f t="shared" si="46"/>
        <v>2017</v>
      </c>
      <c r="F604" s="2" t="str">
        <f t="shared" si="47"/>
        <v>Jan</v>
      </c>
      <c r="G604" s="1">
        <f t="shared" si="48"/>
        <v>1</v>
      </c>
      <c r="H604" s="1">
        <f t="shared" si="45"/>
        <v>5</v>
      </c>
      <c r="I604" s="1" t="s">
        <v>25</v>
      </c>
      <c r="J604" s="1" t="s">
        <v>3119</v>
      </c>
      <c r="K604" s="1" t="s">
        <v>3120</v>
      </c>
      <c r="L604" s="1" t="s">
        <v>51</v>
      </c>
      <c r="M604" s="1" t="s">
        <v>29</v>
      </c>
      <c r="N604" s="1" t="s">
        <v>3121</v>
      </c>
      <c r="O604" s="1" t="s">
        <v>1190</v>
      </c>
      <c r="P604" s="1">
        <v>74012</v>
      </c>
      <c r="Q604" s="1" t="s">
        <v>32</v>
      </c>
      <c r="R604" s="1" t="s">
        <v>3122</v>
      </c>
      <c r="S604" s="1" t="s">
        <v>45</v>
      </c>
      <c r="T604" s="1" t="s">
        <v>329</v>
      </c>
      <c r="U604" s="1" t="s">
        <v>3123</v>
      </c>
      <c r="V604" s="3">
        <v>1592.85</v>
      </c>
      <c r="W604" s="1" t="str">
        <f t="shared" si="49"/>
        <v>Slow Delivery</v>
      </c>
    </row>
    <row r="605" spans="1:23" x14ac:dyDescent="0.25">
      <c r="A605" s="1">
        <v>5868</v>
      </c>
      <c r="B605" s="2" t="s">
        <v>3124</v>
      </c>
      <c r="C605" s="2">
        <v>42739</v>
      </c>
      <c r="D605" s="2">
        <v>42743</v>
      </c>
      <c r="E605" s="1">
        <f t="shared" si="46"/>
        <v>2017</v>
      </c>
      <c r="F605" s="2" t="str">
        <f t="shared" si="47"/>
        <v>Jan</v>
      </c>
      <c r="G605" s="1">
        <f t="shared" si="48"/>
        <v>1</v>
      </c>
      <c r="H605" s="1">
        <f t="shared" si="45"/>
        <v>4</v>
      </c>
      <c r="I605" s="1" t="s">
        <v>25</v>
      </c>
      <c r="J605" s="1" t="s">
        <v>3125</v>
      </c>
      <c r="K605" s="1" t="s">
        <v>3126</v>
      </c>
      <c r="L605" s="1" t="s">
        <v>51</v>
      </c>
      <c r="M605" s="1" t="s">
        <v>29</v>
      </c>
      <c r="N605" s="1" t="s">
        <v>410</v>
      </c>
      <c r="O605" s="1" t="s">
        <v>411</v>
      </c>
      <c r="P605" s="1">
        <v>19143</v>
      </c>
      <c r="Q605" s="1" t="s">
        <v>43</v>
      </c>
      <c r="R605" s="1" t="s">
        <v>33</v>
      </c>
      <c r="S605" s="1" t="s">
        <v>34</v>
      </c>
      <c r="T605" s="1" t="s">
        <v>35</v>
      </c>
      <c r="U605" s="1" t="s">
        <v>36</v>
      </c>
      <c r="V605" s="3">
        <v>4.6719999999999997</v>
      </c>
      <c r="W605" s="1" t="str">
        <f t="shared" si="49"/>
        <v>Slow Delivery</v>
      </c>
    </row>
    <row r="606" spans="1:23" x14ac:dyDescent="0.25">
      <c r="A606" s="1">
        <v>6043</v>
      </c>
      <c r="B606" s="2" t="s">
        <v>3127</v>
      </c>
      <c r="C606" s="2">
        <v>42770</v>
      </c>
      <c r="D606" s="2">
        <v>42774</v>
      </c>
      <c r="E606" s="1">
        <f t="shared" si="46"/>
        <v>2017</v>
      </c>
      <c r="F606" s="2" t="str">
        <f t="shared" si="47"/>
        <v>Feb</v>
      </c>
      <c r="G606" s="1">
        <f t="shared" si="48"/>
        <v>2</v>
      </c>
      <c r="H606" s="1">
        <f t="shared" si="45"/>
        <v>4</v>
      </c>
      <c r="I606" s="1" t="s">
        <v>25</v>
      </c>
      <c r="J606" s="1" t="s">
        <v>3128</v>
      </c>
      <c r="K606" s="1" t="s">
        <v>3129</v>
      </c>
      <c r="L606" s="1" t="s">
        <v>28</v>
      </c>
      <c r="M606" s="1" t="s">
        <v>29</v>
      </c>
      <c r="N606" s="1" t="s">
        <v>3130</v>
      </c>
      <c r="O606" s="1" t="s">
        <v>229</v>
      </c>
      <c r="P606" s="1">
        <v>85635</v>
      </c>
      <c r="Q606" s="1" t="s">
        <v>107</v>
      </c>
      <c r="R606" s="1" t="s">
        <v>3131</v>
      </c>
      <c r="S606" s="1" t="s">
        <v>45</v>
      </c>
      <c r="T606" s="1" t="s">
        <v>46</v>
      </c>
      <c r="U606" s="1" t="s">
        <v>3132</v>
      </c>
      <c r="V606" s="3">
        <v>14.368</v>
      </c>
      <c r="W606" s="1" t="str">
        <f t="shared" si="49"/>
        <v>Slow Delivery</v>
      </c>
    </row>
    <row r="607" spans="1:23" x14ac:dyDescent="0.25">
      <c r="A607" s="1">
        <v>3265</v>
      </c>
      <c r="B607" s="2" t="s">
        <v>3133</v>
      </c>
      <c r="C607" s="2">
        <v>42798</v>
      </c>
      <c r="D607" s="2">
        <v>42802</v>
      </c>
      <c r="E607" s="1">
        <f t="shared" si="46"/>
        <v>2017</v>
      </c>
      <c r="F607" s="2" t="str">
        <f t="shared" si="47"/>
        <v>Mar</v>
      </c>
      <c r="G607" s="1">
        <f t="shared" si="48"/>
        <v>3</v>
      </c>
      <c r="H607" s="1">
        <f t="shared" si="45"/>
        <v>4</v>
      </c>
      <c r="I607" s="1" t="s">
        <v>83</v>
      </c>
      <c r="J607" s="1" t="s">
        <v>3134</v>
      </c>
      <c r="K607" s="1" t="s">
        <v>3135</v>
      </c>
      <c r="L607" s="1" t="s">
        <v>51</v>
      </c>
      <c r="M607" s="1" t="s">
        <v>29</v>
      </c>
      <c r="N607" s="1" t="s">
        <v>236</v>
      </c>
      <c r="O607" s="1" t="s">
        <v>190</v>
      </c>
      <c r="P607" s="1">
        <v>33180</v>
      </c>
      <c r="Q607" s="1" t="s">
        <v>54</v>
      </c>
      <c r="R607" s="1" t="s">
        <v>1118</v>
      </c>
      <c r="S607" s="1" t="s">
        <v>34</v>
      </c>
      <c r="T607" s="1" t="s">
        <v>56</v>
      </c>
      <c r="U607" s="1" t="s">
        <v>1119</v>
      </c>
      <c r="V607" s="3">
        <v>10.08</v>
      </c>
      <c r="W607" s="1" t="str">
        <f t="shared" si="49"/>
        <v>Slow Delivery</v>
      </c>
    </row>
    <row r="608" spans="1:23" x14ac:dyDescent="0.25">
      <c r="A608" s="1">
        <v>5316</v>
      </c>
      <c r="B608" s="2" t="s">
        <v>3136</v>
      </c>
      <c r="C608" s="2">
        <v>42857</v>
      </c>
      <c r="D608" s="2">
        <v>42863</v>
      </c>
      <c r="E608" s="1">
        <f t="shared" si="46"/>
        <v>2017</v>
      </c>
      <c r="F608" s="2" t="str">
        <f t="shared" si="47"/>
        <v>May</v>
      </c>
      <c r="G608" s="1">
        <f t="shared" si="48"/>
        <v>5</v>
      </c>
      <c r="H608" s="1">
        <f t="shared" si="45"/>
        <v>6</v>
      </c>
      <c r="I608" s="1" t="s">
        <v>25</v>
      </c>
      <c r="J608" s="1" t="s">
        <v>3137</v>
      </c>
      <c r="K608" s="1" t="s">
        <v>3138</v>
      </c>
      <c r="L608" s="1" t="s">
        <v>28</v>
      </c>
      <c r="M608" s="1" t="s">
        <v>29</v>
      </c>
      <c r="N608" s="1" t="s">
        <v>3139</v>
      </c>
      <c r="O608" s="1" t="s">
        <v>320</v>
      </c>
      <c r="P608" s="1">
        <v>27405</v>
      </c>
      <c r="Q608" s="1" t="s">
        <v>54</v>
      </c>
      <c r="R608" s="1" t="s">
        <v>3140</v>
      </c>
      <c r="S608" s="1" t="s">
        <v>45</v>
      </c>
      <c r="T608" s="1" t="s">
        <v>89</v>
      </c>
      <c r="U608" s="1" t="s">
        <v>3141</v>
      </c>
      <c r="V608" s="3">
        <v>187.05600000000001</v>
      </c>
      <c r="W608" s="1" t="str">
        <f t="shared" si="49"/>
        <v>Slow Delivery</v>
      </c>
    </row>
    <row r="609" spans="1:23" x14ac:dyDescent="0.25">
      <c r="A609" s="1">
        <v>8337</v>
      </c>
      <c r="B609" s="2" t="s">
        <v>3142</v>
      </c>
      <c r="C609" s="2">
        <v>42918</v>
      </c>
      <c r="D609" s="2">
        <v>42924</v>
      </c>
      <c r="E609" s="1">
        <f t="shared" si="46"/>
        <v>2017</v>
      </c>
      <c r="F609" s="2" t="str">
        <f t="shared" si="47"/>
        <v>Jul</v>
      </c>
      <c r="G609" s="1">
        <f t="shared" si="48"/>
        <v>7</v>
      </c>
      <c r="H609" s="1">
        <f t="shared" si="45"/>
        <v>6</v>
      </c>
      <c r="I609" s="1" t="s">
        <v>25</v>
      </c>
      <c r="J609" s="1" t="s">
        <v>3143</v>
      </c>
      <c r="K609" s="1" t="s">
        <v>3144</v>
      </c>
      <c r="L609" s="1" t="s">
        <v>28</v>
      </c>
      <c r="M609" s="1" t="s">
        <v>29</v>
      </c>
      <c r="N609" s="1" t="s">
        <v>692</v>
      </c>
      <c r="O609" s="1" t="s">
        <v>53</v>
      </c>
      <c r="P609" s="1">
        <v>22204</v>
      </c>
      <c r="Q609" s="1" t="s">
        <v>54</v>
      </c>
      <c r="R609" s="1" t="s">
        <v>3145</v>
      </c>
      <c r="S609" s="1" t="s">
        <v>34</v>
      </c>
      <c r="T609" s="1" t="s">
        <v>35</v>
      </c>
      <c r="U609" s="1" t="s">
        <v>3146</v>
      </c>
      <c r="V609" s="3">
        <v>7.7</v>
      </c>
      <c r="W609" s="1" t="str">
        <f t="shared" si="49"/>
        <v>Slow Delivery</v>
      </c>
    </row>
    <row r="610" spans="1:23" x14ac:dyDescent="0.25">
      <c r="A610" s="1">
        <v>1764</v>
      </c>
      <c r="B610" s="2" t="s">
        <v>3147</v>
      </c>
      <c r="C610" s="2">
        <v>42951</v>
      </c>
      <c r="D610" s="2">
        <v>42955</v>
      </c>
      <c r="E610" s="1">
        <f t="shared" si="46"/>
        <v>2017</v>
      </c>
      <c r="F610" s="2" t="str">
        <f t="shared" si="47"/>
        <v>Aug</v>
      </c>
      <c r="G610" s="1">
        <f t="shared" si="48"/>
        <v>8</v>
      </c>
      <c r="H610" s="1">
        <f t="shared" si="45"/>
        <v>4</v>
      </c>
      <c r="I610" s="1" t="s">
        <v>25</v>
      </c>
      <c r="J610" s="1" t="s">
        <v>3148</v>
      </c>
      <c r="K610" s="1" t="s">
        <v>3149</v>
      </c>
      <c r="L610" s="1" t="s">
        <v>131</v>
      </c>
      <c r="M610" s="1" t="s">
        <v>29</v>
      </c>
      <c r="N610" s="1" t="s">
        <v>2220</v>
      </c>
      <c r="O610" s="1" t="s">
        <v>53</v>
      </c>
      <c r="P610" s="1">
        <v>23434</v>
      </c>
      <c r="Q610" s="1" t="s">
        <v>54</v>
      </c>
      <c r="R610" s="1" t="s">
        <v>3150</v>
      </c>
      <c r="S610" s="1" t="s">
        <v>34</v>
      </c>
      <c r="T610" s="1" t="s">
        <v>638</v>
      </c>
      <c r="U610" s="1" t="s">
        <v>3151</v>
      </c>
      <c r="V610" s="3">
        <v>35.06</v>
      </c>
      <c r="W610" s="1" t="str">
        <f t="shared" si="49"/>
        <v>Slow Delivery</v>
      </c>
    </row>
    <row r="611" spans="1:23" x14ac:dyDescent="0.25">
      <c r="A611" s="1">
        <v>4514</v>
      </c>
      <c r="B611" s="2" t="s">
        <v>3152</v>
      </c>
      <c r="C611" s="2">
        <v>42984</v>
      </c>
      <c r="D611" s="2">
        <v>42986</v>
      </c>
      <c r="E611" s="1">
        <f t="shared" si="46"/>
        <v>2017</v>
      </c>
      <c r="F611" s="2" t="str">
        <f t="shared" si="47"/>
        <v>Sep</v>
      </c>
      <c r="G611" s="1">
        <f t="shared" si="48"/>
        <v>9</v>
      </c>
      <c r="H611" s="1">
        <f t="shared" si="45"/>
        <v>2</v>
      </c>
      <c r="I611" s="1" t="s">
        <v>38</v>
      </c>
      <c r="J611" s="1" t="s">
        <v>3153</v>
      </c>
      <c r="K611" s="1" t="s">
        <v>3154</v>
      </c>
      <c r="L611" s="1" t="s">
        <v>28</v>
      </c>
      <c r="M611" s="1" t="s">
        <v>29</v>
      </c>
      <c r="N611" s="1" t="s">
        <v>150</v>
      </c>
      <c r="O611" s="1" t="s">
        <v>31</v>
      </c>
      <c r="P611" s="1">
        <v>77070</v>
      </c>
      <c r="Q611" s="1" t="s">
        <v>32</v>
      </c>
      <c r="R611" s="1" t="s">
        <v>2146</v>
      </c>
      <c r="S611" s="1" t="s">
        <v>34</v>
      </c>
      <c r="T611" s="1" t="s">
        <v>270</v>
      </c>
      <c r="U611" s="1" t="s">
        <v>2147</v>
      </c>
      <c r="V611" s="3">
        <v>10.784000000000001</v>
      </c>
      <c r="W611" s="1" t="str">
        <f t="shared" si="49"/>
        <v>Fast Delivery</v>
      </c>
    </row>
    <row r="612" spans="1:23" x14ac:dyDescent="0.25">
      <c r="A612" s="1">
        <v>703</v>
      </c>
      <c r="B612" s="2" t="s">
        <v>3155</v>
      </c>
      <c r="C612" s="2">
        <v>43043</v>
      </c>
      <c r="D612" s="2">
        <v>43047</v>
      </c>
      <c r="E612" s="1">
        <f t="shared" si="46"/>
        <v>2017</v>
      </c>
      <c r="F612" s="2" t="str">
        <f t="shared" si="47"/>
        <v>Nov</v>
      </c>
      <c r="G612" s="1">
        <f t="shared" si="48"/>
        <v>11</v>
      </c>
      <c r="H612" s="1">
        <f t="shared" si="45"/>
        <v>4</v>
      </c>
      <c r="I612" s="1" t="s">
        <v>83</v>
      </c>
      <c r="J612" s="1" t="s">
        <v>3156</v>
      </c>
      <c r="K612" s="1" t="s">
        <v>3157</v>
      </c>
      <c r="L612" s="1" t="s">
        <v>51</v>
      </c>
      <c r="M612" s="1" t="s">
        <v>29</v>
      </c>
      <c r="N612" s="1" t="s">
        <v>488</v>
      </c>
      <c r="O612" s="1" t="s">
        <v>424</v>
      </c>
      <c r="P612" s="1">
        <v>98103</v>
      </c>
      <c r="Q612" s="1" t="s">
        <v>107</v>
      </c>
      <c r="R612" s="1" t="s">
        <v>3158</v>
      </c>
      <c r="S612" s="1" t="s">
        <v>45</v>
      </c>
      <c r="T612" s="1" t="s">
        <v>46</v>
      </c>
      <c r="U612" s="1" t="s">
        <v>3159</v>
      </c>
      <c r="V612" s="3">
        <v>209.88</v>
      </c>
      <c r="W612" s="1" t="str">
        <f t="shared" si="49"/>
        <v>Slow Delivery</v>
      </c>
    </row>
    <row r="613" spans="1:23" x14ac:dyDescent="0.25">
      <c r="A613" s="1">
        <v>1480</v>
      </c>
      <c r="B613" s="2" t="s">
        <v>3160</v>
      </c>
      <c r="C613" s="2">
        <v>43071</v>
      </c>
      <c r="D613" s="2">
        <v>43077</v>
      </c>
      <c r="E613" s="1">
        <f t="shared" si="46"/>
        <v>2017</v>
      </c>
      <c r="F613" s="2" t="str">
        <f t="shared" si="47"/>
        <v>Dec</v>
      </c>
      <c r="G613" s="1">
        <f t="shared" si="48"/>
        <v>12</v>
      </c>
      <c r="H613" s="1">
        <f t="shared" si="45"/>
        <v>6</v>
      </c>
      <c r="I613" s="1" t="s">
        <v>25</v>
      </c>
      <c r="J613" s="1" t="s">
        <v>3161</v>
      </c>
      <c r="K613" s="1" t="s">
        <v>3162</v>
      </c>
      <c r="L613" s="1" t="s">
        <v>28</v>
      </c>
      <c r="M613" s="1" t="s">
        <v>29</v>
      </c>
      <c r="N613" s="1" t="s">
        <v>105</v>
      </c>
      <c r="O613" s="1" t="s">
        <v>106</v>
      </c>
      <c r="P613" s="1">
        <v>94122</v>
      </c>
      <c r="Q613" s="1" t="s">
        <v>107</v>
      </c>
      <c r="R613" s="1" t="s">
        <v>3163</v>
      </c>
      <c r="S613" s="1" t="s">
        <v>34</v>
      </c>
      <c r="T613" s="1" t="s">
        <v>174</v>
      </c>
      <c r="U613" s="1" t="s">
        <v>3164</v>
      </c>
      <c r="V613" s="3">
        <v>25.92</v>
      </c>
      <c r="W613" s="1" t="str">
        <f t="shared" si="49"/>
        <v>Slow Delivery</v>
      </c>
    </row>
    <row r="614" spans="1:23" x14ac:dyDescent="0.25">
      <c r="A614" s="1">
        <v>4198</v>
      </c>
      <c r="B614" s="2" t="s">
        <v>3165</v>
      </c>
      <c r="C614" s="2">
        <v>43072</v>
      </c>
      <c r="D614" s="2">
        <v>43077</v>
      </c>
      <c r="E614" s="1">
        <f t="shared" si="46"/>
        <v>2017</v>
      </c>
      <c r="F614" s="2" t="str">
        <f t="shared" si="47"/>
        <v>Dec</v>
      </c>
      <c r="G614" s="1">
        <f t="shared" si="48"/>
        <v>12</v>
      </c>
      <c r="H614" s="1">
        <f t="shared" si="45"/>
        <v>5</v>
      </c>
      <c r="I614" s="1" t="s">
        <v>25</v>
      </c>
      <c r="J614" s="1" t="s">
        <v>3166</v>
      </c>
      <c r="K614" s="1" t="s">
        <v>3167</v>
      </c>
      <c r="L614" s="1" t="s">
        <v>28</v>
      </c>
      <c r="M614" s="1" t="s">
        <v>29</v>
      </c>
      <c r="N614" s="1" t="s">
        <v>410</v>
      </c>
      <c r="O614" s="1" t="s">
        <v>411</v>
      </c>
      <c r="P614" s="1">
        <v>19134</v>
      </c>
      <c r="Q614" s="1" t="s">
        <v>43</v>
      </c>
      <c r="R614" s="1" t="s">
        <v>1897</v>
      </c>
      <c r="S614" s="1" t="s">
        <v>34</v>
      </c>
      <c r="T614" s="1" t="s">
        <v>74</v>
      </c>
      <c r="U614" s="1" t="s">
        <v>1898</v>
      </c>
      <c r="V614" s="3">
        <v>394.81599999999997</v>
      </c>
      <c r="W614" s="1" t="str">
        <f t="shared" si="49"/>
        <v>Slow Delivery</v>
      </c>
    </row>
    <row r="615" spans="1:23" x14ac:dyDescent="0.25">
      <c r="A615" s="1">
        <v>1534</v>
      </c>
      <c r="B615" s="2" t="s">
        <v>3168</v>
      </c>
      <c r="C615" s="2">
        <v>43073</v>
      </c>
      <c r="D615" s="2">
        <v>43077</v>
      </c>
      <c r="E615" s="1">
        <f t="shared" si="46"/>
        <v>2017</v>
      </c>
      <c r="F615" s="2" t="str">
        <f t="shared" si="47"/>
        <v>Dec</v>
      </c>
      <c r="G615" s="1">
        <f t="shared" si="48"/>
        <v>12</v>
      </c>
      <c r="H615" s="1">
        <f t="shared" si="45"/>
        <v>4</v>
      </c>
      <c r="I615" s="1" t="s">
        <v>25</v>
      </c>
      <c r="J615" s="1" t="s">
        <v>3169</v>
      </c>
      <c r="K615" s="1" t="s">
        <v>3170</v>
      </c>
      <c r="L615" s="1" t="s">
        <v>51</v>
      </c>
      <c r="M615" s="1" t="s">
        <v>29</v>
      </c>
      <c r="N615" s="1" t="s">
        <v>114</v>
      </c>
      <c r="O615" s="1" t="s">
        <v>115</v>
      </c>
      <c r="P615" s="1">
        <v>10035</v>
      </c>
      <c r="Q615" s="1" t="s">
        <v>43</v>
      </c>
      <c r="R615" s="1" t="s">
        <v>3171</v>
      </c>
      <c r="S615" s="1" t="s">
        <v>34</v>
      </c>
      <c r="T615" s="1" t="s">
        <v>270</v>
      </c>
      <c r="U615" s="1" t="s">
        <v>3172</v>
      </c>
      <c r="V615" s="3">
        <v>212.88</v>
      </c>
      <c r="W615" s="1" t="str">
        <f t="shared" si="49"/>
        <v>Slow Delivery</v>
      </c>
    </row>
    <row r="616" spans="1:23" x14ac:dyDescent="0.25">
      <c r="A616" s="1">
        <v>5777</v>
      </c>
      <c r="B616" s="2" t="s">
        <v>3173</v>
      </c>
      <c r="C616" s="2">
        <v>43073</v>
      </c>
      <c r="D616" s="2">
        <v>43077</v>
      </c>
      <c r="E616" s="1">
        <f t="shared" si="46"/>
        <v>2017</v>
      </c>
      <c r="F616" s="2" t="str">
        <f t="shared" si="47"/>
        <v>Dec</v>
      </c>
      <c r="G616" s="1">
        <f t="shared" si="48"/>
        <v>12</v>
      </c>
      <c r="H616" s="1">
        <f t="shared" si="45"/>
        <v>4</v>
      </c>
      <c r="I616" s="1" t="s">
        <v>25</v>
      </c>
      <c r="J616" s="1" t="s">
        <v>3174</v>
      </c>
      <c r="K616" s="1" t="s">
        <v>3175</v>
      </c>
      <c r="L616" s="1" t="s">
        <v>28</v>
      </c>
      <c r="M616" s="1" t="s">
        <v>29</v>
      </c>
      <c r="N616" s="1" t="s">
        <v>2831</v>
      </c>
      <c r="O616" s="1" t="s">
        <v>115</v>
      </c>
      <c r="P616" s="1">
        <v>13021</v>
      </c>
      <c r="Q616" s="1" t="s">
        <v>43</v>
      </c>
      <c r="R616" s="1" t="s">
        <v>3176</v>
      </c>
      <c r="S616" s="1" t="s">
        <v>34</v>
      </c>
      <c r="T616" s="1" t="s">
        <v>109</v>
      </c>
      <c r="U616" s="1" t="s">
        <v>3177</v>
      </c>
      <c r="V616" s="3">
        <v>15.528</v>
      </c>
      <c r="W616" s="1" t="str">
        <f t="shared" si="49"/>
        <v>Slow Delivery</v>
      </c>
    </row>
    <row r="617" spans="1:23" x14ac:dyDescent="0.25">
      <c r="A617" s="1">
        <v>8306</v>
      </c>
      <c r="B617" s="2" t="s">
        <v>3178</v>
      </c>
      <c r="C617" s="2">
        <v>42958</v>
      </c>
      <c r="D617" s="2">
        <v>42963</v>
      </c>
      <c r="E617" s="1">
        <f t="shared" si="46"/>
        <v>2017</v>
      </c>
      <c r="F617" s="2" t="str">
        <f t="shared" si="47"/>
        <v>Aug</v>
      </c>
      <c r="G617" s="1">
        <f t="shared" si="48"/>
        <v>8</v>
      </c>
      <c r="H617" s="1">
        <f t="shared" si="45"/>
        <v>5</v>
      </c>
      <c r="I617" s="1" t="s">
        <v>25</v>
      </c>
      <c r="J617" s="1" t="s">
        <v>3179</v>
      </c>
      <c r="K617" s="1" t="s">
        <v>3180</v>
      </c>
      <c r="L617" s="1" t="s">
        <v>131</v>
      </c>
      <c r="M617" s="1" t="s">
        <v>29</v>
      </c>
      <c r="N617" s="1" t="s">
        <v>1214</v>
      </c>
      <c r="O617" s="1" t="s">
        <v>1190</v>
      </c>
      <c r="P617" s="1">
        <v>74133</v>
      </c>
      <c r="Q617" s="1" t="s">
        <v>32</v>
      </c>
      <c r="R617" s="1" t="s">
        <v>1940</v>
      </c>
      <c r="S617" s="1" t="s">
        <v>34</v>
      </c>
      <c r="T617" s="1" t="s">
        <v>174</v>
      </c>
      <c r="U617" s="1" t="s">
        <v>1941</v>
      </c>
      <c r="V617" s="3">
        <v>32.4</v>
      </c>
      <c r="W617" s="1" t="str">
        <f t="shared" si="49"/>
        <v>Slow Delivery</v>
      </c>
    </row>
    <row r="618" spans="1:23" x14ac:dyDescent="0.25">
      <c r="A618" s="1">
        <v>6134</v>
      </c>
      <c r="B618" s="2" t="s">
        <v>3181</v>
      </c>
      <c r="C618" s="2">
        <v>42963</v>
      </c>
      <c r="D618" s="2">
        <v>42966</v>
      </c>
      <c r="E618" s="1">
        <f t="shared" si="46"/>
        <v>2017</v>
      </c>
      <c r="F618" s="2" t="str">
        <f t="shared" si="47"/>
        <v>Aug</v>
      </c>
      <c r="G618" s="1">
        <f t="shared" si="48"/>
        <v>8</v>
      </c>
      <c r="H618" s="1">
        <f t="shared" si="45"/>
        <v>3</v>
      </c>
      <c r="I618" s="1" t="s">
        <v>38</v>
      </c>
      <c r="J618" s="1" t="s">
        <v>3182</v>
      </c>
      <c r="K618" s="1" t="s">
        <v>3183</v>
      </c>
      <c r="L618" s="1" t="s">
        <v>51</v>
      </c>
      <c r="M618" s="1" t="s">
        <v>29</v>
      </c>
      <c r="N618" s="1" t="s">
        <v>132</v>
      </c>
      <c r="O618" s="1" t="s">
        <v>106</v>
      </c>
      <c r="P618" s="1">
        <v>90045</v>
      </c>
      <c r="Q618" s="1" t="s">
        <v>107</v>
      </c>
      <c r="R618" s="1" t="s">
        <v>3184</v>
      </c>
      <c r="S618" s="1" t="s">
        <v>45</v>
      </c>
      <c r="T618" s="1" t="s">
        <v>329</v>
      </c>
      <c r="U618" s="1" t="s">
        <v>3185</v>
      </c>
      <c r="V618" s="3">
        <v>161.28</v>
      </c>
      <c r="W618" s="1" t="str">
        <f t="shared" si="49"/>
        <v>Fast Delivery</v>
      </c>
    </row>
    <row r="619" spans="1:23" x14ac:dyDescent="0.25">
      <c r="A619" s="1">
        <v>2898</v>
      </c>
      <c r="B619" s="2" t="s">
        <v>3186</v>
      </c>
      <c r="C619" s="2">
        <v>42739</v>
      </c>
      <c r="D619" s="2">
        <v>42744</v>
      </c>
      <c r="E619" s="1">
        <f t="shared" si="46"/>
        <v>2017</v>
      </c>
      <c r="F619" s="2" t="str">
        <f t="shared" si="47"/>
        <v>Jan</v>
      </c>
      <c r="G619" s="1">
        <f t="shared" si="48"/>
        <v>1</v>
      </c>
      <c r="H619" s="1">
        <f t="shared" si="45"/>
        <v>5</v>
      </c>
      <c r="I619" s="1" t="s">
        <v>25</v>
      </c>
      <c r="J619" s="1" t="s">
        <v>3187</v>
      </c>
      <c r="K619" s="1" t="s">
        <v>3188</v>
      </c>
      <c r="L619" s="1" t="s">
        <v>51</v>
      </c>
      <c r="M619" s="1" t="s">
        <v>29</v>
      </c>
      <c r="N619" s="1" t="s">
        <v>319</v>
      </c>
      <c r="O619" s="1" t="s">
        <v>320</v>
      </c>
      <c r="P619" s="1">
        <v>28205</v>
      </c>
      <c r="Q619" s="1" t="s">
        <v>54</v>
      </c>
      <c r="R619" s="1" t="s">
        <v>3189</v>
      </c>
      <c r="S619" s="1" t="s">
        <v>64</v>
      </c>
      <c r="T619" s="1" t="s">
        <v>145</v>
      </c>
      <c r="U619" s="1" t="s">
        <v>3190</v>
      </c>
      <c r="V619" s="3">
        <v>959.96799999999996</v>
      </c>
      <c r="W619" s="1" t="str">
        <f t="shared" si="49"/>
        <v>Slow Delivery</v>
      </c>
    </row>
    <row r="620" spans="1:23" x14ac:dyDescent="0.25">
      <c r="A620" s="1">
        <v>2696</v>
      </c>
      <c r="B620" s="2" t="s">
        <v>3191</v>
      </c>
      <c r="C620" s="2">
        <v>42773</v>
      </c>
      <c r="D620" s="2">
        <v>42775</v>
      </c>
      <c r="E620" s="1">
        <f t="shared" si="46"/>
        <v>2017</v>
      </c>
      <c r="F620" s="2" t="str">
        <f t="shared" si="47"/>
        <v>Feb</v>
      </c>
      <c r="G620" s="1">
        <f t="shared" si="48"/>
        <v>2</v>
      </c>
      <c r="H620" s="1">
        <f t="shared" si="45"/>
        <v>2</v>
      </c>
      <c r="I620" s="1" t="s">
        <v>38</v>
      </c>
      <c r="J620" s="1" t="s">
        <v>3192</v>
      </c>
      <c r="K620" s="1" t="s">
        <v>3193</v>
      </c>
      <c r="L620" s="1" t="s">
        <v>28</v>
      </c>
      <c r="M620" s="1" t="s">
        <v>29</v>
      </c>
      <c r="N620" s="1" t="s">
        <v>1021</v>
      </c>
      <c r="O620" s="1" t="s">
        <v>72</v>
      </c>
      <c r="P620" s="1">
        <v>43130</v>
      </c>
      <c r="Q620" s="1" t="s">
        <v>43</v>
      </c>
      <c r="R620" s="1" t="s">
        <v>3194</v>
      </c>
      <c r="S620" s="1" t="s">
        <v>34</v>
      </c>
      <c r="T620" s="1" t="s">
        <v>174</v>
      </c>
      <c r="U620" s="1" t="s">
        <v>3195</v>
      </c>
      <c r="V620" s="3">
        <v>30.352</v>
      </c>
      <c r="W620" s="1" t="str">
        <f t="shared" si="49"/>
        <v>Fast Delivery</v>
      </c>
    </row>
    <row r="621" spans="1:23" x14ac:dyDescent="0.25">
      <c r="A621" s="1">
        <v>5898</v>
      </c>
      <c r="B621" s="2" t="s">
        <v>3196</v>
      </c>
      <c r="C621" s="2">
        <v>42828</v>
      </c>
      <c r="D621" s="2">
        <v>42834</v>
      </c>
      <c r="E621" s="1">
        <f t="shared" si="46"/>
        <v>2017</v>
      </c>
      <c r="F621" s="2" t="str">
        <f t="shared" si="47"/>
        <v>Apr</v>
      </c>
      <c r="G621" s="1">
        <f t="shared" si="48"/>
        <v>4</v>
      </c>
      <c r="H621" s="1">
        <f t="shared" si="45"/>
        <v>6</v>
      </c>
      <c r="I621" s="1" t="s">
        <v>25</v>
      </c>
      <c r="J621" s="1" t="s">
        <v>3197</v>
      </c>
      <c r="K621" s="1" t="s">
        <v>3198</v>
      </c>
      <c r="L621" s="1" t="s">
        <v>28</v>
      </c>
      <c r="M621" s="1" t="s">
        <v>29</v>
      </c>
      <c r="N621" s="1" t="s">
        <v>164</v>
      </c>
      <c r="O621" s="1" t="s">
        <v>2094</v>
      </c>
      <c r="P621" s="1">
        <v>47374</v>
      </c>
      <c r="Q621" s="1" t="s">
        <v>32</v>
      </c>
      <c r="R621" s="1" t="s">
        <v>3199</v>
      </c>
      <c r="S621" s="1" t="s">
        <v>45</v>
      </c>
      <c r="T621" s="1" t="s">
        <v>46</v>
      </c>
      <c r="U621" s="1" t="s">
        <v>3200</v>
      </c>
      <c r="V621" s="3">
        <v>71.12</v>
      </c>
      <c r="W621" s="1" t="str">
        <f t="shared" si="49"/>
        <v>Slow Delivery</v>
      </c>
    </row>
    <row r="622" spans="1:23" x14ac:dyDescent="0.25">
      <c r="A622" s="1">
        <v>5440</v>
      </c>
      <c r="B622" s="2" t="s">
        <v>3201</v>
      </c>
      <c r="C622" s="2">
        <v>42829</v>
      </c>
      <c r="D622" s="2">
        <v>42834</v>
      </c>
      <c r="E622" s="1">
        <f t="shared" si="46"/>
        <v>2017</v>
      </c>
      <c r="F622" s="2" t="str">
        <f t="shared" si="47"/>
        <v>Apr</v>
      </c>
      <c r="G622" s="1">
        <f t="shared" si="48"/>
        <v>4</v>
      </c>
      <c r="H622" s="1">
        <f t="shared" si="45"/>
        <v>5</v>
      </c>
      <c r="I622" s="1" t="s">
        <v>25</v>
      </c>
      <c r="J622" s="1" t="s">
        <v>3202</v>
      </c>
      <c r="K622" s="1" t="s">
        <v>3203</v>
      </c>
      <c r="L622" s="1" t="s">
        <v>28</v>
      </c>
      <c r="M622" s="1" t="s">
        <v>29</v>
      </c>
      <c r="N622" s="1" t="s">
        <v>114</v>
      </c>
      <c r="O622" s="1" t="s">
        <v>115</v>
      </c>
      <c r="P622" s="1">
        <v>10035</v>
      </c>
      <c r="Q622" s="1" t="s">
        <v>43</v>
      </c>
      <c r="R622" s="1" t="s">
        <v>1064</v>
      </c>
      <c r="S622" s="1" t="s">
        <v>34</v>
      </c>
      <c r="T622" s="1" t="s">
        <v>109</v>
      </c>
      <c r="U622" s="1" t="s">
        <v>1065</v>
      </c>
      <c r="V622" s="3">
        <v>588.78399999999999</v>
      </c>
      <c r="W622" s="1" t="str">
        <f t="shared" si="49"/>
        <v>Slow Delivery</v>
      </c>
    </row>
    <row r="623" spans="1:23" x14ac:dyDescent="0.25">
      <c r="A623" s="1">
        <v>2589</v>
      </c>
      <c r="B623" s="2" t="s">
        <v>3204</v>
      </c>
      <c r="C623" s="2">
        <v>42860</v>
      </c>
      <c r="D623" s="2">
        <v>42864</v>
      </c>
      <c r="E623" s="1">
        <f t="shared" si="46"/>
        <v>2017</v>
      </c>
      <c r="F623" s="2" t="str">
        <f t="shared" si="47"/>
        <v>May</v>
      </c>
      <c r="G623" s="1">
        <f t="shared" si="48"/>
        <v>5</v>
      </c>
      <c r="H623" s="1">
        <f t="shared" si="45"/>
        <v>4</v>
      </c>
      <c r="I623" s="1" t="s">
        <v>25</v>
      </c>
      <c r="J623" s="1" t="s">
        <v>3205</v>
      </c>
      <c r="K623" s="1" t="s">
        <v>3206</v>
      </c>
      <c r="L623" s="1" t="s">
        <v>131</v>
      </c>
      <c r="M623" s="1" t="s">
        <v>29</v>
      </c>
      <c r="N623" s="1" t="s">
        <v>132</v>
      </c>
      <c r="O623" s="1" t="s">
        <v>106</v>
      </c>
      <c r="P623" s="1">
        <v>90004</v>
      </c>
      <c r="Q623" s="1" t="s">
        <v>107</v>
      </c>
      <c r="R623" s="1" t="s">
        <v>1891</v>
      </c>
      <c r="S623" s="1" t="s">
        <v>34</v>
      </c>
      <c r="T623" s="1" t="s">
        <v>270</v>
      </c>
      <c r="U623" s="1" t="s">
        <v>1892</v>
      </c>
      <c r="V623" s="3">
        <v>5.98</v>
      </c>
      <c r="W623" s="1" t="str">
        <f t="shared" si="49"/>
        <v>Slow Delivery</v>
      </c>
    </row>
    <row r="624" spans="1:23" x14ac:dyDescent="0.25">
      <c r="A624" s="1">
        <v>5085</v>
      </c>
      <c r="B624" s="2" t="s">
        <v>3207</v>
      </c>
      <c r="C624" s="2">
        <v>42892</v>
      </c>
      <c r="D624" s="2">
        <v>42895</v>
      </c>
      <c r="E624" s="1">
        <f t="shared" si="46"/>
        <v>2017</v>
      </c>
      <c r="F624" s="2" t="str">
        <f t="shared" si="47"/>
        <v>Jun</v>
      </c>
      <c r="G624" s="1">
        <f t="shared" si="48"/>
        <v>6</v>
      </c>
      <c r="H624" s="1">
        <f t="shared" si="45"/>
        <v>3</v>
      </c>
      <c r="I624" s="1" t="s">
        <v>83</v>
      </c>
      <c r="J624" s="1" t="s">
        <v>3208</v>
      </c>
      <c r="K624" s="1" t="s">
        <v>3209</v>
      </c>
      <c r="L624" s="1" t="s">
        <v>51</v>
      </c>
      <c r="M624" s="1" t="s">
        <v>29</v>
      </c>
      <c r="N624" s="1" t="s">
        <v>156</v>
      </c>
      <c r="O624" s="1" t="s">
        <v>157</v>
      </c>
      <c r="P624" s="1">
        <v>1852</v>
      </c>
      <c r="Q624" s="1" t="s">
        <v>43</v>
      </c>
      <c r="R624" s="1" t="s">
        <v>3210</v>
      </c>
      <c r="S624" s="1" t="s">
        <v>34</v>
      </c>
      <c r="T624" s="1" t="s">
        <v>174</v>
      </c>
      <c r="U624" s="1" t="s">
        <v>3211</v>
      </c>
      <c r="V624" s="3">
        <v>105.52</v>
      </c>
      <c r="W624" s="1" t="str">
        <f t="shared" si="49"/>
        <v>Fast Delivery</v>
      </c>
    </row>
    <row r="625" spans="1:23" x14ac:dyDescent="0.25">
      <c r="A625" s="1">
        <v>3983</v>
      </c>
      <c r="B625" s="2" t="s">
        <v>3212</v>
      </c>
      <c r="C625" s="2">
        <v>42923</v>
      </c>
      <c r="D625" s="2">
        <v>42925</v>
      </c>
      <c r="E625" s="1">
        <f t="shared" si="46"/>
        <v>2017</v>
      </c>
      <c r="F625" s="2" t="str">
        <f t="shared" si="47"/>
        <v>Jul</v>
      </c>
      <c r="G625" s="1">
        <f t="shared" si="48"/>
        <v>7</v>
      </c>
      <c r="H625" s="1">
        <f t="shared" si="45"/>
        <v>2</v>
      </c>
      <c r="I625" s="1" t="s">
        <v>83</v>
      </c>
      <c r="J625" s="1" t="s">
        <v>3213</v>
      </c>
      <c r="K625" s="1" t="s">
        <v>3214</v>
      </c>
      <c r="L625" s="1" t="s">
        <v>28</v>
      </c>
      <c r="M625" s="1" t="s">
        <v>29</v>
      </c>
      <c r="N625" s="1" t="s">
        <v>132</v>
      </c>
      <c r="O625" s="1" t="s">
        <v>106</v>
      </c>
      <c r="P625" s="1">
        <v>90045</v>
      </c>
      <c r="Q625" s="1" t="s">
        <v>107</v>
      </c>
      <c r="R625" s="1" t="s">
        <v>3215</v>
      </c>
      <c r="S625" s="1" t="s">
        <v>45</v>
      </c>
      <c r="T625" s="1" t="s">
        <v>89</v>
      </c>
      <c r="U625" s="1" t="s">
        <v>3216</v>
      </c>
      <c r="V625" s="3">
        <v>287.96800000000002</v>
      </c>
      <c r="W625" s="1" t="str">
        <f t="shared" si="49"/>
        <v>Fast Delivery</v>
      </c>
    </row>
    <row r="626" spans="1:23" x14ac:dyDescent="0.25">
      <c r="A626" s="1">
        <v>8737</v>
      </c>
      <c r="B626" s="2" t="s">
        <v>3217</v>
      </c>
      <c r="C626" s="2">
        <v>42982</v>
      </c>
      <c r="D626" s="2">
        <v>42987</v>
      </c>
      <c r="E626" s="1">
        <f t="shared" si="46"/>
        <v>2017</v>
      </c>
      <c r="F626" s="2" t="str">
        <f t="shared" si="47"/>
        <v>Sep</v>
      </c>
      <c r="G626" s="1">
        <f t="shared" si="48"/>
        <v>9</v>
      </c>
      <c r="H626" s="1">
        <f t="shared" si="45"/>
        <v>5</v>
      </c>
      <c r="I626" s="1" t="s">
        <v>25</v>
      </c>
      <c r="J626" s="1" t="s">
        <v>3218</v>
      </c>
      <c r="K626" s="1" t="s">
        <v>3219</v>
      </c>
      <c r="L626" s="1" t="s">
        <v>51</v>
      </c>
      <c r="M626" s="1" t="s">
        <v>29</v>
      </c>
      <c r="N626" s="1" t="s">
        <v>3220</v>
      </c>
      <c r="O626" s="1" t="s">
        <v>517</v>
      </c>
      <c r="P626" s="1">
        <v>55125</v>
      </c>
      <c r="Q626" s="1" t="s">
        <v>32</v>
      </c>
      <c r="R626" s="1" t="s">
        <v>3221</v>
      </c>
      <c r="S626" s="1" t="s">
        <v>34</v>
      </c>
      <c r="T626" s="1" t="s">
        <v>270</v>
      </c>
      <c r="U626" s="1" t="s">
        <v>3222</v>
      </c>
      <c r="V626" s="3">
        <v>535.41</v>
      </c>
      <c r="W626" s="1" t="str">
        <f t="shared" si="49"/>
        <v>Slow Delivery</v>
      </c>
    </row>
    <row r="627" spans="1:23" x14ac:dyDescent="0.25">
      <c r="A627" s="1">
        <v>3617</v>
      </c>
      <c r="B627" s="2" t="s">
        <v>3223</v>
      </c>
      <c r="C627" s="2">
        <v>42983</v>
      </c>
      <c r="D627" s="2">
        <v>42987</v>
      </c>
      <c r="E627" s="1">
        <f t="shared" si="46"/>
        <v>2017</v>
      </c>
      <c r="F627" s="2" t="str">
        <f t="shared" si="47"/>
        <v>Sep</v>
      </c>
      <c r="G627" s="1">
        <f t="shared" si="48"/>
        <v>9</v>
      </c>
      <c r="H627" s="1">
        <f t="shared" si="45"/>
        <v>4</v>
      </c>
      <c r="I627" s="1" t="s">
        <v>25</v>
      </c>
      <c r="J627" s="1" t="s">
        <v>3224</v>
      </c>
      <c r="K627" s="1" t="s">
        <v>3225</v>
      </c>
      <c r="L627" s="1" t="s">
        <v>28</v>
      </c>
      <c r="M627" s="1" t="s">
        <v>29</v>
      </c>
      <c r="N627" s="1" t="s">
        <v>410</v>
      </c>
      <c r="O627" s="1" t="s">
        <v>411</v>
      </c>
      <c r="P627" s="1">
        <v>19120</v>
      </c>
      <c r="Q627" s="1" t="s">
        <v>43</v>
      </c>
      <c r="R627" s="1" t="s">
        <v>3226</v>
      </c>
      <c r="S627" s="1" t="s">
        <v>34</v>
      </c>
      <c r="T627" s="1" t="s">
        <v>109</v>
      </c>
      <c r="U627" s="1" t="s">
        <v>3227</v>
      </c>
      <c r="V627" s="3">
        <v>9.5549999999999997</v>
      </c>
      <c r="W627" s="1" t="str">
        <f t="shared" si="49"/>
        <v>Slow Delivery</v>
      </c>
    </row>
    <row r="628" spans="1:23" x14ac:dyDescent="0.25">
      <c r="A628" s="1">
        <v>7591</v>
      </c>
      <c r="B628" s="2" t="s">
        <v>3228</v>
      </c>
      <c r="C628" s="2">
        <v>42983</v>
      </c>
      <c r="D628" s="2">
        <v>42987</v>
      </c>
      <c r="E628" s="1">
        <f t="shared" si="46"/>
        <v>2017</v>
      </c>
      <c r="F628" s="2" t="str">
        <f t="shared" si="47"/>
        <v>Sep</v>
      </c>
      <c r="G628" s="1">
        <f t="shared" si="48"/>
        <v>9</v>
      </c>
      <c r="H628" s="1">
        <f t="shared" si="45"/>
        <v>4</v>
      </c>
      <c r="I628" s="1" t="s">
        <v>25</v>
      </c>
      <c r="J628" s="1" t="s">
        <v>3229</v>
      </c>
      <c r="K628" s="1" t="s">
        <v>3230</v>
      </c>
      <c r="L628" s="1" t="s">
        <v>28</v>
      </c>
      <c r="M628" s="1" t="s">
        <v>29</v>
      </c>
      <c r="N628" s="1" t="s">
        <v>410</v>
      </c>
      <c r="O628" s="1" t="s">
        <v>411</v>
      </c>
      <c r="P628" s="1">
        <v>19134</v>
      </c>
      <c r="Q628" s="1" t="s">
        <v>43</v>
      </c>
      <c r="R628" s="1" t="s">
        <v>3231</v>
      </c>
      <c r="S628" s="1" t="s">
        <v>45</v>
      </c>
      <c r="T628" s="1" t="s">
        <v>46</v>
      </c>
      <c r="U628" s="1" t="s">
        <v>3232</v>
      </c>
      <c r="V628" s="3">
        <v>58.247999999999998</v>
      </c>
      <c r="W628" s="1" t="str">
        <f t="shared" si="49"/>
        <v>Slow Delivery</v>
      </c>
    </row>
    <row r="629" spans="1:23" x14ac:dyDescent="0.25">
      <c r="A629" s="1">
        <v>4751</v>
      </c>
      <c r="B629" s="2" t="s">
        <v>3233</v>
      </c>
      <c r="C629" s="2">
        <v>43015</v>
      </c>
      <c r="D629" s="2">
        <v>43017</v>
      </c>
      <c r="E629" s="1">
        <f t="shared" si="46"/>
        <v>2017</v>
      </c>
      <c r="F629" s="2" t="str">
        <f t="shared" si="47"/>
        <v>Oct</v>
      </c>
      <c r="G629" s="1">
        <f t="shared" si="48"/>
        <v>10</v>
      </c>
      <c r="H629" s="1">
        <f t="shared" si="45"/>
        <v>2</v>
      </c>
      <c r="I629" s="1" t="s">
        <v>38</v>
      </c>
      <c r="J629" s="1" t="s">
        <v>3234</v>
      </c>
      <c r="K629" s="1" t="s">
        <v>3235</v>
      </c>
      <c r="L629" s="1" t="s">
        <v>51</v>
      </c>
      <c r="M629" s="1" t="s">
        <v>29</v>
      </c>
      <c r="N629" s="1" t="s">
        <v>2004</v>
      </c>
      <c r="O629" s="1" t="s">
        <v>424</v>
      </c>
      <c r="P629" s="1">
        <v>99207</v>
      </c>
      <c r="Q629" s="1" t="s">
        <v>107</v>
      </c>
      <c r="R629" s="1" t="s">
        <v>3236</v>
      </c>
      <c r="S629" s="1" t="s">
        <v>64</v>
      </c>
      <c r="T629" s="1" t="s">
        <v>733</v>
      </c>
      <c r="U629" s="1" t="s">
        <v>3237</v>
      </c>
      <c r="V629" s="3">
        <v>837.6</v>
      </c>
      <c r="W629" s="1" t="str">
        <f t="shared" si="49"/>
        <v>Fast Delivery</v>
      </c>
    </row>
    <row r="630" spans="1:23" x14ac:dyDescent="0.25">
      <c r="A630" s="1">
        <v>7046</v>
      </c>
      <c r="B630" s="2" t="s">
        <v>3238</v>
      </c>
      <c r="C630" s="2">
        <v>43042</v>
      </c>
      <c r="D630" s="2">
        <v>43048</v>
      </c>
      <c r="E630" s="1">
        <f t="shared" si="46"/>
        <v>2017</v>
      </c>
      <c r="F630" s="2" t="str">
        <f t="shared" si="47"/>
        <v>Nov</v>
      </c>
      <c r="G630" s="1">
        <f t="shared" si="48"/>
        <v>11</v>
      </c>
      <c r="H630" s="1">
        <f t="shared" si="45"/>
        <v>6</v>
      </c>
      <c r="I630" s="1" t="s">
        <v>25</v>
      </c>
      <c r="J630" s="1" t="s">
        <v>3239</v>
      </c>
      <c r="K630" s="1" t="s">
        <v>3240</v>
      </c>
      <c r="L630" s="1" t="s">
        <v>51</v>
      </c>
      <c r="M630" s="1" t="s">
        <v>29</v>
      </c>
      <c r="N630" s="1" t="s">
        <v>750</v>
      </c>
      <c r="O630" s="1" t="s">
        <v>31</v>
      </c>
      <c r="P630" s="1">
        <v>75217</v>
      </c>
      <c r="Q630" s="1" t="s">
        <v>32</v>
      </c>
      <c r="R630" s="1" t="s">
        <v>3021</v>
      </c>
      <c r="S630" s="1" t="s">
        <v>34</v>
      </c>
      <c r="T630" s="1" t="s">
        <v>174</v>
      </c>
      <c r="U630" s="1" t="s">
        <v>3022</v>
      </c>
      <c r="V630" s="3">
        <v>9.2479999999999993</v>
      </c>
      <c r="W630" s="1" t="str">
        <f t="shared" si="49"/>
        <v>Slow Delivery</v>
      </c>
    </row>
    <row r="631" spans="1:23" x14ac:dyDescent="0.25">
      <c r="A631" s="1">
        <v>6729</v>
      </c>
      <c r="B631" s="2" t="s">
        <v>3241</v>
      </c>
      <c r="C631" s="2">
        <v>43043</v>
      </c>
      <c r="D631" s="2">
        <v>43048</v>
      </c>
      <c r="E631" s="1">
        <f t="shared" si="46"/>
        <v>2017</v>
      </c>
      <c r="F631" s="2" t="str">
        <f t="shared" si="47"/>
        <v>Nov</v>
      </c>
      <c r="G631" s="1">
        <f t="shared" si="48"/>
        <v>11</v>
      </c>
      <c r="H631" s="1">
        <f t="shared" si="45"/>
        <v>5</v>
      </c>
      <c r="I631" s="1" t="s">
        <v>25</v>
      </c>
      <c r="J631" s="1" t="s">
        <v>3242</v>
      </c>
      <c r="K631" s="1" t="s">
        <v>3243</v>
      </c>
      <c r="L631" s="1" t="s">
        <v>51</v>
      </c>
      <c r="M631" s="1" t="s">
        <v>29</v>
      </c>
      <c r="N631" s="1" t="s">
        <v>236</v>
      </c>
      <c r="O631" s="1" t="s">
        <v>190</v>
      </c>
      <c r="P631" s="1">
        <v>33180</v>
      </c>
      <c r="Q631" s="1" t="s">
        <v>54</v>
      </c>
      <c r="R631" s="1" t="s">
        <v>3244</v>
      </c>
      <c r="S631" s="1" t="s">
        <v>45</v>
      </c>
      <c r="T631" s="1" t="s">
        <v>46</v>
      </c>
      <c r="U631" s="1" t="s">
        <v>3245</v>
      </c>
      <c r="V631" s="3">
        <v>50.496000000000002</v>
      </c>
      <c r="W631" s="1" t="str">
        <f t="shared" si="49"/>
        <v>Slow Delivery</v>
      </c>
    </row>
    <row r="632" spans="1:23" x14ac:dyDescent="0.25">
      <c r="A632" s="1">
        <v>4971</v>
      </c>
      <c r="B632" s="2" t="s">
        <v>3246</v>
      </c>
      <c r="C632" s="2">
        <v>43045</v>
      </c>
      <c r="D632" s="2">
        <v>43048</v>
      </c>
      <c r="E632" s="1">
        <f t="shared" si="46"/>
        <v>2017</v>
      </c>
      <c r="F632" s="2" t="str">
        <f t="shared" si="47"/>
        <v>Nov</v>
      </c>
      <c r="G632" s="1">
        <f t="shared" si="48"/>
        <v>11</v>
      </c>
      <c r="H632" s="1">
        <f t="shared" si="45"/>
        <v>3</v>
      </c>
      <c r="I632" s="1" t="s">
        <v>38</v>
      </c>
      <c r="J632" s="1" t="s">
        <v>3247</v>
      </c>
      <c r="K632" s="1" t="s">
        <v>3248</v>
      </c>
      <c r="L632" s="1" t="s">
        <v>51</v>
      </c>
      <c r="M632" s="1" t="s">
        <v>29</v>
      </c>
      <c r="N632" s="1" t="s">
        <v>782</v>
      </c>
      <c r="O632" s="1" t="s">
        <v>190</v>
      </c>
      <c r="P632" s="1">
        <v>32216</v>
      </c>
      <c r="Q632" s="1" t="s">
        <v>54</v>
      </c>
      <c r="R632" s="1" t="s">
        <v>2537</v>
      </c>
      <c r="S632" s="1" t="s">
        <v>45</v>
      </c>
      <c r="T632" s="1" t="s">
        <v>89</v>
      </c>
      <c r="U632" s="1" t="s">
        <v>2538</v>
      </c>
      <c r="V632" s="3">
        <v>207.98400000000001</v>
      </c>
      <c r="W632" s="1" t="str">
        <f t="shared" si="49"/>
        <v>Fast Delivery</v>
      </c>
    </row>
    <row r="633" spans="1:23" x14ac:dyDescent="0.25">
      <c r="A633" s="1">
        <v>6160</v>
      </c>
      <c r="B633" s="2" t="s">
        <v>3249</v>
      </c>
      <c r="C633" s="2">
        <v>43072</v>
      </c>
      <c r="D633" s="2">
        <v>43078</v>
      </c>
      <c r="E633" s="1">
        <f t="shared" si="46"/>
        <v>2017</v>
      </c>
      <c r="F633" s="2" t="str">
        <f t="shared" si="47"/>
        <v>Dec</v>
      </c>
      <c r="G633" s="1">
        <f t="shared" si="48"/>
        <v>12</v>
      </c>
      <c r="H633" s="1">
        <f t="shared" si="45"/>
        <v>6</v>
      </c>
      <c r="I633" s="1" t="s">
        <v>25</v>
      </c>
      <c r="J633" s="1" t="s">
        <v>3250</v>
      </c>
      <c r="K633" s="1" t="s">
        <v>3251</v>
      </c>
      <c r="L633" s="1" t="s">
        <v>28</v>
      </c>
      <c r="M633" s="1" t="s">
        <v>29</v>
      </c>
      <c r="N633" s="1" t="s">
        <v>132</v>
      </c>
      <c r="O633" s="1" t="s">
        <v>106</v>
      </c>
      <c r="P633" s="1">
        <v>90049</v>
      </c>
      <c r="Q633" s="1" t="s">
        <v>107</v>
      </c>
      <c r="R633" s="1" t="s">
        <v>3252</v>
      </c>
      <c r="S633" s="1" t="s">
        <v>34</v>
      </c>
      <c r="T633" s="1" t="s">
        <v>270</v>
      </c>
      <c r="U633" s="1" t="s">
        <v>3253</v>
      </c>
      <c r="V633" s="3">
        <v>772.68</v>
      </c>
      <c r="W633" s="1" t="str">
        <f t="shared" si="49"/>
        <v>Slow Delivery</v>
      </c>
    </row>
    <row r="634" spans="1:23" x14ac:dyDescent="0.25">
      <c r="A634" s="1">
        <v>148</v>
      </c>
      <c r="B634" s="2" t="s">
        <v>3254</v>
      </c>
      <c r="C634" s="2">
        <v>43074</v>
      </c>
      <c r="D634" s="2">
        <v>43078</v>
      </c>
      <c r="E634" s="1">
        <f t="shared" si="46"/>
        <v>2017</v>
      </c>
      <c r="F634" s="2" t="str">
        <f t="shared" si="47"/>
        <v>Dec</v>
      </c>
      <c r="G634" s="1">
        <f t="shared" si="48"/>
        <v>12</v>
      </c>
      <c r="H634" s="1">
        <f t="shared" si="45"/>
        <v>4</v>
      </c>
      <c r="I634" s="1" t="s">
        <v>25</v>
      </c>
      <c r="J634" s="1" t="s">
        <v>3255</v>
      </c>
      <c r="K634" s="1" t="s">
        <v>3256</v>
      </c>
      <c r="L634" s="1" t="s">
        <v>51</v>
      </c>
      <c r="M634" s="1" t="s">
        <v>29</v>
      </c>
      <c r="N634" s="1" t="s">
        <v>2254</v>
      </c>
      <c r="O634" s="1" t="s">
        <v>101</v>
      </c>
      <c r="P634" s="1">
        <v>53132</v>
      </c>
      <c r="Q634" s="1" t="s">
        <v>32</v>
      </c>
      <c r="R634" s="1" t="s">
        <v>3257</v>
      </c>
      <c r="S634" s="1" t="s">
        <v>64</v>
      </c>
      <c r="T634" s="1" t="s">
        <v>159</v>
      </c>
      <c r="U634" s="1" t="s">
        <v>3258</v>
      </c>
      <c r="V634" s="3">
        <v>384.45</v>
      </c>
      <c r="W634" s="1" t="str">
        <f t="shared" si="49"/>
        <v>Slow Delivery</v>
      </c>
    </row>
    <row r="635" spans="1:23" x14ac:dyDescent="0.25">
      <c r="A635" s="1">
        <v>8807</v>
      </c>
      <c r="B635" s="2" t="s">
        <v>3259</v>
      </c>
      <c r="C635" s="2">
        <v>42990</v>
      </c>
      <c r="D635" s="2">
        <v>42994</v>
      </c>
      <c r="E635" s="1">
        <f t="shared" si="46"/>
        <v>2017</v>
      </c>
      <c r="F635" s="2" t="str">
        <f t="shared" si="47"/>
        <v>Sep</v>
      </c>
      <c r="G635" s="1">
        <f t="shared" si="48"/>
        <v>9</v>
      </c>
      <c r="H635" s="1">
        <f t="shared" si="45"/>
        <v>4</v>
      </c>
      <c r="I635" s="1" t="s">
        <v>25</v>
      </c>
      <c r="J635" s="1" t="s">
        <v>3260</v>
      </c>
      <c r="K635" s="1" t="s">
        <v>3261</v>
      </c>
      <c r="L635" s="1" t="s">
        <v>51</v>
      </c>
      <c r="M635" s="1" t="s">
        <v>29</v>
      </c>
      <c r="N635" s="1" t="s">
        <v>3262</v>
      </c>
      <c r="O635" s="1" t="s">
        <v>115</v>
      </c>
      <c r="P635" s="1">
        <v>13501</v>
      </c>
      <c r="Q635" s="1" t="s">
        <v>43</v>
      </c>
      <c r="R635" s="1" t="s">
        <v>3263</v>
      </c>
      <c r="S635" s="1" t="s">
        <v>45</v>
      </c>
      <c r="T635" s="1" t="s">
        <v>46</v>
      </c>
      <c r="U635" s="1" t="s">
        <v>3264</v>
      </c>
      <c r="V635" s="3">
        <v>40.479999999999997</v>
      </c>
      <c r="W635" s="1" t="str">
        <f t="shared" si="49"/>
        <v>Slow Delivery</v>
      </c>
    </row>
    <row r="636" spans="1:23" x14ac:dyDescent="0.25">
      <c r="A636" s="1">
        <v>8783</v>
      </c>
      <c r="B636" s="2" t="s">
        <v>3265</v>
      </c>
      <c r="C636" s="2">
        <v>42993</v>
      </c>
      <c r="D636" s="2">
        <v>42998</v>
      </c>
      <c r="E636" s="1">
        <f t="shared" si="46"/>
        <v>2017</v>
      </c>
      <c r="F636" s="2" t="str">
        <f t="shared" si="47"/>
        <v>Sep</v>
      </c>
      <c r="G636" s="1">
        <f t="shared" si="48"/>
        <v>9</v>
      </c>
      <c r="H636" s="1">
        <f t="shared" si="45"/>
        <v>5</v>
      </c>
      <c r="I636" s="1" t="s">
        <v>25</v>
      </c>
      <c r="J636" s="1" t="s">
        <v>3266</v>
      </c>
      <c r="K636" s="1" t="s">
        <v>3267</v>
      </c>
      <c r="L636" s="1" t="s">
        <v>51</v>
      </c>
      <c r="M636" s="1" t="s">
        <v>29</v>
      </c>
      <c r="N636" s="1" t="s">
        <v>3268</v>
      </c>
      <c r="O636" s="1" t="s">
        <v>249</v>
      </c>
      <c r="P636" s="1">
        <v>83301</v>
      </c>
      <c r="Q636" s="1" t="s">
        <v>107</v>
      </c>
      <c r="R636" s="1" t="s">
        <v>3269</v>
      </c>
      <c r="S636" s="1" t="s">
        <v>34</v>
      </c>
      <c r="T636" s="1" t="s">
        <v>109</v>
      </c>
      <c r="U636" s="1" t="s">
        <v>3270</v>
      </c>
      <c r="V636" s="3">
        <v>20.416</v>
      </c>
      <c r="W636" s="1" t="str">
        <f t="shared" si="49"/>
        <v>Slow Delivery</v>
      </c>
    </row>
    <row r="637" spans="1:23" x14ac:dyDescent="0.25">
      <c r="A637" s="1">
        <v>2607</v>
      </c>
      <c r="B637" s="2" t="s">
        <v>3271</v>
      </c>
      <c r="C637" s="2">
        <v>42798</v>
      </c>
      <c r="D637" s="2">
        <v>42804</v>
      </c>
      <c r="E637" s="1">
        <f t="shared" si="46"/>
        <v>2017</v>
      </c>
      <c r="F637" s="2" t="str">
        <f t="shared" si="47"/>
        <v>Mar</v>
      </c>
      <c r="G637" s="1">
        <f t="shared" si="48"/>
        <v>3</v>
      </c>
      <c r="H637" s="1">
        <f t="shared" si="45"/>
        <v>6</v>
      </c>
      <c r="I637" s="1" t="s">
        <v>25</v>
      </c>
      <c r="J637" s="1" t="s">
        <v>3272</v>
      </c>
      <c r="K637" s="1" t="s">
        <v>3273</v>
      </c>
      <c r="L637" s="1" t="s">
        <v>131</v>
      </c>
      <c r="M637" s="1" t="s">
        <v>29</v>
      </c>
      <c r="N637" s="1" t="s">
        <v>478</v>
      </c>
      <c r="O637" s="1" t="s">
        <v>106</v>
      </c>
      <c r="P637" s="1">
        <v>92024</v>
      </c>
      <c r="Q637" s="1" t="s">
        <v>107</v>
      </c>
      <c r="R637" s="1" t="s">
        <v>3274</v>
      </c>
      <c r="S637" s="1" t="s">
        <v>34</v>
      </c>
      <c r="T637" s="1" t="s">
        <v>35</v>
      </c>
      <c r="U637" s="1" t="s">
        <v>3275</v>
      </c>
      <c r="V637" s="3">
        <v>16.989999999999998</v>
      </c>
      <c r="W637" s="1" t="str">
        <f t="shared" si="49"/>
        <v>Slow Delivery</v>
      </c>
    </row>
    <row r="638" spans="1:23" x14ac:dyDescent="0.25">
      <c r="A638" s="1">
        <v>3005</v>
      </c>
      <c r="B638" s="2" t="s">
        <v>3276</v>
      </c>
      <c r="C638" s="2">
        <v>42986</v>
      </c>
      <c r="D638" s="2">
        <v>42988</v>
      </c>
      <c r="E638" s="1">
        <f t="shared" si="46"/>
        <v>2017</v>
      </c>
      <c r="F638" s="2" t="str">
        <f t="shared" si="47"/>
        <v>Sep</v>
      </c>
      <c r="G638" s="1">
        <f t="shared" si="48"/>
        <v>9</v>
      </c>
      <c r="H638" s="1">
        <f t="shared" si="45"/>
        <v>2</v>
      </c>
      <c r="I638" s="1" t="s">
        <v>38</v>
      </c>
      <c r="J638" s="1" t="s">
        <v>3277</v>
      </c>
      <c r="K638" s="1" t="s">
        <v>3278</v>
      </c>
      <c r="L638" s="1" t="s">
        <v>131</v>
      </c>
      <c r="M638" s="1" t="s">
        <v>29</v>
      </c>
      <c r="N638" s="1" t="s">
        <v>114</v>
      </c>
      <c r="O638" s="1" t="s">
        <v>115</v>
      </c>
      <c r="P638" s="1">
        <v>10011</v>
      </c>
      <c r="Q638" s="1" t="s">
        <v>43</v>
      </c>
      <c r="R638" s="1" t="s">
        <v>3279</v>
      </c>
      <c r="S638" s="1" t="s">
        <v>34</v>
      </c>
      <c r="T638" s="1" t="s">
        <v>74</v>
      </c>
      <c r="U638" s="1" t="s">
        <v>3280</v>
      </c>
      <c r="V638" s="3">
        <v>207.48</v>
      </c>
      <c r="W638" s="1" t="str">
        <f t="shared" si="49"/>
        <v>Fast Delivery</v>
      </c>
    </row>
    <row r="639" spans="1:23" x14ac:dyDescent="0.25">
      <c r="A639" s="1">
        <v>6377</v>
      </c>
      <c r="B639" s="2" t="s">
        <v>3281</v>
      </c>
      <c r="C639" s="2">
        <v>43015</v>
      </c>
      <c r="D639" s="2">
        <v>43018</v>
      </c>
      <c r="E639" s="1">
        <f t="shared" si="46"/>
        <v>2017</v>
      </c>
      <c r="F639" s="2" t="str">
        <f t="shared" si="47"/>
        <v>Oct</v>
      </c>
      <c r="G639" s="1">
        <f t="shared" si="48"/>
        <v>10</v>
      </c>
      <c r="H639" s="1">
        <f t="shared" si="45"/>
        <v>3</v>
      </c>
      <c r="I639" s="1" t="s">
        <v>38</v>
      </c>
      <c r="J639" s="1" t="s">
        <v>3282</v>
      </c>
      <c r="K639" s="1" t="s">
        <v>3283</v>
      </c>
      <c r="L639" s="1" t="s">
        <v>131</v>
      </c>
      <c r="M639" s="1" t="s">
        <v>29</v>
      </c>
      <c r="N639" s="1" t="s">
        <v>410</v>
      </c>
      <c r="O639" s="1" t="s">
        <v>411</v>
      </c>
      <c r="P639" s="1">
        <v>19143</v>
      </c>
      <c r="Q639" s="1" t="s">
        <v>43</v>
      </c>
      <c r="R639" s="1" t="s">
        <v>3284</v>
      </c>
      <c r="S639" s="1" t="s">
        <v>34</v>
      </c>
      <c r="T639" s="1" t="s">
        <v>56</v>
      </c>
      <c r="U639" s="1" t="s">
        <v>3285</v>
      </c>
      <c r="V639" s="3">
        <v>4.9279999999999999</v>
      </c>
      <c r="W639" s="1" t="str">
        <f t="shared" si="49"/>
        <v>Fast Delivery</v>
      </c>
    </row>
    <row r="640" spans="1:23" x14ac:dyDescent="0.25">
      <c r="A640" s="1">
        <v>4370</v>
      </c>
      <c r="B640" s="2" t="s">
        <v>3286</v>
      </c>
      <c r="C640" s="2">
        <v>43044</v>
      </c>
      <c r="D640" s="2">
        <v>43049</v>
      </c>
      <c r="E640" s="1">
        <f t="shared" si="46"/>
        <v>2017</v>
      </c>
      <c r="F640" s="2" t="str">
        <f t="shared" si="47"/>
        <v>Nov</v>
      </c>
      <c r="G640" s="1">
        <f t="shared" si="48"/>
        <v>11</v>
      </c>
      <c r="H640" s="1">
        <f t="shared" si="45"/>
        <v>5</v>
      </c>
      <c r="I640" s="1" t="s">
        <v>25</v>
      </c>
      <c r="J640" s="1" t="s">
        <v>3287</v>
      </c>
      <c r="K640" s="1" t="s">
        <v>3288</v>
      </c>
      <c r="L640" s="1" t="s">
        <v>131</v>
      </c>
      <c r="M640" s="1" t="s">
        <v>29</v>
      </c>
      <c r="N640" s="1" t="s">
        <v>1664</v>
      </c>
      <c r="O640" s="1" t="s">
        <v>2094</v>
      </c>
      <c r="P640" s="1">
        <v>46226</v>
      </c>
      <c r="Q640" s="1" t="s">
        <v>32</v>
      </c>
      <c r="R640" s="1" t="s">
        <v>3289</v>
      </c>
      <c r="S640" s="1" t="s">
        <v>34</v>
      </c>
      <c r="T640" s="1" t="s">
        <v>109</v>
      </c>
      <c r="U640" s="1" t="s">
        <v>3290</v>
      </c>
      <c r="V640" s="3">
        <v>104.9</v>
      </c>
      <c r="W640" s="1" t="str">
        <f t="shared" si="49"/>
        <v>Slow Delivery</v>
      </c>
    </row>
    <row r="641" spans="1:23" x14ac:dyDescent="0.25">
      <c r="A641" s="1">
        <v>129</v>
      </c>
      <c r="B641" s="2" t="s">
        <v>3291</v>
      </c>
      <c r="C641" s="2">
        <v>43045</v>
      </c>
      <c r="D641" s="2">
        <v>43049</v>
      </c>
      <c r="E641" s="1">
        <f t="shared" si="46"/>
        <v>2017</v>
      </c>
      <c r="F641" s="2" t="str">
        <f t="shared" si="47"/>
        <v>Nov</v>
      </c>
      <c r="G641" s="1">
        <f t="shared" si="48"/>
        <v>11</v>
      </c>
      <c r="H641" s="1">
        <f t="shared" si="45"/>
        <v>4</v>
      </c>
      <c r="I641" s="1" t="s">
        <v>83</v>
      </c>
      <c r="J641" s="1" t="s">
        <v>3292</v>
      </c>
      <c r="K641" s="1" t="s">
        <v>3293</v>
      </c>
      <c r="L641" s="1" t="s">
        <v>131</v>
      </c>
      <c r="M641" s="1" t="s">
        <v>29</v>
      </c>
      <c r="N641" s="1" t="s">
        <v>132</v>
      </c>
      <c r="O641" s="1" t="s">
        <v>106</v>
      </c>
      <c r="P641" s="1">
        <v>90004</v>
      </c>
      <c r="Q641" s="1" t="s">
        <v>107</v>
      </c>
      <c r="R641" s="1" t="s">
        <v>88</v>
      </c>
      <c r="S641" s="1" t="s">
        <v>45</v>
      </c>
      <c r="T641" s="1" t="s">
        <v>89</v>
      </c>
      <c r="U641" s="1" t="s">
        <v>3294</v>
      </c>
      <c r="V641" s="3">
        <v>81.424000000000007</v>
      </c>
      <c r="W641" s="1" t="str">
        <f t="shared" si="49"/>
        <v>Slow Delivery</v>
      </c>
    </row>
    <row r="642" spans="1:23" x14ac:dyDescent="0.25">
      <c r="A642" s="1">
        <v>4597</v>
      </c>
      <c r="B642" s="2" t="s">
        <v>3295</v>
      </c>
      <c r="C642" s="2">
        <v>43074</v>
      </c>
      <c r="D642" s="2">
        <v>43079</v>
      </c>
      <c r="E642" s="1">
        <f t="shared" si="46"/>
        <v>2017</v>
      </c>
      <c r="F642" s="2" t="str">
        <f t="shared" si="47"/>
        <v>Dec</v>
      </c>
      <c r="G642" s="1">
        <f t="shared" si="48"/>
        <v>12</v>
      </c>
      <c r="H642" s="1">
        <f t="shared" ref="H642:H705" si="50">D642-C642</f>
        <v>5</v>
      </c>
      <c r="I642" s="1" t="s">
        <v>83</v>
      </c>
      <c r="J642" s="1" t="s">
        <v>3296</v>
      </c>
      <c r="K642" s="1" t="s">
        <v>3297</v>
      </c>
      <c r="L642" s="1" t="s">
        <v>131</v>
      </c>
      <c r="M642" s="1" t="s">
        <v>29</v>
      </c>
      <c r="N642" s="1" t="s">
        <v>424</v>
      </c>
      <c r="O642" s="1" t="s">
        <v>3298</v>
      </c>
      <c r="P642" s="1">
        <v>20016</v>
      </c>
      <c r="Q642" s="1" t="s">
        <v>43</v>
      </c>
      <c r="R642" s="1" t="s">
        <v>1582</v>
      </c>
      <c r="S642" s="1" t="s">
        <v>34</v>
      </c>
      <c r="T642" s="1" t="s">
        <v>35</v>
      </c>
      <c r="U642" s="1" t="s">
        <v>1583</v>
      </c>
      <c r="V642" s="3">
        <v>33.92</v>
      </c>
      <c r="W642" s="1" t="str">
        <f t="shared" si="49"/>
        <v>Slow Delivery</v>
      </c>
    </row>
    <row r="643" spans="1:23" x14ac:dyDescent="0.25">
      <c r="A643" s="1">
        <v>2557</v>
      </c>
      <c r="B643" s="2" t="s">
        <v>3299</v>
      </c>
      <c r="C643" s="2">
        <v>43016</v>
      </c>
      <c r="D643" s="2">
        <v>43022</v>
      </c>
      <c r="E643" s="1">
        <f t="shared" ref="E643:E706" si="51">YEAR(C643)</f>
        <v>2017</v>
      </c>
      <c r="F643" s="2" t="str">
        <f t="shared" ref="F643:F706" si="52">TEXT(C643,"mmm")</f>
        <v>Oct</v>
      </c>
      <c r="G643" s="1">
        <f t="shared" ref="G643:G706" si="53">MONTH(C643)</f>
        <v>10</v>
      </c>
      <c r="H643" s="1">
        <f t="shared" si="50"/>
        <v>6</v>
      </c>
      <c r="I643" s="1" t="s">
        <v>25</v>
      </c>
      <c r="J643" s="1" t="s">
        <v>3300</v>
      </c>
      <c r="K643" s="1" t="s">
        <v>3301</v>
      </c>
      <c r="L643" s="1" t="s">
        <v>51</v>
      </c>
      <c r="M643" s="1" t="s">
        <v>29</v>
      </c>
      <c r="N643" s="1" t="s">
        <v>150</v>
      </c>
      <c r="O643" s="1" t="s">
        <v>31</v>
      </c>
      <c r="P643" s="1">
        <v>77070</v>
      </c>
      <c r="Q643" s="1" t="s">
        <v>32</v>
      </c>
      <c r="R643" s="1" t="s">
        <v>3302</v>
      </c>
      <c r="S643" s="1" t="s">
        <v>45</v>
      </c>
      <c r="T643" s="1" t="s">
        <v>46</v>
      </c>
      <c r="U643" s="1" t="s">
        <v>3303</v>
      </c>
      <c r="V643" s="3">
        <v>51.712000000000003</v>
      </c>
      <c r="W643" s="1" t="str">
        <f t="shared" ref="W643:W706" si="54">IF(H643&lt;=3,"Fast Delivery","Slow Delivery")</f>
        <v>Slow Delivery</v>
      </c>
    </row>
    <row r="644" spans="1:23" x14ac:dyDescent="0.25">
      <c r="A644" s="1">
        <v>5767</v>
      </c>
      <c r="B644" s="2" t="s">
        <v>3304</v>
      </c>
      <c r="C644" s="2">
        <v>43016</v>
      </c>
      <c r="D644" s="2">
        <v>43023</v>
      </c>
      <c r="E644" s="1">
        <f t="shared" si="51"/>
        <v>2017</v>
      </c>
      <c r="F644" s="2" t="str">
        <f t="shared" si="52"/>
        <v>Oct</v>
      </c>
      <c r="G644" s="1">
        <f t="shared" si="53"/>
        <v>10</v>
      </c>
      <c r="H644" s="1">
        <f t="shared" si="50"/>
        <v>7</v>
      </c>
      <c r="I644" s="1" t="s">
        <v>25</v>
      </c>
      <c r="J644" s="1" t="s">
        <v>3305</v>
      </c>
      <c r="K644" s="1" t="s">
        <v>3306</v>
      </c>
      <c r="L644" s="1" t="s">
        <v>131</v>
      </c>
      <c r="M644" s="1" t="s">
        <v>29</v>
      </c>
      <c r="N644" s="1" t="s">
        <v>938</v>
      </c>
      <c r="O644" s="1" t="s">
        <v>31</v>
      </c>
      <c r="P644" s="1">
        <v>78207</v>
      </c>
      <c r="Q644" s="1" t="s">
        <v>32</v>
      </c>
      <c r="R644" s="1" t="s">
        <v>3307</v>
      </c>
      <c r="S644" s="1" t="s">
        <v>34</v>
      </c>
      <c r="T644" s="1" t="s">
        <v>56</v>
      </c>
      <c r="U644" s="1" t="s">
        <v>3308</v>
      </c>
      <c r="V644" s="3">
        <v>60.143999999999998</v>
      </c>
      <c r="W644" s="1" t="str">
        <f t="shared" si="54"/>
        <v>Slow Delivery</v>
      </c>
    </row>
    <row r="645" spans="1:23" x14ac:dyDescent="0.25">
      <c r="A645" s="1">
        <v>1828</v>
      </c>
      <c r="B645" s="2" t="s">
        <v>3309</v>
      </c>
      <c r="C645" s="2">
        <v>42774</v>
      </c>
      <c r="D645" s="2">
        <v>42777</v>
      </c>
      <c r="E645" s="1">
        <f t="shared" si="51"/>
        <v>2017</v>
      </c>
      <c r="F645" s="2" t="str">
        <f t="shared" si="52"/>
        <v>Feb</v>
      </c>
      <c r="G645" s="1">
        <f t="shared" si="53"/>
        <v>2</v>
      </c>
      <c r="H645" s="1">
        <f t="shared" si="50"/>
        <v>3</v>
      </c>
      <c r="I645" s="1" t="s">
        <v>83</v>
      </c>
      <c r="J645" s="1" t="s">
        <v>3310</v>
      </c>
      <c r="K645" s="1" t="s">
        <v>3311</v>
      </c>
      <c r="L645" s="1" t="s">
        <v>131</v>
      </c>
      <c r="M645" s="1" t="s">
        <v>29</v>
      </c>
      <c r="N645" s="1" t="s">
        <v>1875</v>
      </c>
      <c r="O645" s="1" t="s">
        <v>320</v>
      </c>
      <c r="P645" s="1">
        <v>27604</v>
      </c>
      <c r="Q645" s="1" t="s">
        <v>54</v>
      </c>
      <c r="R645" s="1" t="s">
        <v>3312</v>
      </c>
      <c r="S645" s="1" t="s">
        <v>64</v>
      </c>
      <c r="T645" s="1" t="s">
        <v>159</v>
      </c>
      <c r="U645" s="1" t="s">
        <v>3313</v>
      </c>
      <c r="V645" s="3">
        <v>1127.9760000000001</v>
      </c>
      <c r="W645" s="1" t="str">
        <f t="shared" si="54"/>
        <v>Fast Delivery</v>
      </c>
    </row>
    <row r="646" spans="1:23" x14ac:dyDescent="0.25">
      <c r="A646" s="1">
        <v>919</v>
      </c>
      <c r="B646" s="2" t="s">
        <v>3314</v>
      </c>
      <c r="C646" s="2">
        <v>42799</v>
      </c>
      <c r="D646" s="2">
        <v>42805</v>
      </c>
      <c r="E646" s="1">
        <f t="shared" si="51"/>
        <v>2017</v>
      </c>
      <c r="F646" s="2" t="str">
        <f t="shared" si="52"/>
        <v>Mar</v>
      </c>
      <c r="G646" s="1">
        <f t="shared" si="53"/>
        <v>3</v>
      </c>
      <c r="H646" s="1">
        <f t="shared" si="50"/>
        <v>6</v>
      </c>
      <c r="I646" s="1" t="s">
        <v>25</v>
      </c>
      <c r="J646" s="1" t="s">
        <v>3315</v>
      </c>
      <c r="K646" s="1" t="s">
        <v>3316</v>
      </c>
      <c r="L646" s="1" t="s">
        <v>51</v>
      </c>
      <c r="M646" s="1" t="s">
        <v>29</v>
      </c>
      <c r="N646" s="1" t="s">
        <v>750</v>
      </c>
      <c r="O646" s="1" t="s">
        <v>31</v>
      </c>
      <c r="P646" s="1">
        <v>75220</v>
      </c>
      <c r="Q646" s="1" t="s">
        <v>32</v>
      </c>
      <c r="R646" s="1" t="s">
        <v>800</v>
      </c>
      <c r="S646" s="1" t="s">
        <v>34</v>
      </c>
      <c r="T646" s="1" t="s">
        <v>426</v>
      </c>
      <c r="U646" s="1" t="s">
        <v>801</v>
      </c>
      <c r="V646" s="3">
        <v>149.352</v>
      </c>
      <c r="W646" s="1" t="str">
        <f t="shared" si="54"/>
        <v>Slow Delivery</v>
      </c>
    </row>
    <row r="647" spans="1:23" x14ac:dyDescent="0.25">
      <c r="A647" s="1">
        <v>6014</v>
      </c>
      <c r="B647" s="2" t="s">
        <v>3317</v>
      </c>
      <c r="C647" s="2">
        <v>42804</v>
      </c>
      <c r="D647" s="2">
        <v>42805</v>
      </c>
      <c r="E647" s="1">
        <f t="shared" si="51"/>
        <v>2017</v>
      </c>
      <c r="F647" s="2" t="str">
        <f t="shared" si="52"/>
        <v>Mar</v>
      </c>
      <c r="G647" s="1">
        <f t="shared" si="53"/>
        <v>3</v>
      </c>
      <c r="H647" s="1">
        <f t="shared" si="50"/>
        <v>1</v>
      </c>
      <c r="I647" s="1" t="s">
        <v>38</v>
      </c>
      <c r="J647" s="1" t="s">
        <v>3318</v>
      </c>
      <c r="K647" s="1" t="s">
        <v>3319</v>
      </c>
      <c r="L647" s="1" t="s">
        <v>131</v>
      </c>
      <c r="M647" s="1" t="s">
        <v>29</v>
      </c>
      <c r="N647" s="1" t="s">
        <v>132</v>
      </c>
      <c r="O647" s="1" t="s">
        <v>106</v>
      </c>
      <c r="P647" s="1">
        <v>90008</v>
      </c>
      <c r="Q647" s="1" t="s">
        <v>107</v>
      </c>
      <c r="R647" s="1" t="s">
        <v>3320</v>
      </c>
      <c r="S647" s="1" t="s">
        <v>34</v>
      </c>
      <c r="T647" s="1" t="s">
        <v>174</v>
      </c>
      <c r="U647" s="1" t="s">
        <v>3321</v>
      </c>
      <c r="V647" s="3">
        <v>14.9</v>
      </c>
      <c r="W647" s="1" t="str">
        <f t="shared" si="54"/>
        <v>Fast Delivery</v>
      </c>
    </row>
    <row r="648" spans="1:23" x14ac:dyDescent="0.25">
      <c r="A648" s="1">
        <v>9698</v>
      </c>
      <c r="B648" s="2" t="s">
        <v>3322</v>
      </c>
      <c r="C648" s="2">
        <v>42805</v>
      </c>
      <c r="D648" s="2">
        <v>42805</v>
      </c>
      <c r="E648" s="1">
        <f t="shared" si="51"/>
        <v>2017</v>
      </c>
      <c r="F648" s="2" t="str">
        <f t="shared" si="52"/>
        <v>Mar</v>
      </c>
      <c r="G648" s="1">
        <f t="shared" si="53"/>
        <v>3</v>
      </c>
      <c r="H648" s="1">
        <f t="shared" si="50"/>
        <v>0</v>
      </c>
      <c r="I648" s="1" t="s">
        <v>68</v>
      </c>
      <c r="J648" s="1" t="s">
        <v>3323</v>
      </c>
      <c r="K648" s="1" t="s">
        <v>3324</v>
      </c>
      <c r="L648" s="1" t="s">
        <v>131</v>
      </c>
      <c r="M648" s="1" t="s">
        <v>29</v>
      </c>
      <c r="N648" s="1" t="s">
        <v>410</v>
      </c>
      <c r="O648" s="1" t="s">
        <v>411</v>
      </c>
      <c r="P648" s="1">
        <v>19140</v>
      </c>
      <c r="Q648" s="1" t="s">
        <v>43</v>
      </c>
      <c r="R648" s="1" t="s">
        <v>3325</v>
      </c>
      <c r="S648" s="1" t="s">
        <v>45</v>
      </c>
      <c r="T648" s="1" t="s">
        <v>46</v>
      </c>
      <c r="U648" s="1" t="s">
        <v>3326</v>
      </c>
      <c r="V648" s="3">
        <v>30.335999999999999</v>
      </c>
      <c r="W648" s="1" t="str">
        <f t="shared" si="54"/>
        <v>Fast Delivery</v>
      </c>
    </row>
    <row r="649" spans="1:23" x14ac:dyDescent="0.25">
      <c r="A649" s="1">
        <v>3727</v>
      </c>
      <c r="B649" s="2" t="s">
        <v>3327</v>
      </c>
      <c r="C649" s="2">
        <v>42891</v>
      </c>
      <c r="D649" s="2">
        <v>42897</v>
      </c>
      <c r="E649" s="1">
        <f t="shared" si="51"/>
        <v>2017</v>
      </c>
      <c r="F649" s="2" t="str">
        <f t="shared" si="52"/>
        <v>Jun</v>
      </c>
      <c r="G649" s="1">
        <f t="shared" si="53"/>
        <v>6</v>
      </c>
      <c r="H649" s="1">
        <f t="shared" si="50"/>
        <v>6</v>
      </c>
      <c r="I649" s="1" t="s">
        <v>25</v>
      </c>
      <c r="J649" s="1" t="s">
        <v>3328</v>
      </c>
      <c r="K649" s="1" t="s">
        <v>3329</v>
      </c>
      <c r="L649" s="1" t="s">
        <v>28</v>
      </c>
      <c r="M649" s="1" t="s">
        <v>29</v>
      </c>
      <c r="N649" s="1" t="s">
        <v>855</v>
      </c>
      <c r="O649" s="1" t="s">
        <v>42</v>
      </c>
      <c r="P649" s="1">
        <v>19711</v>
      </c>
      <c r="Q649" s="1" t="s">
        <v>43</v>
      </c>
      <c r="R649" s="1" t="s">
        <v>1049</v>
      </c>
      <c r="S649" s="1" t="s">
        <v>34</v>
      </c>
      <c r="T649" s="1" t="s">
        <v>270</v>
      </c>
      <c r="U649" s="1" t="s">
        <v>1050</v>
      </c>
      <c r="V649" s="3">
        <v>360.38</v>
      </c>
      <c r="W649" s="1" t="str">
        <f t="shared" si="54"/>
        <v>Slow Delivery</v>
      </c>
    </row>
    <row r="650" spans="1:23" x14ac:dyDescent="0.25">
      <c r="A650" s="1">
        <v>9583</v>
      </c>
      <c r="B650" s="2" t="s">
        <v>3330</v>
      </c>
      <c r="C650" s="2">
        <v>42893</v>
      </c>
      <c r="D650" s="2">
        <v>42897</v>
      </c>
      <c r="E650" s="1">
        <f t="shared" si="51"/>
        <v>2017</v>
      </c>
      <c r="F650" s="2" t="str">
        <f t="shared" si="52"/>
        <v>Jun</v>
      </c>
      <c r="G650" s="1">
        <f t="shared" si="53"/>
        <v>6</v>
      </c>
      <c r="H650" s="1">
        <f t="shared" si="50"/>
        <v>4</v>
      </c>
      <c r="I650" s="1" t="s">
        <v>25</v>
      </c>
      <c r="J650" s="1" t="s">
        <v>3331</v>
      </c>
      <c r="K650" s="1" t="s">
        <v>3332</v>
      </c>
      <c r="L650" s="1" t="s">
        <v>131</v>
      </c>
      <c r="M650" s="1" t="s">
        <v>29</v>
      </c>
      <c r="N650" s="1" t="s">
        <v>410</v>
      </c>
      <c r="O650" s="1" t="s">
        <v>411</v>
      </c>
      <c r="P650" s="1">
        <v>19120</v>
      </c>
      <c r="Q650" s="1" t="s">
        <v>43</v>
      </c>
      <c r="R650" s="1" t="s">
        <v>3333</v>
      </c>
      <c r="S650" s="1" t="s">
        <v>34</v>
      </c>
      <c r="T650" s="1" t="s">
        <v>231</v>
      </c>
      <c r="U650" s="1" t="s">
        <v>3334</v>
      </c>
      <c r="V650" s="3">
        <v>9.6479999999999997</v>
      </c>
      <c r="W650" s="1" t="str">
        <f t="shared" si="54"/>
        <v>Slow Delivery</v>
      </c>
    </row>
    <row r="651" spans="1:23" x14ac:dyDescent="0.25">
      <c r="A651" s="1">
        <v>6583</v>
      </c>
      <c r="B651" s="2" t="s">
        <v>3335</v>
      </c>
      <c r="C651" s="2">
        <v>42954</v>
      </c>
      <c r="D651" s="2">
        <v>42958</v>
      </c>
      <c r="E651" s="1">
        <f t="shared" si="51"/>
        <v>2017</v>
      </c>
      <c r="F651" s="2" t="str">
        <f t="shared" si="52"/>
        <v>Aug</v>
      </c>
      <c r="G651" s="1">
        <f t="shared" si="53"/>
        <v>8</v>
      </c>
      <c r="H651" s="1">
        <f t="shared" si="50"/>
        <v>4</v>
      </c>
      <c r="I651" s="1" t="s">
        <v>25</v>
      </c>
      <c r="J651" s="1" t="s">
        <v>3336</v>
      </c>
      <c r="K651" s="1" t="s">
        <v>3337</v>
      </c>
      <c r="L651" s="1" t="s">
        <v>51</v>
      </c>
      <c r="M651" s="1" t="s">
        <v>29</v>
      </c>
      <c r="N651" s="1" t="s">
        <v>3338</v>
      </c>
      <c r="O651" s="1" t="s">
        <v>424</v>
      </c>
      <c r="P651" s="1">
        <v>98026</v>
      </c>
      <c r="Q651" s="1" t="s">
        <v>107</v>
      </c>
      <c r="R651" s="1" t="s">
        <v>3339</v>
      </c>
      <c r="S651" s="1" t="s">
        <v>64</v>
      </c>
      <c r="T651" s="1" t="s">
        <v>65</v>
      </c>
      <c r="U651" s="1" t="s">
        <v>3340</v>
      </c>
      <c r="V651" s="3">
        <v>179.97</v>
      </c>
      <c r="W651" s="1" t="str">
        <f t="shared" si="54"/>
        <v>Slow Delivery</v>
      </c>
    </row>
    <row r="652" spans="1:23" x14ac:dyDescent="0.25">
      <c r="A652" s="1">
        <v>5880</v>
      </c>
      <c r="B652" s="2" t="s">
        <v>3341</v>
      </c>
      <c r="C652" s="2">
        <v>42983</v>
      </c>
      <c r="D652" s="2">
        <v>42989</v>
      </c>
      <c r="E652" s="1">
        <f t="shared" si="51"/>
        <v>2017</v>
      </c>
      <c r="F652" s="2" t="str">
        <f t="shared" si="52"/>
        <v>Sep</v>
      </c>
      <c r="G652" s="1">
        <f t="shared" si="53"/>
        <v>9</v>
      </c>
      <c r="H652" s="1">
        <f t="shared" si="50"/>
        <v>6</v>
      </c>
      <c r="I652" s="1" t="s">
        <v>25</v>
      </c>
      <c r="J652" s="1" t="s">
        <v>3342</v>
      </c>
      <c r="K652" s="1" t="s">
        <v>3343</v>
      </c>
      <c r="L652" s="1" t="s">
        <v>28</v>
      </c>
      <c r="M652" s="1" t="s">
        <v>29</v>
      </c>
      <c r="N652" s="1" t="s">
        <v>114</v>
      </c>
      <c r="O652" s="1" t="s">
        <v>115</v>
      </c>
      <c r="P652" s="1">
        <v>10011</v>
      </c>
      <c r="Q652" s="1" t="s">
        <v>43</v>
      </c>
      <c r="R652" s="1" t="s">
        <v>3344</v>
      </c>
      <c r="S652" s="1" t="s">
        <v>34</v>
      </c>
      <c r="T652" s="1" t="s">
        <v>174</v>
      </c>
      <c r="U652" s="1" t="s">
        <v>3345</v>
      </c>
      <c r="V652" s="3">
        <v>192.16</v>
      </c>
      <c r="W652" s="1" t="str">
        <f t="shared" si="54"/>
        <v>Slow Delivery</v>
      </c>
    </row>
    <row r="653" spans="1:23" x14ac:dyDescent="0.25">
      <c r="A653" s="1">
        <v>992</v>
      </c>
      <c r="B653" s="2" t="s">
        <v>3346</v>
      </c>
      <c r="C653" s="2">
        <v>42987</v>
      </c>
      <c r="D653" s="2">
        <v>42989</v>
      </c>
      <c r="E653" s="1">
        <f t="shared" si="51"/>
        <v>2017</v>
      </c>
      <c r="F653" s="2" t="str">
        <f t="shared" si="52"/>
        <v>Sep</v>
      </c>
      <c r="G653" s="1">
        <f t="shared" si="53"/>
        <v>9</v>
      </c>
      <c r="H653" s="1">
        <f t="shared" si="50"/>
        <v>2</v>
      </c>
      <c r="I653" s="1" t="s">
        <v>38</v>
      </c>
      <c r="J653" s="1" t="s">
        <v>3347</v>
      </c>
      <c r="K653" s="1" t="s">
        <v>3348</v>
      </c>
      <c r="L653" s="1" t="s">
        <v>28</v>
      </c>
      <c r="M653" s="1" t="s">
        <v>29</v>
      </c>
      <c r="N653" s="1" t="s">
        <v>114</v>
      </c>
      <c r="O653" s="1" t="s">
        <v>115</v>
      </c>
      <c r="P653" s="1">
        <v>10024</v>
      </c>
      <c r="Q653" s="1" t="s">
        <v>43</v>
      </c>
      <c r="R653" s="1" t="s">
        <v>3349</v>
      </c>
      <c r="S653" s="1" t="s">
        <v>34</v>
      </c>
      <c r="T653" s="1" t="s">
        <v>109</v>
      </c>
      <c r="U653" s="1" t="s">
        <v>3350</v>
      </c>
      <c r="V653" s="3">
        <v>14.624000000000001</v>
      </c>
      <c r="W653" s="1" t="str">
        <f t="shared" si="54"/>
        <v>Fast Delivery</v>
      </c>
    </row>
    <row r="654" spans="1:23" x14ac:dyDescent="0.25">
      <c r="A654" s="1">
        <v>6507</v>
      </c>
      <c r="B654" s="2" t="s">
        <v>3351</v>
      </c>
      <c r="C654" s="2">
        <v>43017</v>
      </c>
      <c r="D654" s="2">
        <v>43019</v>
      </c>
      <c r="E654" s="1">
        <f t="shared" si="51"/>
        <v>2017</v>
      </c>
      <c r="F654" s="2" t="str">
        <f t="shared" si="52"/>
        <v>Oct</v>
      </c>
      <c r="G654" s="1">
        <f t="shared" si="53"/>
        <v>10</v>
      </c>
      <c r="H654" s="1">
        <f t="shared" si="50"/>
        <v>2</v>
      </c>
      <c r="I654" s="1" t="s">
        <v>83</v>
      </c>
      <c r="J654" s="1" t="s">
        <v>3352</v>
      </c>
      <c r="K654" s="1" t="s">
        <v>3353</v>
      </c>
      <c r="L654" s="1" t="s">
        <v>51</v>
      </c>
      <c r="M654" s="1" t="s">
        <v>29</v>
      </c>
      <c r="N654" s="1" t="s">
        <v>410</v>
      </c>
      <c r="O654" s="1" t="s">
        <v>411</v>
      </c>
      <c r="P654" s="1">
        <v>19143</v>
      </c>
      <c r="Q654" s="1" t="s">
        <v>43</v>
      </c>
      <c r="R654" s="1" t="s">
        <v>3354</v>
      </c>
      <c r="S654" s="1" t="s">
        <v>34</v>
      </c>
      <c r="T654" s="1" t="s">
        <v>174</v>
      </c>
      <c r="U654" s="1" t="s">
        <v>3355</v>
      </c>
      <c r="V654" s="3">
        <v>19.135999999999999</v>
      </c>
      <c r="W654" s="1" t="str">
        <f t="shared" si="54"/>
        <v>Fast Delivery</v>
      </c>
    </row>
    <row r="655" spans="1:23" x14ac:dyDescent="0.25">
      <c r="A655" s="1">
        <v>1</v>
      </c>
      <c r="B655" s="2" t="s">
        <v>3356</v>
      </c>
      <c r="C655" s="2">
        <v>43047</v>
      </c>
      <c r="D655" s="2">
        <v>43050</v>
      </c>
      <c r="E655" s="1">
        <f t="shared" si="51"/>
        <v>2017</v>
      </c>
      <c r="F655" s="2" t="str">
        <f t="shared" si="52"/>
        <v>Nov</v>
      </c>
      <c r="G655" s="1">
        <f t="shared" si="53"/>
        <v>11</v>
      </c>
      <c r="H655" s="1">
        <f t="shared" si="50"/>
        <v>3</v>
      </c>
      <c r="I655" s="1" t="s">
        <v>83</v>
      </c>
      <c r="J655" s="1" t="s">
        <v>3357</v>
      </c>
      <c r="K655" s="1" t="s">
        <v>3358</v>
      </c>
      <c r="L655" s="1" t="s">
        <v>28</v>
      </c>
      <c r="M655" s="1" t="s">
        <v>29</v>
      </c>
      <c r="N655" s="1" t="s">
        <v>1302</v>
      </c>
      <c r="O655" s="1" t="s">
        <v>165</v>
      </c>
      <c r="P655" s="1">
        <v>42420</v>
      </c>
      <c r="Q655" s="1" t="s">
        <v>54</v>
      </c>
      <c r="R655" s="1" t="s">
        <v>3359</v>
      </c>
      <c r="S655" s="1" t="s">
        <v>45</v>
      </c>
      <c r="T655" s="1" t="s">
        <v>413</v>
      </c>
      <c r="U655" s="1" t="s">
        <v>3360</v>
      </c>
      <c r="V655" s="3">
        <v>261.95999999999998</v>
      </c>
      <c r="W655" s="1" t="str">
        <f t="shared" si="54"/>
        <v>Fast Delivery</v>
      </c>
    </row>
    <row r="656" spans="1:23" x14ac:dyDescent="0.25">
      <c r="A656" s="1">
        <v>8614</v>
      </c>
      <c r="B656" s="2" t="s">
        <v>3361</v>
      </c>
      <c r="C656" s="2">
        <v>43048</v>
      </c>
      <c r="D656" s="2">
        <v>43053</v>
      </c>
      <c r="E656" s="1">
        <f t="shared" si="51"/>
        <v>2017</v>
      </c>
      <c r="F656" s="2" t="str">
        <f t="shared" si="52"/>
        <v>Nov</v>
      </c>
      <c r="G656" s="1">
        <f t="shared" si="53"/>
        <v>11</v>
      </c>
      <c r="H656" s="1">
        <f t="shared" si="50"/>
        <v>5</v>
      </c>
      <c r="I656" s="1" t="s">
        <v>25</v>
      </c>
      <c r="J656" s="1" t="s">
        <v>3362</v>
      </c>
      <c r="K656" s="1" t="s">
        <v>3363</v>
      </c>
      <c r="L656" s="1" t="s">
        <v>28</v>
      </c>
      <c r="M656" s="1" t="s">
        <v>29</v>
      </c>
      <c r="N656" s="1" t="s">
        <v>1775</v>
      </c>
      <c r="O656" s="1" t="s">
        <v>106</v>
      </c>
      <c r="P656" s="1">
        <v>94601</v>
      </c>
      <c r="Q656" s="1" t="s">
        <v>107</v>
      </c>
      <c r="R656" s="1" t="s">
        <v>3364</v>
      </c>
      <c r="S656" s="1" t="s">
        <v>64</v>
      </c>
      <c r="T656" s="1" t="s">
        <v>65</v>
      </c>
      <c r="U656" s="1" t="s">
        <v>3365</v>
      </c>
      <c r="V656" s="3">
        <v>479.97</v>
      </c>
      <c r="W656" s="1" t="str">
        <f t="shared" si="54"/>
        <v>Slow Delivery</v>
      </c>
    </row>
    <row r="657" spans="1:23" x14ac:dyDescent="0.25">
      <c r="A657" s="1">
        <v>2341</v>
      </c>
      <c r="B657" s="2" t="s">
        <v>3366</v>
      </c>
      <c r="C657" s="2">
        <v>43049</v>
      </c>
      <c r="D657" s="2">
        <v>43054</v>
      </c>
      <c r="E657" s="1">
        <f t="shared" si="51"/>
        <v>2017</v>
      </c>
      <c r="F657" s="2" t="str">
        <f t="shared" si="52"/>
        <v>Nov</v>
      </c>
      <c r="G657" s="1">
        <f t="shared" si="53"/>
        <v>11</v>
      </c>
      <c r="H657" s="1">
        <f t="shared" si="50"/>
        <v>5</v>
      </c>
      <c r="I657" s="1" t="s">
        <v>25</v>
      </c>
      <c r="J657" s="1" t="s">
        <v>3367</v>
      </c>
      <c r="K657" s="1" t="s">
        <v>3368</v>
      </c>
      <c r="L657" s="1" t="s">
        <v>28</v>
      </c>
      <c r="M657" s="1" t="s">
        <v>29</v>
      </c>
      <c r="N657" s="1" t="s">
        <v>3369</v>
      </c>
      <c r="O657" s="1" t="s">
        <v>62</v>
      </c>
      <c r="P657" s="1">
        <v>31088</v>
      </c>
      <c r="Q657" s="1" t="s">
        <v>54</v>
      </c>
      <c r="R657" s="1" t="s">
        <v>3370</v>
      </c>
      <c r="S657" s="1" t="s">
        <v>34</v>
      </c>
      <c r="T657" s="1" t="s">
        <v>35</v>
      </c>
      <c r="U657" s="1" t="s">
        <v>3371</v>
      </c>
      <c r="V657" s="3">
        <v>41.86</v>
      </c>
      <c r="W657" s="1" t="str">
        <f t="shared" si="54"/>
        <v>Slow Delivery</v>
      </c>
    </row>
    <row r="658" spans="1:23" x14ac:dyDescent="0.25">
      <c r="A658" s="1">
        <v>9400</v>
      </c>
      <c r="B658" s="2" t="s">
        <v>3372</v>
      </c>
      <c r="C658" s="2">
        <v>43050</v>
      </c>
      <c r="D658" s="2">
        <v>43054</v>
      </c>
      <c r="E658" s="1">
        <f t="shared" si="51"/>
        <v>2017</v>
      </c>
      <c r="F658" s="2" t="str">
        <f t="shared" si="52"/>
        <v>Nov</v>
      </c>
      <c r="G658" s="1">
        <f t="shared" si="53"/>
        <v>11</v>
      </c>
      <c r="H658" s="1">
        <f t="shared" si="50"/>
        <v>4</v>
      </c>
      <c r="I658" s="1" t="s">
        <v>25</v>
      </c>
      <c r="J658" s="1" t="s">
        <v>3373</v>
      </c>
      <c r="K658" s="1" t="s">
        <v>3374</v>
      </c>
      <c r="L658" s="1" t="s">
        <v>28</v>
      </c>
      <c r="M658" s="1" t="s">
        <v>29</v>
      </c>
      <c r="N658" s="1" t="s">
        <v>3375</v>
      </c>
      <c r="O658" s="1" t="s">
        <v>222</v>
      </c>
      <c r="P658" s="1">
        <v>60004</v>
      </c>
      <c r="Q658" s="1" t="s">
        <v>32</v>
      </c>
      <c r="R658" s="1" t="s">
        <v>3376</v>
      </c>
      <c r="S658" s="1" t="s">
        <v>34</v>
      </c>
      <c r="T658" s="1" t="s">
        <v>35</v>
      </c>
      <c r="U658" s="1" t="s">
        <v>3377</v>
      </c>
      <c r="V658" s="3">
        <v>14.112</v>
      </c>
      <c r="W658" s="1" t="str">
        <f t="shared" si="54"/>
        <v>Slow Delivery</v>
      </c>
    </row>
    <row r="659" spans="1:23" x14ac:dyDescent="0.25">
      <c r="A659" s="1">
        <v>8120</v>
      </c>
      <c r="B659" s="2" t="s">
        <v>3378</v>
      </c>
      <c r="C659" s="2">
        <v>43050</v>
      </c>
      <c r="D659" s="2">
        <v>43055</v>
      </c>
      <c r="E659" s="1">
        <f t="shared" si="51"/>
        <v>2017</v>
      </c>
      <c r="F659" s="2" t="str">
        <f t="shared" si="52"/>
        <v>Nov</v>
      </c>
      <c r="G659" s="1">
        <f t="shared" si="53"/>
        <v>11</v>
      </c>
      <c r="H659" s="1">
        <f t="shared" si="50"/>
        <v>5</v>
      </c>
      <c r="I659" s="1" t="s">
        <v>25</v>
      </c>
      <c r="J659" s="1" t="s">
        <v>3379</v>
      </c>
      <c r="K659" s="1" t="s">
        <v>3380</v>
      </c>
      <c r="L659" s="1" t="s">
        <v>28</v>
      </c>
      <c r="M659" s="1" t="s">
        <v>29</v>
      </c>
      <c r="N659" s="1" t="s">
        <v>105</v>
      </c>
      <c r="O659" s="1" t="s">
        <v>106</v>
      </c>
      <c r="P659" s="1">
        <v>94110</v>
      </c>
      <c r="Q659" s="1" t="s">
        <v>107</v>
      </c>
      <c r="R659" s="1" t="s">
        <v>3381</v>
      </c>
      <c r="S659" s="1" t="s">
        <v>45</v>
      </c>
      <c r="T659" s="1" t="s">
        <v>46</v>
      </c>
      <c r="U659" s="1" t="s">
        <v>3382</v>
      </c>
      <c r="V659" s="3">
        <v>41.96</v>
      </c>
      <c r="W659" s="1" t="str">
        <f t="shared" si="54"/>
        <v>Slow Delivery</v>
      </c>
    </row>
    <row r="660" spans="1:23" x14ac:dyDescent="0.25">
      <c r="A660" s="1">
        <v>6111</v>
      </c>
      <c r="B660" s="2" t="s">
        <v>3383</v>
      </c>
      <c r="C660" s="2">
        <v>43051</v>
      </c>
      <c r="D660" s="2">
        <v>43055</v>
      </c>
      <c r="E660" s="1">
        <f t="shared" si="51"/>
        <v>2017</v>
      </c>
      <c r="F660" s="2" t="str">
        <f t="shared" si="52"/>
        <v>Nov</v>
      </c>
      <c r="G660" s="1">
        <f t="shared" si="53"/>
        <v>11</v>
      </c>
      <c r="H660" s="1">
        <f t="shared" si="50"/>
        <v>4</v>
      </c>
      <c r="I660" s="1" t="s">
        <v>25</v>
      </c>
      <c r="J660" s="1" t="s">
        <v>3384</v>
      </c>
      <c r="K660" s="1" t="s">
        <v>3385</v>
      </c>
      <c r="L660" s="1" t="s">
        <v>28</v>
      </c>
      <c r="M660" s="1" t="s">
        <v>29</v>
      </c>
      <c r="N660" s="1" t="s">
        <v>1482</v>
      </c>
      <c r="O660" s="1" t="s">
        <v>72</v>
      </c>
      <c r="P660" s="1">
        <v>44134</v>
      </c>
      <c r="Q660" s="1" t="s">
        <v>43</v>
      </c>
      <c r="R660" s="1" t="s">
        <v>3386</v>
      </c>
      <c r="S660" s="1" t="s">
        <v>45</v>
      </c>
      <c r="T660" s="1" t="s">
        <v>89</v>
      </c>
      <c r="U660" s="1" t="s">
        <v>3387</v>
      </c>
      <c r="V660" s="3">
        <v>1474.8019999999999</v>
      </c>
      <c r="W660" s="1" t="str">
        <f t="shared" si="54"/>
        <v>Slow Delivery</v>
      </c>
    </row>
    <row r="661" spans="1:23" x14ac:dyDescent="0.25">
      <c r="A661" s="1">
        <v>6791</v>
      </c>
      <c r="B661" s="2" t="s">
        <v>3388</v>
      </c>
      <c r="C661" s="2">
        <v>43055</v>
      </c>
      <c r="D661" s="2">
        <v>43056</v>
      </c>
      <c r="E661" s="1">
        <f t="shared" si="51"/>
        <v>2017</v>
      </c>
      <c r="F661" s="2" t="str">
        <f t="shared" si="52"/>
        <v>Nov</v>
      </c>
      <c r="G661" s="1">
        <f t="shared" si="53"/>
        <v>11</v>
      </c>
      <c r="H661" s="1">
        <f t="shared" si="50"/>
        <v>1</v>
      </c>
      <c r="I661" s="1" t="s">
        <v>38</v>
      </c>
      <c r="J661" s="1" t="s">
        <v>3389</v>
      </c>
      <c r="K661" s="1" t="s">
        <v>3390</v>
      </c>
      <c r="L661" s="1" t="s">
        <v>28</v>
      </c>
      <c r="M661" s="1" t="s">
        <v>29</v>
      </c>
      <c r="N661" s="1" t="s">
        <v>2629</v>
      </c>
      <c r="O661" s="1" t="s">
        <v>106</v>
      </c>
      <c r="P661" s="1">
        <v>95661</v>
      </c>
      <c r="Q661" s="1" t="s">
        <v>107</v>
      </c>
      <c r="R661" s="1" t="s">
        <v>3391</v>
      </c>
      <c r="S661" s="1" t="s">
        <v>34</v>
      </c>
      <c r="T661" s="1" t="s">
        <v>109</v>
      </c>
      <c r="U661" s="1" t="s">
        <v>3392</v>
      </c>
      <c r="V661" s="3">
        <v>8.32</v>
      </c>
      <c r="W661" s="1" t="str">
        <f t="shared" si="54"/>
        <v>Fast Delivery</v>
      </c>
    </row>
    <row r="662" spans="1:23" x14ac:dyDescent="0.25">
      <c r="A662" s="1">
        <v>1802</v>
      </c>
      <c r="B662" s="2" t="s">
        <v>3393</v>
      </c>
      <c r="C662" s="2">
        <v>43052</v>
      </c>
      <c r="D662" s="2">
        <v>43058</v>
      </c>
      <c r="E662" s="1">
        <f t="shared" si="51"/>
        <v>2017</v>
      </c>
      <c r="F662" s="2" t="str">
        <f t="shared" si="52"/>
        <v>Nov</v>
      </c>
      <c r="G662" s="1">
        <f t="shared" si="53"/>
        <v>11</v>
      </c>
      <c r="H662" s="1">
        <f t="shared" si="50"/>
        <v>6</v>
      </c>
      <c r="I662" s="1" t="s">
        <v>25</v>
      </c>
      <c r="J662" s="1" t="s">
        <v>3394</v>
      </c>
      <c r="K662" s="1" t="s">
        <v>3395</v>
      </c>
      <c r="L662" s="1" t="s">
        <v>131</v>
      </c>
      <c r="M662" s="1" t="s">
        <v>29</v>
      </c>
      <c r="N662" s="1" t="s">
        <v>2831</v>
      </c>
      <c r="O662" s="1" t="s">
        <v>424</v>
      </c>
      <c r="P662" s="1">
        <v>98002</v>
      </c>
      <c r="Q662" s="1" t="s">
        <v>107</v>
      </c>
      <c r="R662" s="1" t="s">
        <v>1776</v>
      </c>
      <c r="S662" s="1" t="s">
        <v>45</v>
      </c>
      <c r="T662" s="1" t="s">
        <v>46</v>
      </c>
      <c r="U662" s="1" t="s">
        <v>1777</v>
      </c>
      <c r="V662" s="3">
        <v>4.18</v>
      </c>
      <c r="W662" s="1" t="str">
        <f t="shared" si="54"/>
        <v>Slow Delivery</v>
      </c>
    </row>
    <row r="663" spans="1:23" x14ac:dyDescent="0.25">
      <c r="A663" s="1">
        <v>8506</v>
      </c>
      <c r="B663" s="2" t="s">
        <v>3396</v>
      </c>
      <c r="C663" s="2">
        <v>42802</v>
      </c>
      <c r="D663" s="2">
        <v>42806</v>
      </c>
      <c r="E663" s="1">
        <f t="shared" si="51"/>
        <v>2017</v>
      </c>
      <c r="F663" s="2" t="str">
        <f t="shared" si="52"/>
        <v>Mar</v>
      </c>
      <c r="G663" s="1">
        <f t="shared" si="53"/>
        <v>3</v>
      </c>
      <c r="H663" s="1">
        <f t="shared" si="50"/>
        <v>4</v>
      </c>
      <c r="I663" s="1" t="s">
        <v>25</v>
      </c>
      <c r="J663" s="1" t="s">
        <v>3397</v>
      </c>
      <c r="K663" s="1" t="s">
        <v>3398</v>
      </c>
      <c r="L663" s="1" t="s">
        <v>131</v>
      </c>
      <c r="M663" s="1" t="s">
        <v>29</v>
      </c>
      <c r="N663" s="1" t="s">
        <v>750</v>
      </c>
      <c r="O663" s="1" t="s">
        <v>31</v>
      </c>
      <c r="P663" s="1">
        <v>75217</v>
      </c>
      <c r="Q663" s="1" t="s">
        <v>32</v>
      </c>
      <c r="R663" s="1" t="s">
        <v>1834</v>
      </c>
      <c r="S663" s="1" t="s">
        <v>34</v>
      </c>
      <c r="T663" s="1" t="s">
        <v>109</v>
      </c>
      <c r="U663" s="1" t="s">
        <v>1835</v>
      </c>
      <c r="V663" s="3">
        <v>8.8559999999999999</v>
      </c>
      <c r="W663" s="1" t="str">
        <f t="shared" si="54"/>
        <v>Slow Delivery</v>
      </c>
    </row>
    <row r="664" spans="1:23" x14ac:dyDescent="0.25">
      <c r="A664" s="1">
        <v>8332</v>
      </c>
      <c r="B664" s="2" t="s">
        <v>3399</v>
      </c>
      <c r="C664" s="2">
        <v>42803</v>
      </c>
      <c r="D664" s="2">
        <v>42806</v>
      </c>
      <c r="E664" s="1">
        <f t="shared" si="51"/>
        <v>2017</v>
      </c>
      <c r="F664" s="2" t="str">
        <f t="shared" si="52"/>
        <v>Mar</v>
      </c>
      <c r="G664" s="1">
        <f t="shared" si="53"/>
        <v>3</v>
      </c>
      <c r="H664" s="1">
        <f t="shared" si="50"/>
        <v>3</v>
      </c>
      <c r="I664" s="1" t="s">
        <v>38</v>
      </c>
      <c r="J664" s="1" t="s">
        <v>3400</v>
      </c>
      <c r="K664" s="1" t="s">
        <v>3401</v>
      </c>
      <c r="L664" s="1" t="s">
        <v>28</v>
      </c>
      <c r="M664" s="1" t="s">
        <v>29</v>
      </c>
      <c r="N664" s="1" t="s">
        <v>3402</v>
      </c>
      <c r="O664" s="1" t="s">
        <v>157</v>
      </c>
      <c r="P664" s="1">
        <v>1810</v>
      </c>
      <c r="Q664" s="1" t="s">
        <v>43</v>
      </c>
      <c r="R664" s="1" t="s">
        <v>3403</v>
      </c>
      <c r="S664" s="1" t="s">
        <v>34</v>
      </c>
      <c r="T664" s="1" t="s">
        <v>270</v>
      </c>
      <c r="U664" s="1" t="s">
        <v>3404</v>
      </c>
      <c r="V664" s="3">
        <v>11.21</v>
      </c>
      <c r="W664" s="1" t="str">
        <f t="shared" si="54"/>
        <v>Fast Delivery</v>
      </c>
    </row>
    <row r="665" spans="1:23" x14ac:dyDescent="0.25">
      <c r="A665" s="1">
        <v>8412</v>
      </c>
      <c r="B665" s="2" t="s">
        <v>3405</v>
      </c>
      <c r="C665" s="2">
        <v>42864</v>
      </c>
      <c r="D665" s="2">
        <v>42867</v>
      </c>
      <c r="E665" s="1">
        <f t="shared" si="51"/>
        <v>2017</v>
      </c>
      <c r="F665" s="2" t="str">
        <f t="shared" si="52"/>
        <v>May</v>
      </c>
      <c r="G665" s="1">
        <f t="shared" si="53"/>
        <v>5</v>
      </c>
      <c r="H665" s="1">
        <f t="shared" si="50"/>
        <v>3</v>
      </c>
      <c r="I665" s="1" t="s">
        <v>83</v>
      </c>
      <c r="J665" s="1" t="s">
        <v>3406</v>
      </c>
      <c r="K665" s="1" t="s">
        <v>3407</v>
      </c>
      <c r="L665" s="1" t="s">
        <v>28</v>
      </c>
      <c r="M665" s="1" t="s">
        <v>29</v>
      </c>
      <c r="N665" s="1" t="s">
        <v>1749</v>
      </c>
      <c r="O665" s="1" t="s">
        <v>53</v>
      </c>
      <c r="P665" s="1">
        <v>24153</v>
      </c>
      <c r="Q665" s="1" t="s">
        <v>54</v>
      </c>
      <c r="R665" s="1" t="s">
        <v>479</v>
      </c>
      <c r="S665" s="1" t="s">
        <v>34</v>
      </c>
      <c r="T665" s="1" t="s">
        <v>35</v>
      </c>
      <c r="U665" s="1" t="s">
        <v>480</v>
      </c>
      <c r="V665" s="3">
        <v>27.86</v>
      </c>
      <c r="W665" s="1" t="str">
        <f t="shared" si="54"/>
        <v>Fast Delivery</v>
      </c>
    </row>
    <row r="666" spans="1:23" x14ac:dyDescent="0.25">
      <c r="A666" s="1">
        <v>2839</v>
      </c>
      <c r="B666" s="2" t="s">
        <v>3408</v>
      </c>
      <c r="C666" s="2">
        <v>42895</v>
      </c>
      <c r="D666" s="2">
        <v>42898</v>
      </c>
      <c r="E666" s="1">
        <f t="shared" si="51"/>
        <v>2017</v>
      </c>
      <c r="F666" s="2" t="str">
        <f t="shared" si="52"/>
        <v>Jun</v>
      </c>
      <c r="G666" s="1">
        <f t="shared" si="53"/>
        <v>6</v>
      </c>
      <c r="H666" s="1">
        <f t="shared" si="50"/>
        <v>3</v>
      </c>
      <c r="I666" s="1" t="s">
        <v>38</v>
      </c>
      <c r="J666" s="1" t="s">
        <v>3409</v>
      </c>
      <c r="K666" s="1" t="s">
        <v>3410</v>
      </c>
      <c r="L666" s="1" t="s">
        <v>28</v>
      </c>
      <c r="M666" s="1" t="s">
        <v>29</v>
      </c>
      <c r="N666" s="1" t="s">
        <v>2288</v>
      </c>
      <c r="O666" s="1" t="s">
        <v>190</v>
      </c>
      <c r="P666" s="1">
        <v>32303</v>
      </c>
      <c r="Q666" s="1" t="s">
        <v>54</v>
      </c>
      <c r="R666" s="1" t="s">
        <v>3411</v>
      </c>
      <c r="S666" s="1" t="s">
        <v>64</v>
      </c>
      <c r="T666" s="1" t="s">
        <v>733</v>
      </c>
      <c r="U666" s="1" t="s">
        <v>3412</v>
      </c>
      <c r="V666" s="3">
        <v>695.7</v>
      </c>
      <c r="W666" s="1" t="str">
        <f t="shared" si="54"/>
        <v>Fast Delivery</v>
      </c>
    </row>
    <row r="667" spans="1:23" x14ac:dyDescent="0.25">
      <c r="A667" s="1">
        <v>7604</v>
      </c>
      <c r="B667" s="2" t="s">
        <v>3413</v>
      </c>
      <c r="C667" s="2">
        <v>42924</v>
      </c>
      <c r="D667" s="2">
        <v>42928</v>
      </c>
      <c r="E667" s="1">
        <f t="shared" si="51"/>
        <v>2017</v>
      </c>
      <c r="F667" s="2" t="str">
        <f t="shared" si="52"/>
        <v>Jul</v>
      </c>
      <c r="G667" s="1">
        <f t="shared" si="53"/>
        <v>7</v>
      </c>
      <c r="H667" s="1">
        <f t="shared" si="50"/>
        <v>4</v>
      </c>
      <c r="I667" s="1" t="s">
        <v>25</v>
      </c>
      <c r="J667" s="1" t="s">
        <v>3414</v>
      </c>
      <c r="K667" s="1" t="s">
        <v>3415</v>
      </c>
      <c r="L667" s="1" t="s">
        <v>51</v>
      </c>
      <c r="M667" s="1" t="s">
        <v>29</v>
      </c>
      <c r="N667" s="1" t="s">
        <v>1926</v>
      </c>
      <c r="O667" s="1" t="s">
        <v>1927</v>
      </c>
      <c r="P667" s="1">
        <v>2908</v>
      </c>
      <c r="Q667" s="1" t="s">
        <v>43</v>
      </c>
      <c r="R667" s="1" t="s">
        <v>3416</v>
      </c>
      <c r="S667" s="1" t="s">
        <v>34</v>
      </c>
      <c r="T667" s="1" t="s">
        <v>174</v>
      </c>
      <c r="U667" s="1" t="s">
        <v>3417</v>
      </c>
      <c r="V667" s="3">
        <v>12.96</v>
      </c>
      <c r="W667" s="1" t="str">
        <f t="shared" si="54"/>
        <v>Slow Delivery</v>
      </c>
    </row>
    <row r="668" spans="1:23" x14ac:dyDescent="0.25">
      <c r="A668" s="1">
        <v>5083</v>
      </c>
      <c r="B668" s="2" t="s">
        <v>3418</v>
      </c>
      <c r="C668" s="2">
        <v>42986</v>
      </c>
      <c r="D668" s="2">
        <v>42990</v>
      </c>
      <c r="E668" s="1">
        <f t="shared" si="51"/>
        <v>2017</v>
      </c>
      <c r="F668" s="2" t="str">
        <f t="shared" si="52"/>
        <v>Sep</v>
      </c>
      <c r="G668" s="1">
        <f t="shared" si="53"/>
        <v>9</v>
      </c>
      <c r="H668" s="1">
        <f t="shared" si="50"/>
        <v>4</v>
      </c>
      <c r="I668" s="1" t="s">
        <v>25</v>
      </c>
      <c r="J668" s="1" t="s">
        <v>3419</v>
      </c>
      <c r="K668" s="1" t="s">
        <v>3420</v>
      </c>
      <c r="L668" s="1" t="s">
        <v>28</v>
      </c>
      <c r="M668" s="1" t="s">
        <v>29</v>
      </c>
      <c r="N668" s="1" t="s">
        <v>2064</v>
      </c>
      <c r="O668" s="1" t="s">
        <v>320</v>
      </c>
      <c r="P668" s="1">
        <v>28110</v>
      </c>
      <c r="Q668" s="1" t="s">
        <v>54</v>
      </c>
      <c r="R668" s="1" t="s">
        <v>1546</v>
      </c>
      <c r="S668" s="1" t="s">
        <v>64</v>
      </c>
      <c r="T668" s="1" t="s">
        <v>65</v>
      </c>
      <c r="U668" s="1" t="s">
        <v>1547</v>
      </c>
      <c r="V668" s="3">
        <v>35.167999999999999</v>
      </c>
      <c r="W668" s="1" t="str">
        <f t="shared" si="54"/>
        <v>Slow Delivery</v>
      </c>
    </row>
    <row r="669" spans="1:23" x14ac:dyDescent="0.25">
      <c r="A669" s="1">
        <v>4975</v>
      </c>
      <c r="B669" s="2" t="s">
        <v>3421</v>
      </c>
      <c r="C669" s="2">
        <v>43046</v>
      </c>
      <c r="D669" s="2">
        <v>43051</v>
      </c>
      <c r="E669" s="1">
        <f t="shared" si="51"/>
        <v>2017</v>
      </c>
      <c r="F669" s="2" t="str">
        <f t="shared" si="52"/>
        <v>Nov</v>
      </c>
      <c r="G669" s="1">
        <f t="shared" si="53"/>
        <v>11</v>
      </c>
      <c r="H669" s="1">
        <f t="shared" si="50"/>
        <v>5</v>
      </c>
      <c r="I669" s="1" t="s">
        <v>25</v>
      </c>
      <c r="J669" s="1" t="s">
        <v>3422</v>
      </c>
      <c r="K669" s="1" t="s">
        <v>3423</v>
      </c>
      <c r="L669" s="1" t="s">
        <v>131</v>
      </c>
      <c r="M669" s="1" t="s">
        <v>29</v>
      </c>
      <c r="N669" s="1" t="s">
        <v>2640</v>
      </c>
      <c r="O669" s="1" t="s">
        <v>106</v>
      </c>
      <c r="P669" s="1">
        <v>92054</v>
      </c>
      <c r="Q669" s="1" t="s">
        <v>107</v>
      </c>
      <c r="R669" s="1" t="s">
        <v>3424</v>
      </c>
      <c r="S669" s="1" t="s">
        <v>34</v>
      </c>
      <c r="T669" s="1" t="s">
        <v>174</v>
      </c>
      <c r="U669" s="1" t="s">
        <v>3425</v>
      </c>
      <c r="V669" s="3">
        <v>12.9</v>
      </c>
      <c r="W669" s="1" t="str">
        <f t="shared" si="54"/>
        <v>Slow Delivery</v>
      </c>
    </row>
    <row r="670" spans="1:23" x14ac:dyDescent="0.25">
      <c r="A670" s="1">
        <v>9716</v>
      </c>
      <c r="B670" s="2" t="s">
        <v>3426</v>
      </c>
      <c r="C670" s="2">
        <v>43046</v>
      </c>
      <c r="D670" s="2">
        <v>43051</v>
      </c>
      <c r="E670" s="1">
        <f t="shared" si="51"/>
        <v>2017</v>
      </c>
      <c r="F670" s="2" t="str">
        <f t="shared" si="52"/>
        <v>Nov</v>
      </c>
      <c r="G670" s="1">
        <f t="shared" si="53"/>
        <v>11</v>
      </c>
      <c r="H670" s="1">
        <f t="shared" si="50"/>
        <v>5</v>
      </c>
      <c r="I670" s="1" t="s">
        <v>25</v>
      </c>
      <c r="J670" s="1" t="s">
        <v>3427</v>
      </c>
      <c r="K670" s="1" t="s">
        <v>3428</v>
      </c>
      <c r="L670" s="1" t="s">
        <v>28</v>
      </c>
      <c r="M670" s="1" t="s">
        <v>29</v>
      </c>
      <c r="N670" s="1" t="s">
        <v>105</v>
      </c>
      <c r="O670" s="1" t="s">
        <v>106</v>
      </c>
      <c r="P670" s="1">
        <v>94122</v>
      </c>
      <c r="Q670" s="1" t="s">
        <v>107</v>
      </c>
      <c r="R670" s="1" t="s">
        <v>3429</v>
      </c>
      <c r="S670" s="1" t="s">
        <v>34</v>
      </c>
      <c r="T670" s="1" t="s">
        <v>109</v>
      </c>
      <c r="U670" s="1" t="s">
        <v>3430</v>
      </c>
      <c r="V670" s="3">
        <v>57.584000000000003</v>
      </c>
      <c r="W670" s="1" t="str">
        <f t="shared" si="54"/>
        <v>Slow Delivery</v>
      </c>
    </row>
    <row r="671" spans="1:23" x14ac:dyDescent="0.25">
      <c r="A671" s="1">
        <v>895</v>
      </c>
      <c r="B671" s="2" t="s">
        <v>3431</v>
      </c>
      <c r="C671" s="2">
        <v>43049</v>
      </c>
      <c r="D671" s="2">
        <v>43051</v>
      </c>
      <c r="E671" s="1">
        <f t="shared" si="51"/>
        <v>2017</v>
      </c>
      <c r="F671" s="2" t="str">
        <f t="shared" si="52"/>
        <v>Nov</v>
      </c>
      <c r="G671" s="1">
        <f t="shared" si="53"/>
        <v>11</v>
      </c>
      <c r="H671" s="1">
        <f t="shared" si="50"/>
        <v>2</v>
      </c>
      <c r="I671" s="1" t="s">
        <v>38</v>
      </c>
      <c r="J671" s="1" t="s">
        <v>3432</v>
      </c>
      <c r="K671" s="1" t="s">
        <v>3433</v>
      </c>
      <c r="L671" s="1" t="s">
        <v>51</v>
      </c>
      <c r="M671" s="1" t="s">
        <v>29</v>
      </c>
      <c r="N671" s="1" t="s">
        <v>105</v>
      </c>
      <c r="O671" s="1" t="s">
        <v>106</v>
      </c>
      <c r="P671" s="1">
        <v>94122</v>
      </c>
      <c r="Q671" s="1" t="s">
        <v>107</v>
      </c>
      <c r="R671" s="1" t="s">
        <v>1571</v>
      </c>
      <c r="S671" s="1" t="s">
        <v>34</v>
      </c>
      <c r="T671" s="1" t="s">
        <v>270</v>
      </c>
      <c r="U671" s="1" t="s">
        <v>1572</v>
      </c>
      <c r="V671" s="3">
        <v>155.82</v>
      </c>
      <c r="W671" s="1" t="str">
        <f t="shared" si="54"/>
        <v>Fast Delivery</v>
      </c>
    </row>
    <row r="672" spans="1:23" x14ac:dyDescent="0.25">
      <c r="A672" s="1">
        <v>2934</v>
      </c>
      <c r="B672" s="2" t="s">
        <v>3434</v>
      </c>
      <c r="C672" s="2">
        <v>43075</v>
      </c>
      <c r="D672" s="2">
        <v>43081</v>
      </c>
      <c r="E672" s="1">
        <f t="shared" si="51"/>
        <v>2017</v>
      </c>
      <c r="F672" s="2" t="str">
        <f t="shared" si="52"/>
        <v>Dec</v>
      </c>
      <c r="G672" s="1">
        <f t="shared" si="53"/>
        <v>12</v>
      </c>
      <c r="H672" s="1">
        <f t="shared" si="50"/>
        <v>6</v>
      </c>
      <c r="I672" s="1" t="s">
        <v>25</v>
      </c>
      <c r="J672" s="1" t="s">
        <v>3435</v>
      </c>
      <c r="K672" s="1" t="s">
        <v>3436</v>
      </c>
      <c r="L672" s="1" t="s">
        <v>28</v>
      </c>
      <c r="M672" s="1" t="s">
        <v>29</v>
      </c>
      <c r="N672" s="1" t="s">
        <v>488</v>
      </c>
      <c r="O672" s="1" t="s">
        <v>424</v>
      </c>
      <c r="P672" s="1">
        <v>98105</v>
      </c>
      <c r="Q672" s="1" t="s">
        <v>107</v>
      </c>
      <c r="R672" s="1" t="s">
        <v>3437</v>
      </c>
      <c r="S672" s="1" t="s">
        <v>64</v>
      </c>
      <c r="T672" s="1" t="s">
        <v>159</v>
      </c>
      <c r="U672" s="1" t="s">
        <v>3438</v>
      </c>
      <c r="V672" s="3">
        <v>156.792</v>
      </c>
      <c r="W672" s="1" t="str">
        <f t="shared" si="54"/>
        <v>Slow Delivery</v>
      </c>
    </row>
    <row r="673" spans="1:23" x14ac:dyDescent="0.25">
      <c r="A673" s="1">
        <v>8569</v>
      </c>
      <c r="B673" s="2" t="s">
        <v>3439</v>
      </c>
      <c r="C673" s="2">
        <v>43075</v>
      </c>
      <c r="D673" s="2">
        <v>43081</v>
      </c>
      <c r="E673" s="1">
        <f t="shared" si="51"/>
        <v>2017</v>
      </c>
      <c r="F673" s="2" t="str">
        <f t="shared" si="52"/>
        <v>Dec</v>
      </c>
      <c r="G673" s="1">
        <f t="shared" si="53"/>
        <v>12</v>
      </c>
      <c r="H673" s="1">
        <f t="shared" si="50"/>
        <v>6</v>
      </c>
      <c r="I673" s="1" t="s">
        <v>25</v>
      </c>
      <c r="J673" s="1" t="s">
        <v>3440</v>
      </c>
      <c r="K673" s="1" t="s">
        <v>3441</v>
      </c>
      <c r="L673" s="1" t="s">
        <v>51</v>
      </c>
      <c r="M673" s="1" t="s">
        <v>29</v>
      </c>
      <c r="N673" s="1" t="s">
        <v>2516</v>
      </c>
      <c r="O673" s="1" t="s">
        <v>115</v>
      </c>
      <c r="P673" s="1">
        <v>11550</v>
      </c>
      <c r="Q673" s="1" t="s">
        <v>43</v>
      </c>
      <c r="R673" s="1" t="s">
        <v>3080</v>
      </c>
      <c r="S673" s="1" t="s">
        <v>34</v>
      </c>
      <c r="T673" s="1" t="s">
        <v>109</v>
      </c>
      <c r="U673" s="1" t="s">
        <v>3081</v>
      </c>
      <c r="V673" s="3">
        <v>968.74400000000003</v>
      </c>
      <c r="W673" s="1" t="str">
        <f t="shared" si="54"/>
        <v>Slow Delivery</v>
      </c>
    </row>
    <row r="674" spans="1:23" x14ac:dyDescent="0.25">
      <c r="A674" s="1">
        <v>54</v>
      </c>
      <c r="B674" s="2" t="s">
        <v>3442</v>
      </c>
      <c r="C674" s="2">
        <v>43080</v>
      </c>
      <c r="D674" s="2">
        <v>43086</v>
      </c>
      <c r="E674" s="1">
        <f t="shared" si="51"/>
        <v>2017</v>
      </c>
      <c r="F674" s="2" t="str">
        <f t="shared" si="52"/>
        <v>Dec</v>
      </c>
      <c r="G674" s="1">
        <f t="shared" si="53"/>
        <v>12</v>
      </c>
      <c r="H674" s="1">
        <f t="shared" si="50"/>
        <v>6</v>
      </c>
      <c r="I674" s="1" t="s">
        <v>25</v>
      </c>
      <c r="J674" s="1" t="s">
        <v>3443</v>
      </c>
      <c r="K674" s="1" t="s">
        <v>3444</v>
      </c>
      <c r="L674" s="1" t="s">
        <v>51</v>
      </c>
      <c r="M674" s="1" t="s">
        <v>29</v>
      </c>
      <c r="N674" s="1" t="s">
        <v>114</v>
      </c>
      <c r="O674" s="1" t="s">
        <v>115</v>
      </c>
      <c r="P674" s="1">
        <v>10024</v>
      </c>
      <c r="Q674" s="1" t="s">
        <v>43</v>
      </c>
      <c r="R674" s="1" t="s">
        <v>3445</v>
      </c>
      <c r="S674" s="1" t="s">
        <v>34</v>
      </c>
      <c r="T674" s="1" t="s">
        <v>231</v>
      </c>
      <c r="U674" s="1" t="s">
        <v>3446</v>
      </c>
      <c r="V674" s="3">
        <v>15.26</v>
      </c>
      <c r="W674" s="1" t="str">
        <f t="shared" si="54"/>
        <v>Slow Delivery</v>
      </c>
    </row>
    <row r="675" spans="1:23" x14ac:dyDescent="0.25">
      <c r="A675" s="1">
        <v>5251</v>
      </c>
      <c r="B675" s="2" t="s">
        <v>3447</v>
      </c>
      <c r="C675" s="2">
        <v>43081</v>
      </c>
      <c r="D675" s="2">
        <v>43087</v>
      </c>
      <c r="E675" s="1">
        <f t="shared" si="51"/>
        <v>2017</v>
      </c>
      <c r="F675" s="2" t="str">
        <f t="shared" si="52"/>
        <v>Dec</v>
      </c>
      <c r="G675" s="1">
        <f t="shared" si="53"/>
        <v>12</v>
      </c>
      <c r="H675" s="1">
        <f t="shared" si="50"/>
        <v>6</v>
      </c>
      <c r="I675" s="1" t="s">
        <v>25</v>
      </c>
      <c r="J675" s="1" t="s">
        <v>3448</v>
      </c>
      <c r="K675" s="1" t="s">
        <v>3449</v>
      </c>
      <c r="L675" s="1" t="s">
        <v>28</v>
      </c>
      <c r="M675" s="1" t="s">
        <v>29</v>
      </c>
      <c r="N675" s="1" t="s">
        <v>71</v>
      </c>
      <c r="O675" s="1" t="s">
        <v>62</v>
      </c>
      <c r="P675" s="1">
        <v>31907</v>
      </c>
      <c r="Q675" s="1" t="s">
        <v>54</v>
      </c>
      <c r="R675" s="1" t="s">
        <v>3450</v>
      </c>
      <c r="S675" s="1" t="s">
        <v>64</v>
      </c>
      <c r="T675" s="1" t="s">
        <v>65</v>
      </c>
      <c r="U675" s="1" t="s">
        <v>3451</v>
      </c>
      <c r="V675" s="3">
        <v>249.95</v>
      </c>
      <c r="W675" s="1" t="str">
        <f t="shared" si="54"/>
        <v>Slow Delivery</v>
      </c>
    </row>
    <row r="676" spans="1:23" x14ac:dyDescent="0.25">
      <c r="A676" s="1">
        <v>6378</v>
      </c>
      <c r="B676" s="2" t="s">
        <v>3452</v>
      </c>
      <c r="C676" s="2">
        <v>43084</v>
      </c>
      <c r="D676" s="2">
        <v>43091</v>
      </c>
      <c r="E676" s="1">
        <f t="shared" si="51"/>
        <v>2017</v>
      </c>
      <c r="F676" s="2" t="str">
        <f t="shared" si="52"/>
        <v>Dec</v>
      </c>
      <c r="G676" s="1">
        <f t="shared" si="53"/>
        <v>12</v>
      </c>
      <c r="H676" s="1">
        <f t="shared" si="50"/>
        <v>7</v>
      </c>
      <c r="I676" s="1" t="s">
        <v>25</v>
      </c>
      <c r="J676" s="1" t="s">
        <v>3453</v>
      </c>
      <c r="K676" s="1" t="s">
        <v>3454</v>
      </c>
      <c r="L676" s="1" t="s">
        <v>28</v>
      </c>
      <c r="M676" s="1" t="s">
        <v>29</v>
      </c>
      <c r="N676" s="1" t="s">
        <v>132</v>
      </c>
      <c r="O676" s="1" t="s">
        <v>106</v>
      </c>
      <c r="P676" s="1">
        <v>90004</v>
      </c>
      <c r="Q676" s="1" t="s">
        <v>107</v>
      </c>
      <c r="R676" s="1" t="s">
        <v>3455</v>
      </c>
      <c r="S676" s="1" t="s">
        <v>45</v>
      </c>
      <c r="T676" s="1" t="s">
        <v>46</v>
      </c>
      <c r="U676" s="1" t="s">
        <v>3456</v>
      </c>
      <c r="V676" s="3">
        <v>14.76</v>
      </c>
      <c r="W676" s="1" t="str">
        <f t="shared" si="54"/>
        <v>Slow Delivery</v>
      </c>
    </row>
    <row r="677" spans="1:23" x14ac:dyDescent="0.25">
      <c r="A677" s="1">
        <v>5912</v>
      </c>
      <c r="B677" s="2" t="s">
        <v>3457</v>
      </c>
      <c r="C677" s="2">
        <v>43086</v>
      </c>
      <c r="D677" s="2">
        <v>43091</v>
      </c>
      <c r="E677" s="1">
        <f t="shared" si="51"/>
        <v>2017</v>
      </c>
      <c r="F677" s="2" t="str">
        <f t="shared" si="52"/>
        <v>Dec</v>
      </c>
      <c r="G677" s="1">
        <f t="shared" si="53"/>
        <v>12</v>
      </c>
      <c r="H677" s="1">
        <f t="shared" si="50"/>
        <v>5</v>
      </c>
      <c r="I677" s="1" t="s">
        <v>25</v>
      </c>
      <c r="J677" s="1" t="s">
        <v>3458</v>
      </c>
      <c r="K677" s="1" t="s">
        <v>3459</v>
      </c>
      <c r="L677" s="1" t="s">
        <v>131</v>
      </c>
      <c r="M677" s="1" t="s">
        <v>29</v>
      </c>
      <c r="N677" s="1" t="s">
        <v>488</v>
      </c>
      <c r="O677" s="1" t="s">
        <v>424</v>
      </c>
      <c r="P677" s="1">
        <v>98115</v>
      </c>
      <c r="Q677" s="1" t="s">
        <v>107</v>
      </c>
      <c r="R677" s="1" t="s">
        <v>1729</v>
      </c>
      <c r="S677" s="1" t="s">
        <v>34</v>
      </c>
      <c r="T677" s="1" t="s">
        <v>270</v>
      </c>
      <c r="U677" s="1" t="s">
        <v>1730</v>
      </c>
      <c r="V677" s="3">
        <v>46.53</v>
      </c>
      <c r="W677" s="1" t="str">
        <f t="shared" si="54"/>
        <v>Slow Delivery</v>
      </c>
    </row>
    <row r="678" spans="1:23" x14ac:dyDescent="0.25">
      <c r="A678" s="1">
        <v>2121</v>
      </c>
      <c r="B678" s="2" t="s">
        <v>3460</v>
      </c>
      <c r="C678" s="2">
        <v>43107</v>
      </c>
      <c r="D678" s="2">
        <v>43113</v>
      </c>
      <c r="E678" s="1">
        <f t="shared" si="51"/>
        <v>2018</v>
      </c>
      <c r="F678" s="2" t="str">
        <f t="shared" si="52"/>
        <v>Jan</v>
      </c>
      <c r="G678" s="1">
        <f t="shared" si="53"/>
        <v>1</v>
      </c>
      <c r="H678" s="1">
        <f t="shared" si="50"/>
        <v>6</v>
      </c>
      <c r="I678" s="1" t="s">
        <v>25</v>
      </c>
      <c r="J678" s="1" t="s">
        <v>3461</v>
      </c>
      <c r="K678" s="1" t="s">
        <v>3462</v>
      </c>
      <c r="L678" s="1" t="s">
        <v>28</v>
      </c>
      <c r="M678" s="1" t="s">
        <v>29</v>
      </c>
      <c r="N678" s="1" t="s">
        <v>3463</v>
      </c>
      <c r="O678" s="1" t="s">
        <v>190</v>
      </c>
      <c r="P678" s="1">
        <v>32174</v>
      </c>
      <c r="Q678" s="1" t="s">
        <v>54</v>
      </c>
      <c r="R678" s="1" t="s">
        <v>2532</v>
      </c>
      <c r="S678" s="1" t="s">
        <v>34</v>
      </c>
      <c r="T678" s="1" t="s">
        <v>109</v>
      </c>
      <c r="U678" s="1" t="s">
        <v>2533</v>
      </c>
      <c r="V678" s="3">
        <v>2.8079999999999998</v>
      </c>
      <c r="W678" s="1" t="str">
        <f t="shared" si="54"/>
        <v>Slow Delivery</v>
      </c>
    </row>
    <row r="679" spans="1:23" x14ac:dyDescent="0.25">
      <c r="A679" s="1">
        <v>8667</v>
      </c>
      <c r="B679" s="2" t="s">
        <v>3464</v>
      </c>
      <c r="C679" s="2">
        <v>43099</v>
      </c>
      <c r="D679" s="2">
        <v>43102</v>
      </c>
      <c r="E679" s="1">
        <f t="shared" si="51"/>
        <v>2017</v>
      </c>
      <c r="F679" s="2" t="str">
        <f t="shared" si="52"/>
        <v>Dec</v>
      </c>
      <c r="G679" s="1">
        <f t="shared" si="53"/>
        <v>12</v>
      </c>
      <c r="H679" s="1">
        <f t="shared" si="50"/>
        <v>3</v>
      </c>
      <c r="I679" s="1" t="s">
        <v>38</v>
      </c>
      <c r="J679" s="1" t="s">
        <v>3465</v>
      </c>
      <c r="K679" s="1" t="s">
        <v>3466</v>
      </c>
      <c r="L679" s="1" t="s">
        <v>51</v>
      </c>
      <c r="M679" s="1" t="s">
        <v>29</v>
      </c>
      <c r="N679" s="1" t="s">
        <v>410</v>
      </c>
      <c r="O679" s="1" t="s">
        <v>411</v>
      </c>
      <c r="P679" s="1">
        <v>19140</v>
      </c>
      <c r="Q679" s="1" t="s">
        <v>43</v>
      </c>
      <c r="R679" s="1" t="s">
        <v>3467</v>
      </c>
      <c r="S679" s="1" t="s">
        <v>34</v>
      </c>
      <c r="T679" s="1" t="s">
        <v>35</v>
      </c>
      <c r="U679" s="1" t="s">
        <v>3468</v>
      </c>
      <c r="V679" s="3">
        <v>16.52</v>
      </c>
      <c r="W679" s="1" t="str">
        <f t="shared" si="54"/>
        <v>Fast Delivery</v>
      </c>
    </row>
    <row r="680" spans="1:23" x14ac:dyDescent="0.25">
      <c r="A680" s="1">
        <v>2214</v>
      </c>
      <c r="B680" s="2" t="s">
        <v>3469</v>
      </c>
      <c r="C680" s="2">
        <v>43374</v>
      </c>
      <c r="D680" s="2">
        <v>43375</v>
      </c>
      <c r="E680" s="1">
        <f t="shared" si="51"/>
        <v>2018</v>
      </c>
      <c r="F680" s="2" t="str">
        <f t="shared" si="52"/>
        <v>Oct</v>
      </c>
      <c r="G680" s="1">
        <f t="shared" si="53"/>
        <v>10</v>
      </c>
      <c r="H680" s="1">
        <f t="shared" si="50"/>
        <v>1</v>
      </c>
      <c r="I680" s="1" t="s">
        <v>38</v>
      </c>
      <c r="J680" s="1" t="s">
        <v>3470</v>
      </c>
      <c r="K680" s="1" t="s">
        <v>3471</v>
      </c>
      <c r="L680" s="1" t="s">
        <v>28</v>
      </c>
      <c r="M680" s="1" t="s">
        <v>29</v>
      </c>
      <c r="N680" s="1" t="s">
        <v>431</v>
      </c>
      <c r="O680" s="1" t="s">
        <v>106</v>
      </c>
      <c r="P680" s="1">
        <v>95123</v>
      </c>
      <c r="Q680" s="1" t="s">
        <v>107</v>
      </c>
      <c r="R680" s="1" t="s">
        <v>3472</v>
      </c>
      <c r="S680" s="1" t="s">
        <v>34</v>
      </c>
      <c r="T680" s="1" t="s">
        <v>109</v>
      </c>
      <c r="U680" s="1" t="s">
        <v>3473</v>
      </c>
      <c r="V680" s="3">
        <v>1.44</v>
      </c>
      <c r="W680" s="1" t="str">
        <f t="shared" si="54"/>
        <v>Fast Delivery</v>
      </c>
    </row>
    <row r="681" spans="1:23" x14ac:dyDescent="0.25">
      <c r="A681" s="1">
        <v>8642</v>
      </c>
      <c r="B681" s="2" t="s">
        <v>3474</v>
      </c>
      <c r="C681" s="2">
        <v>43436</v>
      </c>
      <c r="D681" s="2">
        <v>43436</v>
      </c>
      <c r="E681" s="1">
        <f t="shared" si="51"/>
        <v>2018</v>
      </c>
      <c r="F681" s="2" t="str">
        <f t="shared" si="52"/>
        <v>Dec</v>
      </c>
      <c r="G681" s="1">
        <f t="shared" si="53"/>
        <v>12</v>
      </c>
      <c r="H681" s="1">
        <f t="shared" si="50"/>
        <v>0</v>
      </c>
      <c r="I681" s="1" t="s">
        <v>68</v>
      </c>
      <c r="J681" s="1" t="s">
        <v>3475</v>
      </c>
      <c r="K681" s="1" t="s">
        <v>3476</v>
      </c>
      <c r="L681" s="1" t="s">
        <v>28</v>
      </c>
      <c r="M681" s="1" t="s">
        <v>29</v>
      </c>
      <c r="N681" s="1" t="s">
        <v>1352</v>
      </c>
      <c r="O681" s="1" t="s">
        <v>229</v>
      </c>
      <c r="P681" s="1">
        <v>85345</v>
      </c>
      <c r="Q681" s="1" t="s">
        <v>107</v>
      </c>
      <c r="R681" s="1" t="s">
        <v>1519</v>
      </c>
      <c r="S681" s="1" t="s">
        <v>34</v>
      </c>
      <c r="T681" s="1" t="s">
        <v>109</v>
      </c>
      <c r="U681" s="1" t="s">
        <v>1520</v>
      </c>
      <c r="V681" s="3">
        <v>67.86</v>
      </c>
      <c r="W681" s="1" t="str">
        <f t="shared" si="54"/>
        <v>Fast Delivery</v>
      </c>
    </row>
    <row r="682" spans="1:23" x14ac:dyDescent="0.25">
      <c r="A682" s="1">
        <v>3085</v>
      </c>
      <c r="B682" s="2" t="s">
        <v>3477</v>
      </c>
      <c r="C682" s="2">
        <v>43140</v>
      </c>
      <c r="D682" s="2">
        <v>43145</v>
      </c>
      <c r="E682" s="1">
        <f t="shared" si="51"/>
        <v>2018</v>
      </c>
      <c r="F682" s="2" t="str">
        <f t="shared" si="52"/>
        <v>Feb</v>
      </c>
      <c r="G682" s="1">
        <f t="shared" si="53"/>
        <v>2</v>
      </c>
      <c r="H682" s="1">
        <f t="shared" si="50"/>
        <v>5</v>
      </c>
      <c r="I682" s="1" t="s">
        <v>25</v>
      </c>
      <c r="J682" s="1" t="s">
        <v>3478</v>
      </c>
      <c r="K682" s="1" t="s">
        <v>3479</v>
      </c>
      <c r="L682" s="1" t="s">
        <v>28</v>
      </c>
      <c r="M682" s="1" t="s">
        <v>29</v>
      </c>
      <c r="N682" s="1" t="s">
        <v>150</v>
      </c>
      <c r="O682" s="1" t="s">
        <v>31</v>
      </c>
      <c r="P682" s="1">
        <v>77070</v>
      </c>
      <c r="Q682" s="1" t="s">
        <v>32</v>
      </c>
      <c r="R682" s="1" t="s">
        <v>3480</v>
      </c>
      <c r="S682" s="1" t="s">
        <v>34</v>
      </c>
      <c r="T682" s="1" t="s">
        <v>109</v>
      </c>
      <c r="U682" s="1" t="s">
        <v>3481</v>
      </c>
      <c r="V682" s="3">
        <v>252.78399999999999</v>
      </c>
      <c r="W682" s="1" t="str">
        <f t="shared" si="54"/>
        <v>Slow Delivery</v>
      </c>
    </row>
    <row r="683" spans="1:23" x14ac:dyDescent="0.25">
      <c r="A683" s="1">
        <v>9239</v>
      </c>
      <c r="B683" s="2" t="s">
        <v>3482</v>
      </c>
      <c r="C683" s="2">
        <v>43142</v>
      </c>
      <c r="D683" s="2">
        <v>43145</v>
      </c>
      <c r="E683" s="1">
        <f t="shared" si="51"/>
        <v>2018</v>
      </c>
      <c r="F683" s="2" t="str">
        <f t="shared" si="52"/>
        <v>Feb</v>
      </c>
      <c r="G683" s="1">
        <f t="shared" si="53"/>
        <v>2</v>
      </c>
      <c r="H683" s="1">
        <f t="shared" si="50"/>
        <v>3</v>
      </c>
      <c r="I683" s="1" t="s">
        <v>38</v>
      </c>
      <c r="J683" s="1" t="s">
        <v>3483</v>
      </c>
      <c r="K683" s="1" t="s">
        <v>3484</v>
      </c>
      <c r="L683" s="1" t="s">
        <v>28</v>
      </c>
      <c r="M683" s="1" t="s">
        <v>29</v>
      </c>
      <c r="N683" s="1" t="s">
        <v>71</v>
      </c>
      <c r="O683" s="1" t="s">
        <v>72</v>
      </c>
      <c r="P683" s="1">
        <v>43229</v>
      </c>
      <c r="Q683" s="1" t="s">
        <v>43</v>
      </c>
      <c r="R683" s="1" t="s">
        <v>3485</v>
      </c>
      <c r="S683" s="1" t="s">
        <v>45</v>
      </c>
      <c r="T683" s="1" t="s">
        <v>46</v>
      </c>
      <c r="U683" s="1" t="s">
        <v>3486</v>
      </c>
      <c r="V683" s="3">
        <v>147.56800000000001</v>
      </c>
      <c r="W683" s="1" t="str">
        <f t="shared" si="54"/>
        <v>Fast Delivery</v>
      </c>
    </row>
    <row r="684" spans="1:23" x14ac:dyDescent="0.25">
      <c r="A684" s="1">
        <v>4218</v>
      </c>
      <c r="B684" s="2" t="s">
        <v>3487</v>
      </c>
      <c r="C684" s="2">
        <v>43191</v>
      </c>
      <c r="D684" s="2">
        <v>43193</v>
      </c>
      <c r="E684" s="1">
        <f t="shared" si="51"/>
        <v>2018</v>
      </c>
      <c r="F684" s="2" t="str">
        <f t="shared" si="52"/>
        <v>Apr</v>
      </c>
      <c r="G684" s="1">
        <f t="shared" si="53"/>
        <v>4</v>
      </c>
      <c r="H684" s="1">
        <f t="shared" si="50"/>
        <v>2</v>
      </c>
      <c r="I684" s="1" t="s">
        <v>38</v>
      </c>
      <c r="J684" s="1" t="s">
        <v>3488</v>
      </c>
      <c r="K684" s="1" t="s">
        <v>3489</v>
      </c>
      <c r="L684" s="1" t="s">
        <v>51</v>
      </c>
      <c r="M684" s="1" t="s">
        <v>29</v>
      </c>
      <c r="N684" s="1" t="s">
        <v>105</v>
      </c>
      <c r="O684" s="1" t="s">
        <v>106</v>
      </c>
      <c r="P684" s="1">
        <v>94110</v>
      </c>
      <c r="Q684" s="1" t="s">
        <v>107</v>
      </c>
      <c r="R684" s="1" t="s">
        <v>3070</v>
      </c>
      <c r="S684" s="1" t="s">
        <v>45</v>
      </c>
      <c r="T684" s="1" t="s">
        <v>413</v>
      </c>
      <c r="U684" s="1" t="s">
        <v>3071</v>
      </c>
      <c r="V684" s="3">
        <v>482.66399999999999</v>
      </c>
      <c r="W684" s="1" t="str">
        <f t="shared" si="54"/>
        <v>Fast Delivery</v>
      </c>
    </row>
    <row r="685" spans="1:23" x14ac:dyDescent="0.25">
      <c r="A685" s="1">
        <v>4838</v>
      </c>
      <c r="B685" s="2" t="s">
        <v>3490</v>
      </c>
      <c r="C685" s="2">
        <v>43252</v>
      </c>
      <c r="D685" s="2">
        <v>43254</v>
      </c>
      <c r="E685" s="1">
        <f t="shared" si="51"/>
        <v>2018</v>
      </c>
      <c r="F685" s="2" t="str">
        <f t="shared" si="52"/>
        <v>Jun</v>
      </c>
      <c r="G685" s="1">
        <f t="shared" si="53"/>
        <v>6</v>
      </c>
      <c r="H685" s="1">
        <f t="shared" si="50"/>
        <v>2</v>
      </c>
      <c r="I685" s="1" t="s">
        <v>38</v>
      </c>
      <c r="J685" s="1" t="s">
        <v>3491</v>
      </c>
      <c r="K685" s="1" t="s">
        <v>3492</v>
      </c>
      <c r="L685" s="1" t="s">
        <v>28</v>
      </c>
      <c r="M685" s="1" t="s">
        <v>29</v>
      </c>
      <c r="N685" s="1" t="s">
        <v>3493</v>
      </c>
      <c r="O685" s="1" t="s">
        <v>72</v>
      </c>
      <c r="P685" s="1">
        <v>43017</v>
      </c>
      <c r="Q685" s="1" t="s">
        <v>43</v>
      </c>
      <c r="R685" s="1" t="s">
        <v>3494</v>
      </c>
      <c r="S685" s="1" t="s">
        <v>34</v>
      </c>
      <c r="T685" s="1" t="s">
        <v>109</v>
      </c>
      <c r="U685" s="1" t="s">
        <v>3495</v>
      </c>
      <c r="V685" s="3">
        <v>3.798</v>
      </c>
      <c r="W685" s="1" t="str">
        <f t="shared" si="54"/>
        <v>Fast Delivery</v>
      </c>
    </row>
    <row r="686" spans="1:23" x14ac:dyDescent="0.25">
      <c r="A686" s="1">
        <v>1254</v>
      </c>
      <c r="B686" s="2" t="s">
        <v>3496</v>
      </c>
      <c r="C686" s="2">
        <v>43169</v>
      </c>
      <c r="D686" s="2">
        <v>43173</v>
      </c>
      <c r="E686" s="1">
        <f t="shared" si="51"/>
        <v>2018</v>
      </c>
      <c r="F686" s="2" t="str">
        <f t="shared" si="52"/>
        <v>Mar</v>
      </c>
      <c r="G686" s="1">
        <f t="shared" si="53"/>
        <v>3</v>
      </c>
      <c r="H686" s="1">
        <f t="shared" si="50"/>
        <v>4</v>
      </c>
      <c r="I686" s="1" t="s">
        <v>25</v>
      </c>
      <c r="J686" s="1" t="s">
        <v>3497</v>
      </c>
      <c r="K686" s="1" t="s">
        <v>3498</v>
      </c>
      <c r="L686" s="1" t="s">
        <v>131</v>
      </c>
      <c r="M686" s="1" t="s">
        <v>29</v>
      </c>
      <c r="N686" s="1" t="s">
        <v>3499</v>
      </c>
      <c r="O686" s="1" t="s">
        <v>411</v>
      </c>
      <c r="P686" s="1">
        <v>19013</v>
      </c>
      <c r="Q686" s="1" t="s">
        <v>43</v>
      </c>
      <c r="R686" s="1" t="s">
        <v>3500</v>
      </c>
      <c r="S686" s="1" t="s">
        <v>34</v>
      </c>
      <c r="T686" s="1" t="s">
        <v>35</v>
      </c>
      <c r="U686" s="1" t="s">
        <v>3501</v>
      </c>
      <c r="V686" s="3">
        <v>5.2480000000000002</v>
      </c>
      <c r="W686" s="1" t="str">
        <f t="shared" si="54"/>
        <v>Slow Delivery</v>
      </c>
    </row>
    <row r="687" spans="1:23" x14ac:dyDescent="0.25">
      <c r="A687" s="1">
        <v>4997</v>
      </c>
      <c r="B687" s="2" t="s">
        <v>3502</v>
      </c>
      <c r="C687" s="2">
        <v>43169</v>
      </c>
      <c r="D687" s="2">
        <v>43174</v>
      </c>
      <c r="E687" s="1">
        <f t="shared" si="51"/>
        <v>2018</v>
      </c>
      <c r="F687" s="2" t="str">
        <f t="shared" si="52"/>
        <v>Mar</v>
      </c>
      <c r="G687" s="1">
        <f t="shared" si="53"/>
        <v>3</v>
      </c>
      <c r="H687" s="1">
        <f t="shared" si="50"/>
        <v>5</v>
      </c>
      <c r="I687" s="1" t="s">
        <v>25</v>
      </c>
      <c r="J687" s="1" t="s">
        <v>3503</v>
      </c>
      <c r="K687" s="1" t="s">
        <v>3504</v>
      </c>
      <c r="L687" s="1" t="s">
        <v>51</v>
      </c>
      <c r="M687" s="1" t="s">
        <v>29</v>
      </c>
      <c r="N687" s="1" t="s">
        <v>1875</v>
      </c>
      <c r="O687" s="1" t="s">
        <v>320</v>
      </c>
      <c r="P687" s="1">
        <v>27604</v>
      </c>
      <c r="Q687" s="1" t="s">
        <v>54</v>
      </c>
      <c r="R687" s="1" t="s">
        <v>3505</v>
      </c>
      <c r="S687" s="1" t="s">
        <v>34</v>
      </c>
      <c r="T687" s="1" t="s">
        <v>74</v>
      </c>
      <c r="U687" s="1" t="s">
        <v>3506</v>
      </c>
      <c r="V687" s="3">
        <v>48.783999999999999</v>
      </c>
      <c r="W687" s="1" t="str">
        <f t="shared" si="54"/>
        <v>Slow Delivery</v>
      </c>
    </row>
    <row r="688" spans="1:23" x14ac:dyDescent="0.25">
      <c r="A688" s="1">
        <v>6689</v>
      </c>
      <c r="B688" s="2" t="s">
        <v>3507</v>
      </c>
      <c r="C688" s="2">
        <v>43169</v>
      </c>
      <c r="D688" s="2">
        <v>43174</v>
      </c>
      <c r="E688" s="1">
        <f t="shared" si="51"/>
        <v>2018</v>
      </c>
      <c r="F688" s="2" t="str">
        <f t="shared" si="52"/>
        <v>Mar</v>
      </c>
      <c r="G688" s="1">
        <f t="shared" si="53"/>
        <v>3</v>
      </c>
      <c r="H688" s="1">
        <f t="shared" si="50"/>
        <v>5</v>
      </c>
      <c r="I688" s="1" t="s">
        <v>83</v>
      </c>
      <c r="J688" s="1" t="s">
        <v>3508</v>
      </c>
      <c r="K688" s="1" t="s">
        <v>3509</v>
      </c>
      <c r="L688" s="1" t="s">
        <v>51</v>
      </c>
      <c r="M688" s="1" t="s">
        <v>29</v>
      </c>
      <c r="N688" s="1" t="s">
        <v>105</v>
      </c>
      <c r="O688" s="1" t="s">
        <v>106</v>
      </c>
      <c r="P688" s="1">
        <v>94109</v>
      </c>
      <c r="Q688" s="1" t="s">
        <v>107</v>
      </c>
      <c r="R688" s="1" t="s">
        <v>3510</v>
      </c>
      <c r="S688" s="1" t="s">
        <v>64</v>
      </c>
      <c r="T688" s="1" t="s">
        <v>65</v>
      </c>
      <c r="U688" s="1" t="s">
        <v>3511</v>
      </c>
      <c r="V688" s="3">
        <v>111.96</v>
      </c>
      <c r="W688" s="1" t="str">
        <f t="shared" si="54"/>
        <v>Slow Delivery</v>
      </c>
    </row>
    <row r="689" spans="1:23" x14ac:dyDescent="0.25">
      <c r="A689" s="1">
        <v>7144</v>
      </c>
      <c r="B689" s="2" t="s">
        <v>3512</v>
      </c>
      <c r="C689" s="2">
        <v>43170</v>
      </c>
      <c r="D689" s="2">
        <v>43175</v>
      </c>
      <c r="E689" s="1">
        <f t="shared" si="51"/>
        <v>2018</v>
      </c>
      <c r="F689" s="2" t="str">
        <f t="shared" si="52"/>
        <v>Mar</v>
      </c>
      <c r="G689" s="1">
        <f t="shared" si="53"/>
        <v>3</v>
      </c>
      <c r="H689" s="1">
        <f t="shared" si="50"/>
        <v>5</v>
      </c>
      <c r="I689" s="1" t="s">
        <v>25</v>
      </c>
      <c r="J689" s="1" t="s">
        <v>3513</v>
      </c>
      <c r="K689" s="1" t="s">
        <v>3514</v>
      </c>
      <c r="L689" s="1" t="s">
        <v>131</v>
      </c>
      <c r="M689" s="1" t="s">
        <v>29</v>
      </c>
      <c r="N689" s="1" t="s">
        <v>410</v>
      </c>
      <c r="O689" s="1" t="s">
        <v>411</v>
      </c>
      <c r="P689" s="1">
        <v>19140</v>
      </c>
      <c r="Q689" s="1" t="s">
        <v>43</v>
      </c>
      <c r="R689" s="1" t="s">
        <v>2901</v>
      </c>
      <c r="S689" s="1" t="s">
        <v>64</v>
      </c>
      <c r="T689" s="1" t="s">
        <v>159</v>
      </c>
      <c r="U689" s="1" t="s">
        <v>2902</v>
      </c>
      <c r="V689" s="3">
        <v>776.85</v>
      </c>
      <c r="W689" s="1" t="str">
        <f t="shared" si="54"/>
        <v>Slow Delivery</v>
      </c>
    </row>
    <row r="690" spans="1:23" x14ac:dyDescent="0.25">
      <c r="A690" s="1">
        <v>9122</v>
      </c>
      <c r="B690" s="2" t="s">
        <v>3515</v>
      </c>
      <c r="C690" s="2">
        <v>43177</v>
      </c>
      <c r="D690" s="2">
        <v>43179</v>
      </c>
      <c r="E690" s="1">
        <f t="shared" si="51"/>
        <v>2018</v>
      </c>
      <c r="F690" s="2" t="str">
        <f t="shared" si="52"/>
        <v>Mar</v>
      </c>
      <c r="G690" s="1">
        <f t="shared" si="53"/>
        <v>3</v>
      </c>
      <c r="H690" s="1">
        <f t="shared" si="50"/>
        <v>2</v>
      </c>
      <c r="I690" s="1" t="s">
        <v>83</v>
      </c>
      <c r="J690" s="1" t="s">
        <v>3516</v>
      </c>
      <c r="K690" s="1" t="s">
        <v>3517</v>
      </c>
      <c r="L690" s="1" t="s">
        <v>51</v>
      </c>
      <c r="M690" s="1" t="s">
        <v>29</v>
      </c>
      <c r="N690" s="1" t="s">
        <v>132</v>
      </c>
      <c r="O690" s="1" t="s">
        <v>106</v>
      </c>
      <c r="P690" s="1">
        <v>90032</v>
      </c>
      <c r="Q690" s="1" t="s">
        <v>107</v>
      </c>
      <c r="R690" s="1" t="s">
        <v>3518</v>
      </c>
      <c r="S690" s="1" t="s">
        <v>34</v>
      </c>
      <c r="T690" s="1" t="s">
        <v>74</v>
      </c>
      <c r="U690" s="1" t="s">
        <v>3519</v>
      </c>
      <c r="V690" s="3">
        <v>90.86</v>
      </c>
      <c r="W690" s="1" t="str">
        <f t="shared" si="54"/>
        <v>Fast Delivery</v>
      </c>
    </row>
    <row r="691" spans="1:23" x14ac:dyDescent="0.25">
      <c r="A691" s="1">
        <v>8486</v>
      </c>
      <c r="B691" s="2" t="s">
        <v>3520</v>
      </c>
      <c r="C691" s="2">
        <v>43186</v>
      </c>
      <c r="D691" s="2">
        <v>43190</v>
      </c>
      <c r="E691" s="1">
        <f t="shared" si="51"/>
        <v>2018</v>
      </c>
      <c r="F691" s="2" t="str">
        <f t="shared" si="52"/>
        <v>Mar</v>
      </c>
      <c r="G691" s="1">
        <f t="shared" si="53"/>
        <v>3</v>
      </c>
      <c r="H691" s="1">
        <f t="shared" si="50"/>
        <v>4</v>
      </c>
      <c r="I691" s="1" t="s">
        <v>25</v>
      </c>
      <c r="J691" s="1" t="s">
        <v>3521</v>
      </c>
      <c r="K691" s="1" t="s">
        <v>3522</v>
      </c>
      <c r="L691" s="1" t="s">
        <v>131</v>
      </c>
      <c r="M691" s="1" t="s">
        <v>29</v>
      </c>
      <c r="N691" s="1" t="s">
        <v>1074</v>
      </c>
      <c r="O691" s="1" t="s">
        <v>106</v>
      </c>
      <c r="P691" s="1">
        <v>93727</v>
      </c>
      <c r="Q691" s="1" t="s">
        <v>107</v>
      </c>
      <c r="R691" s="1" t="s">
        <v>3523</v>
      </c>
      <c r="S691" s="1" t="s">
        <v>34</v>
      </c>
      <c r="T691" s="1" t="s">
        <v>174</v>
      </c>
      <c r="U691" s="1" t="s">
        <v>3524</v>
      </c>
      <c r="V691" s="3">
        <v>45.68</v>
      </c>
      <c r="W691" s="1" t="str">
        <f t="shared" si="54"/>
        <v>Slow Delivery</v>
      </c>
    </row>
    <row r="692" spans="1:23" x14ac:dyDescent="0.25">
      <c r="A692" s="1">
        <v>8577</v>
      </c>
      <c r="B692" s="2" t="s">
        <v>3525</v>
      </c>
      <c r="C692" s="2">
        <v>43284</v>
      </c>
      <c r="D692" s="2">
        <v>43285</v>
      </c>
      <c r="E692" s="1">
        <f t="shared" si="51"/>
        <v>2018</v>
      </c>
      <c r="F692" s="2" t="str">
        <f t="shared" si="52"/>
        <v>Jul</v>
      </c>
      <c r="G692" s="1">
        <f t="shared" si="53"/>
        <v>7</v>
      </c>
      <c r="H692" s="1">
        <f t="shared" si="50"/>
        <v>1</v>
      </c>
      <c r="I692" s="1" t="s">
        <v>38</v>
      </c>
      <c r="J692" s="1" t="s">
        <v>3526</v>
      </c>
      <c r="K692" s="1" t="s">
        <v>3527</v>
      </c>
      <c r="L692" s="1" t="s">
        <v>28</v>
      </c>
      <c r="M692" s="1" t="s">
        <v>29</v>
      </c>
      <c r="N692" s="1" t="s">
        <v>3528</v>
      </c>
      <c r="O692" s="1" t="s">
        <v>3529</v>
      </c>
      <c r="P692" s="1">
        <v>3301</v>
      </c>
      <c r="Q692" s="1" t="s">
        <v>43</v>
      </c>
      <c r="R692" s="1" t="s">
        <v>3530</v>
      </c>
      <c r="S692" s="1" t="s">
        <v>45</v>
      </c>
      <c r="T692" s="1" t="s">
        <v>46</v>
      </c>
      <c r="U692" s="1" t="s">
        <v>3531</v>
      </c>
      <c r="V692" s="3">
        <v>102.3</v>
      </c>
      <c r="W692" s="1" t="str">
        <f t="shared" si="54"/>
        <v>Fast Delivery</v>
      </c>
    </row>
    <row r="693" spans="1:23" x14ac:dyDescent="0.25">
      <c r="A693" s="1">
        <v>1206</v>
      </c>
      <c r="B693" s="2" t="s">
        <v>3532</v>
      </c>
      <c r="C693" s="2">
        <v>43313</v>
      </c>
      <c r="D693" s="2">
        <v>43316</v>
      </c>
      <c r="E693" s="1">
        <f t="shared" si="51"/>
        <v>2018</v>
      </c>
      <c r="F693" s="2" t="str">
        <f t="shared" si="52"/>
        <v>Aug</v>
      </c>
      <c r="G693" s="1">
        <f t="shared" si="53"/>
        <v>8</v>
      </c>
      <c r="H693" s="1">
        <f t="shared" si="50"/>
        <v>3</v>
      </c>
      <c r="I693" s="1" t="s">
        <v>38</v>
      </c>
      <c r="J693" s="1" t="s">
        <v>3533</v>
      </c>
      <c r="K693" s="1" t="s">
        <v>3534</v>
      </c>
      <c r="L693" s="1" t="s">
        <v>28</v>
      </c>
      <c r="M693" s="1" t="s">
        <v>29</v>
      </c>
      <c r="N693" s="1" t="s">
        <v>319</v>
      </c>
      <c r="O693" s="1" t="s">
        <v>320</v>
      </c>
      <c r="P693" s="1">
        <v>28205</v>
      </c>
      <c r="Q693" s="1" t="s">
        <v>54</v>
      </c>
      <c r="R693" s="1" t="s">
        <v>3535</v>
      </c>
      <c r="S693" s="1" t="s">
        <v>64</v>
      </c>
      <c r="T693" s="1" t="s">
        <v>159</v>
      </c>
      <c r="U693" s="1" t="s">
        <v>3536</v>
      </c>
      <c r="V693" s="3">
        <v>271.95999999999998</v>
      </c>
      <c r="W693" s="1" t="str">
        <f t="shared" si="54"/>
        <v>Fast Delivery</v>
      </c>
    </row>
    <row r="694" spans="1:23" x14ac:dyDescent="0.25">
      <c r="A694" s="1">
        <v>4585</v>
      </c>
      <c r="B694" s="2" t="s">
        <v>3537</v>
      </c>
      <c r="C694" s="2">
        <v>43406</v>
      </c>
      <c r="D694" s="2">
        <v>43408</v>
      </c>
      <c r="E694" s="1">
        <f t="shared" si="51"/>
        <v>2018</v>
      </c>
      <c r="F694" s="2" t="str">
        <f t="shared" si="52"/>
        <v>Nov</v>
      </c>
      <c r="G694" s="1">
        <f t="shared" si="53"/>
        <v>11</v>
      </c>
      <c r="H694" s="1">
        <f t="shared" si="50"/>
        <v>2</v>
      </c>
      <c r="I694" s="1" t="s">
        <v>83</v>
      </c>
      <c r="J694" s="1" t="s">
        <v>3538</v>
      </c>
      <c r="K694" s="1" t="s">
        <v>3539</v>
      </c>
      <c r="L694" s="1" t="s">
        <v>131</v>
      </c>
      <c r="M694" s="1" t="s">
        <v>29</v>
      </c>
      <c r="N694" s="1" t="s">
        <v>3540</v>
      </c>
      <c r="O694" s="1" t="s">
        <v>106</v>
      </c>
      <c r="P694" s="1">
        <v>94526</v>
      </c>
      <c r="Q694" s="1" t="s">
        <v>107</v>
      </c>
      <c r="R694" s="1" t="s">
        <v>2885</v>
      </c>
      <c r="S694" s="1" t="s">
        <v>34</v>
      </c>
      <c r="T694" s="1" t="s">
        <v>426</v>
      </c>
      <c r="U694" s="1" t="s">
        <v>2886</v>
      </c>
      <c r="V694" s="3">
        <v>76.58</v>
      </c>
      <c r="W694" s="1" t="str">
        <f t="shared" si="54"/>
        <v>Fast Delivery</v>
      </c>
    </row>
    <row r="695" spans="1:23" x14ac:dyDescent="0.25">
      <c r="A695" s="1">
        <v>1996</v>
      </c>
      <c r="B695" s="2" t="s">
        <v>3541</v>
      </c>
      <c r="C695" s="2">
        <v>43436</v>
      </c>
      <c r="D695" s="2">
        <v>43438</v>
      </c>
      <c r="E695" s="1">
        <f t="shared" si="51"/>
        <v>2018</v>
      </c>
      <c r="F695" s="2" t="str">
        <f t="shared" si="52"/>
        <v>Dec</v>
      </c>
      <c r="G695" s="1">
        <f t="shared" si="53"/>
        <v>12</v>
      </c>
      <c r="H695" s="1">
        <f t="shared" si="50"/>
        <v>2</v>
      </c>
      <c r="I695" s="1" t="s">
        <v>83</v>
      </c>
      <c r="J695" s="1" t="s">
        <v>3542</v>
      </c>
      <c r="K695" s="1" t="s">
        <v>3543</v>
      </c>
      <c r="L695" s="1" t="s">
        <v>28</v>
      </c>
      <c r="M695" s="1" t="s">
        <v>29</v>
      </c>
      <c r="N695" s="1" t="s">
        <v>150</v>
      </c>
      <c r="O695" s="1" t="s">
        <v>31</v>
      </c>
      <c r="P695" s="1">
        <v>77036</v>
      </c>
      <c r="Q695" s="1" t="s">
        <v>32</v>
      </c>
      <c r="R695" s="1" t="s">
        <v>3544</v>
      </c>
      <c r="S695" s="1" t="s">
        <v>34</v>
      </c>
      <c r="T695" s="1" t="s">
        <v>74</v>
      </c>
      <c r="U695" s="1" t="s">
        <v>3545</v>
      </c>
      <c r="V695" s="3">
        <v>294.62</v>
      </c>
      <c r="W695" s="1" t="str">
        <f t="shared" si="54"/>
        <v>Fast Delivery</v>
      </c>
    </row>
    <row r="696" spans="1:23" x14ac:dyDescent="0.25">
      <c r="A696" s="1">
        <v>5789</v>
      </c>
      <c r="B696" s="2" t="s">
        <v>3546</v>
      </c>
      <c r="C696" s="2">
        <v>43200</v>
      </c>
      <c r="D696" s="2">
        <v>43204</v>
      </c>
      <c r="E696" s="1">
        <f t="shared" si="51"/>
        <v>2018</v>
      </c>
      <c r="F696" s="2" t="str">
        <f t="shared" si="52"/>
        <v>Apr</v>
      </c>
      <c r="G696" s="1">
        <f t="shared" si="53"/>
        <v>4</v>
      </c>
      <c r="H696" s="1">
        <f t="shared" si="50"/>
        <v>4</v>
      </c>
      <c r="I696" s="1" t="s">
        <v>83</v>
      </c>
      <c r="J696" s="1" t="s">
        <v>3547</v>
      </c>
      <c r="K696" s="1" t="s">
        <v>3548</v>
      </c>
      <c r="L696" s="1" t="s">
        <v>51</v>
      </c>
      <c r="M696" s="1" t="s">
        <v>29</v>
      </c>
      <c r="N696" s="1" t="s">
        <v>782</v>
      </c>
      <c r="O696" s="1" t="s">
        <v>190</v>
      </c>
      <c r="P696" s="1">
        <v>32216</v>
      </c>
      <c r="Q696" s="1" t="s">
        <v>54</v>
      </c>
      <c r="R696" s="1" t="s">
        <v>3549</v>
      </c>
      <c r="S696" s="1" t="s">
        <v>45</v>
      </c>
      <c r="T696" s="1" t="s">
        <v>46</v>
      </c>
      <c r="U696" s="1" t="s">
        <v>3550</v>
      </c>
      <c r="V696" s="3">
        <v>12.32</v>
      </c>
      <c r="W696" s="1" t="str">
        <f t="shared" si="54"/>
        <v>Slow Delivery</v>
      </c>
    </row>
    <row r="697" spans="1:23" x14ac:dyDescent="0.25">
      <c r="A697" s="1">
        <v>6379</v>
      </c>
      <c r="B697" s="2" t="s">
        <v>3551</v>
      </c>
      <c r="C697" s="2">
        <v>43200</v>
      </c>
      <c r="D697" s="2">
        <v>43204</v>
      </c>
      <c r="E697" s="1">
        <f t="shared" si="51"/>
        <v>2018</v>
      </c>
      <c r="F697" s="2" t="str">
        <f t="shared" si="52"/>
        <v>Apr</v>
      </c>
      <c r="G697" s="1">
        <f t="shared" si="53"/>
        <v>4</v>
      </c>
      <c r="H697" s="1">
        <f t="shared" si="50"/>
        <v>4</v>
      </c>
      <c r="I697" s="1" t="s">
        <v>25</v>
      </c>
      <c r="J697" s="1" t="s">
        <v>3552</v>
      </c>
      <c r="K697" s="1" t="s">
        <v>3553</v>
      </c>
      <c r="L697" s="1" t="s">
        <v>131</v>
      </c>
      <c r="M697" s="1" t="s">
        <v>29</v>
      </c>
      <c r="N697" s="1" t="s">
        <v>3554</v>
      </c>
      <c r="O697" s="1" t="s">
        <v>197</v>
      </c>
      <c r="P697" s="1">
        <v>6708</v>
      </c>
      <c r="Q697" s="1" t="s">
        <v>43</v>
      </c>
      <c r="R697" s="1" t="s">
        <v>1536</v>
      </c>
      <c r="S697" s="1" t="s">
        <v>64</v>
      </c>
      <c r="T697" s="1" t="s">
        <v>65</v>
      </c>
      <c r="U697" s="1" t="s">
        <v>1537</v>
      </c>
      <c r="V697" s="3">
        <v>99.99</v>
      </c>
      <c r="W697" s="1" t="str">
        <f t="shared" si="54"/>
        <v>Slow Delivery</v>
      </c>
    </row>
    <row r="698" spans="1:23" x14ac:dyDescent="0.25">
      <c r="A698" s="1">
        <v>2663</v>
      </c>
      <c r="B698" s="2" t="s">
        <v>3555</v>
      </c>
      <c r="C698" s="2">
        <v>43204</v>
      </c>
      <c r="D698" s="2">
        <v>43205</v>
      </c>
      <c r="E698" s="1">
        <f t="shared" si="51"/>
        <v>2018</v>
      </c>
      <c r="F698" s="2" t="str">
        <f t="shared" si="52"/>
        <v>Apr</v>
      </c>
      <c r="G698" s="1">
        <f t="shared" si="53"/>
        <v>4</v>
      </c>
      <c r="H698" s="1">
        <f t="shared" si="50"/>
        <v>1</v>
      </c>
      <c r="I698" s="1" t="s">
        <v>38</v>
      </c>
      <c r="J698" s="1" t="s">
        <v>3556</v>
      </c>
      <c r="K698" s="1" t="s">
        <v>3557</v>
      </c>
      <c r="L698" s="1" t="s">
        <v>131</v>
      </c>
      <c r="M698" s="1" t="s">
        <v>29</v>
      </c>
      <c r="N698" s="1" t="s">
        <v>52</v>
      </c>
      <c r="O698" s="1" t="s">
        <v>87</v>
      </c>
      <c r="P698" s="1">
        <v>65807</v>
      </c>
      <c r="Q698" s="1" t="s">
        <v>32</v>
      </c>
      <c r="R698" s="1" t="s">
        <v>3558</v>
      </c>
      <c r="S698" s="1" t="s">
        <v>34</v>
      </c>
      <c r="T698" s="1" t="s">
        <v>109</v>
      </c>
      <c r="U698" s="1" t="s">
        <v>3559</v>
      </c>
      <c r="V698" s="3">
        <v>8.76</v>
      </c>
      <c r="W698" s="1" t="str">
        <f t="shared" si="54"/>
        <v>Fast Delivery</v>
      </c>
    </row>
    <row r="699" spans="1:23" x14ac:dyDescent="0.25">
      <c r="A699" s="1">
        <v>1867</v>
      </c>
      <c r="B699" s="2" t="s">
        <v>3560</v>
      </c>
      <c r="C699" s="2">
        <v>43205</v>
      </c>
      <c r="D699" s="2">
        <v>43208</v>
      </c>
      <c r="E699" s="1">
        <f t="shared" si="51"/>
        <v>2018</v>
      </c>
      <c r="F699" s="2" t="str">
        <f t="shared" si="52"/>
        <v>Apr</v>
      </c>
      <c r="G699" s="1">
        <f t="shared" si="53"/>
        <v>4</v>
      </c>
      <c r="H699" s="1">
        <f t="shared" si="50"/>
        <v>3</v>
      </c>
      <c r="I699" s="1" t="s">
        <v>38</v>
      </c>
      <c r="J699" s="1" t="s">
        <v>3561</v>
      </c>
      <c r="K699" s="1" t="s">
        <v>3562</v>
      </c>
      <c r="L699" s="1" t="s">
        <v>51</v>
      </c>
      <c r="M699" s="1" t="s">
        <v>29</v>
      </c>
      <c r="N699" s="1" t="s">
        <v>1302</v>
      </c>
      <c r="O699" s="1" t="s">
        <v>357</v>
      </c>
      <c r="P699" s="1">
        <v>89015</v>
      </c>
      <c r="Q699" s="1" t="s">
        <v>107</v>
      </c>
      <c r="R699" s="1" t="s">
        <v>3563</v>
      </c>
      <c r="S699" s="1" t="s">
        <v>45</v>
      </c>
      <c r="T699" s="1" t="s">
        <v>46</v>
      </c>
      <c r="U699" s="1" t="s">
        <v>3564</v>
      </c>
      <c r="V699" s="3">
        <v>196.45</v>
      </c>
      <c r="W699" s="1" t="str">
        <f t="shared" si="54"/>
        <v>Fast Delivery</v>
      </c>
    </row>
    <row r="700" spans="1:23" x14ac:dyDescent="0.25">
      <c r="A700" s="1">
        <v>8070</v>
      </c>
      <c r="B700" s="2" t="s">
        <v>3565</v>
      </c>
      <c r="C700" s="2">
        <v>43101</v>
      </c>
      <c r="D700" s="2">
        <v>43105</v>
      </c>
      <c r="E700" s="1">
        <f t="shared" si="51"/>
        <v>2018</v>
      </c>
      <c r="F700" s="2" t="str">
        <f t="shared" si="52"/>
        <v>Jan</v>
      </c>
      <c r="G700" s="1">
        <f t="shared" si="53"/>
        <v>1</v>
      </c>
      <c r="H700" s="1">
        <f t="shared" si="50"/>
        <v>4</v>
      </c>
      <c r="I700" s="1" t="s">
        <v>25</v>
      </c>
      <c r="J700" s="1" t="s">
        <v>3566</v>
      </c>
      <c r="K700" s="1" t="s">
        <v>3567</v>
      </c>
      <c r="L700" s="1" t="s">
        <v>28</v>
      </c>
      <c r="M700" s="1" t="s">
        <v>29</v>
      </c>
      <c r="N700" s="1" t="s">
        <v>459</v>
      </c>
      <c r="O700" s="1" t="s">
        <v>31</v>
      </c>
      <c r="P700" s="1">
        <v>77340</v>
      </c>
      <c r="Q700" s="1" t="s">
        <v>32</v>
      </c>
      <c r="R700" s="1" t="s">
        <v>1566</v>
      </c>
      <c r="S700" s="1" t="s">
        <v>34</v>
      </c>
      <c r="T700" s="1" t="s">
        <v>270</v>
      </c>
      <c r="U700" s="1" t="s">
        <v>1567</v>
      </c>
      <c r="V700" s="3">
        <v>454.56</v>
      </c>
      <c r="W700" s="1" t="str">
        <f t="shared" si="54"/>
        <v>Slow Delivery</v>
      </c>
    </row>
    <row r="701" spans="1:23" x14ac:dyDescent="0.25">
      <c r="A701" s="1">
        <v>4744</v>
      </c>
      <c r="B701" s="2" t="s">
        <v>3568</v>
      </c>
      <c r="C701" s="2">
        <v>43164</v>
      </c>
      <c r="D701" s="2">
        <v>43164</v>
      </c>
      <c r="E701" s="1">
        <f t="shared" si="51"/>
        <v>2018</v>
      </c>
      <c r="F701" s="2" t="str">
        <f t="shared" si="52"/>
        <v>Mar</v>
      </c>
      <c r="G701" s="1">
        <f t="shared" si="53"/>
        <v>3</v>
      </c>
      <c r="H701" s="1">
        <f t="shared" si="50"/>
        <v>0</v>
      </c>
      <c r="I701" s="1" t="s">
        <v>68</v>
      </c>
      <c r="J701" s="1" t="s">
        <v>3569</v>
      </c>
      <c r="K701" s="1" t="s">
        <v>3570</v>
      </c>
      <c r="L701" s="1" t="s">
        <v>28</v>
      </c>
      <c r="M701" s="1" t="s">
        <v>29</v>
      </c>
      <c r="N701" s="1" t="s">
        <v>1296</v>
      </c>
      <c r="O701" s="1" t="s">
        <v>517</v>
      </c>
      <c r="P701" s="1">
        <v>55901</v>
      </c>
      <c r="Q701" s="1" t="s">
        <v>32</v>
      </c>
      <c r="R701" s="1" t="s">
        <v>3571</v>
      </c>
      <c r="S701" s="1" t="s">
        <v>34</v>
      </c>
      <c r="T701" s="1" t="s">
        <v>231</v>
      </c>
      <c r="U701" s="1" t="s">
        <v>3572</v>
      </c>
      <c r="V701" s="3">
        <v>7.9</v>
      </c>
      <c r="W701" s="1" t="str">
        <f t="shared" si="54"/>
        <v>Fast Delivery</v>
      </c>
    </row>
    <row r="702" spans="1:23" x14ac:dyDescent="0.25">
      <c r="A702" s="1">
        <v>3725</v>
      </c>
      <c r="B702" s="2" t="s">
        <v>3573</v>
      </c>
      <c r="C702" s="2">
        <v>43193</v>
      </c>
      <c r="D702" s="2">
        <v>43195</v>
      </c>
      <c r="E702" s="1">
        <f t="shared" si="51"/>
        <v>2018</v>
      </c>
      <c r="F702" s="2" t="str">
        <f t="shared" si="52"/>
        <v>Apr</v>
      </c>
      <c r="G702" s="1">
        <f t="shared" si="53"/>
        <v>4</v>
      </c>
      <c r="H702" s="1">
        <f t="shared" si="50"/>
        <v>2</v>
      </c>
      <c r="I702" s="1" t="s">
        <v>38</v>
      </c>
      <c r="J702" s="1" t="s">
        <v>3574</v>
      </c>
      <c r="K702" s="1" t="s">
        <v>3575</v>
      </c>
      <c r="L702" s="1" t="s">
        <v>28</v>
      </c>
      <c r="M702" s="1" t="s">
        <v>29</v>
      </c>
      <c r="N702" s="1" t="s">
        <v>221</v>
      </c>
      <c r="O702" s="1" t="s">
        <v>222</v>
      </c>
      <c r="P702" s="1">
        <v>60653</v>
      </c>
      <c r="Q702" s="1" t="s">
        <v>32</v>
      </c>
      <c r="R702" s="1" t="s">
        <v>1253</v>
      </c>
      <c r="S702" s="1" t="s">
        <v>34</v>
      </c>
      <c r="T702" s="1" t="s">
        <v>35</v>
      </c>
      <c r="U702" s="1" t="s">
        <v>1254</v>
      </c>
      <c r="V702" s="3">
        <v>7.056</v>
      </c>
      <c r="W702" s="1" t="str">
        <f t="shared" si="54"/>
        <v>Fast Delivery</v>
      </c>
    </row>
    <row r="703" spans="1:23" x14ac:dyDescent="0.25">
      <c r="A703" s="1">
        <v>7696</v>
      </c>
      <c r="B703" s="2" t="s">
        <v>3576</v>
      </c>
      <c r="C703" s="2">
        <v>43283</v>
      </c>
      <c r="D703" s="2">
        <v>43286</v>
      </c>
      <c r="E703" s="1">
        <f t="shared" si="51"/>
        <v>2018</v>
      </c>
      <c r="F703" s="2" t="str">
        <f t="shared" si="52"/>
        <v>Jul</v>
      </c>
      <c r="G703" s="1">
        <f t="shared" si="53"/>
        <v>7</v>
      </c>
      <c r="H703" s="1">
        <f t="shared" si="50"/>
        <v>3</v>
      </c>
      <c r="I703" s="1" t="s">
        <v>38</v>
      </c>
      <c r="J703" s="1" t="s">
        <v>3577</v>
      </c>
      <c r="K703" s="1" t="s">
        <v>3578</v>
      </c>
      <c r="L703" s="1" t="s">
        <v>131</v>
      </c>
      <c r="M703" s="1" t="s">
        <v>29</v>
      </c>
      <c r="N703" s="1" t="s">
        <v>150</v>
      </c>
      <c r="O703" s="1" t="s">
        <v>31</v>
      </c>
      <c r="P703" s="1">
        <v>77036</v>
      </c>
      <c r="Q703" s="1" t="s">
        <v>32</v>
      </c>
      <c r="R703" s="1" t="s">
        <v>3579</v>
      </c>
      <c r="S703" s="1" t="s">
        <v>34</v>
      </c>
      <c r="T703" s="1" t="s">
        <v>174</v>
      </c>
      <c r="U703" s="1" t="s">
        <v>3580</v>
      </c>
      <c r="V703" s="3">
        <v>163.96</v>
      </c>
      <c r="W703" s="1" t="str">
        <f t="shared" si="54"/>
        <v>Fast Delivery</v>
      </c>
    </row>
    <row r="704" spans="1:23" x14ac:dyDescent="0.25">
      <c r="A704" s="1">
        <v>3231</v>
      </c>
      <c r="B704" s="2" t="s">
        <v>3581</v>
      </c>
      <c r="C704" s="2">
        <v>43344</v>
      </c>
      <c r="D704" s="2">
        <v>43348</v>
      </c>
      <c r="E704" s="1">
        <f t="shared" si="51"/>
        <v>2018</v>
      </c>
      <c r="F704" s="2" t="str">
        <f t="shared" si="52"/>
        <v>Sep</v>
      </c>
      <c r="G704" s="1">
        <f t="shared" si="53"/>
        <v>9</v>
      </c>
      <c r="H704" s="1">
        <f t="shared" si="50"/>
        <v>4</v>
      </c>
      <c r="I704" s="1" t="s">
        <v>83</v>
      </c>
      <c r="J704" s="1" t="s">
        <v>3582</v>
      </c>
      <c r="K704" s="1" t="s">
        <v>3583</v>
      </c>
      <c r="L704" s="1" t="s">
        <v>28</v>
      </c>
      <c r="M704" s="1" t="s">
        <v>29</v>
      </c>
      <c r="N704" s="1" t="s">
        <v>114</v>
      </c>
      <c r="O704" s="1" t="s">
        <v>115</v>
      </c>
      <c r="P704" s="1">
        <v>10009</v>
      </c>
      <c r="Q704" s="1" t="s">
        <v>43</v>
      </c>
      <c r="R704" s="1" t="s">
        <v>3584</v>
      </c>
      <c r="S704" s="1" t="s">
        <v>45</v>
      </c>
      <c r="T704" s="1" t="s">
        <v>46</v>
      </c>
      <c r="U704" s="1" t="s">
        <v>3585</v>
      </c>
      <c r="V704" s="3">
        <v>114.9</v>
      </c>
      <c r="W704" s="1" t="str">
        <f t="shared" si="54"/>
        <v>Slow Delivery</v>
      </c>
    </row>
    <row r="705" spans="1:23" x14ac:dyDescent="0.25">
      <c r="A705" s="1">
        <v>8020</v>
      </c>
      <c r="B705" s="2" t="s">
        <v>3586</v>
      </c>
      <c r="C705" s="2">
        <v>43406</v>
      </c>
      <c r="D705" s="2">
        <v>43409</v>
      </c>
      <c r="E705" s="1">
        <f t="shared" si="51"/>
        <v>2018</v>
      </c>
      <c r="F705" s="2" t="str">
        <f t="shared" si="52"/>
        <v>Nov</v>
      </c>
      <c r="G705" s="1">
        <f t="shared" si="53"/>
        <v>11</v>
      </c>
      <c r="H705" s="1">
        <f t="shared" si="50"/>
        <v>3</v>
      </c>
      <c r="I705" s="1" t="s">
        <v>38</v>
      </c>
      <c r="J705" s="1" t="s">
        <v>3587</v>
      </c>
      <c r="K705" s="1" t="s">
        <v>3588</v>
      </c>
      <c r="L705" s="1" t="s">
        <v>28</v>
      </c>
      <c r="M705" s="1" t="s">
        <v>29</v>
      </c>
      <c r="N705" s="1" t="s">
        <v>600</v>
      </c>
      <c r="O705" s="1" t="s">
        <v>87</v>
      </c>
      <c r="P705" s="1">
        <v>63116</v>
      </c>
      <c r="Q705" s="1" t="s">
        <v>32</v>
      </c>
      <c r="R705" s="1" t="s">
        <v>1713</v>
      </c>
      <c r="S705" s="1" t="s">
        <v>34</v>
      </c>
      <c r="T705" s="1" t="s">
        <v>74</v>
      </c>
      <c r="U705" s="1" t="s">
        <v>1714</v>
      </c>
      <c r="V705" s="3">
        <v>83.9</v>
      </c>
      <c r="W705" s="1" t="str">
        <f t="shared" si="54"/>
        <v>Fast Delivery</v>
      </c>
    </row>
    <row r="706" spans="1:23" x14ac:dyDescent="0.25">
      <c r="A706" s="1">
        <v>326</v>
      </c>
      <c r="B706" s="2" t="s">
        <v>3589</v>
      </c>
      <c r="C706" s="2">
        <v>43407</v>
      </c>
      <c r="D706" s="2">
        <v>43409</v>
      </c>
      <c r="E706" s="1">
        <f t="shared" si="51"/>
        <v>2018</v>
      </c>
      <c r="F706" s="2" t="str">
        <f t="shared" si="52"/>
        <v>Nov</v>
      </c>
      <c r="G706" s="1">
        <f t="shared" si="53"/>
        <v>11</v>
      </c>
      <c r="H706" s="1">
        <f t="shared" ref="H706:H769" si="55">D706-C706</f>
        <v>2</v>
      </c>
      <c r="I706" s="1" t="s">
        <v>83</v>
      </c>
      <c r="J706" s="1" t="s">
        <v>3590</v>
      </c>
      <c r="K706" s="1" t="s">
        <v>3591</v>
      </c>
      <c r="L706" s="1" t="s">
        <v>51</v>
      </c>
      <c r="M706" s="1" t="s">
        <v>29</v>
      </c>
      <c r="N706" s="1" t="s">
        <v>3592</v>
      </c>
      <c r="O706" s="1" t="s">
        <v>1028</v>
      </c>
      <c r="P706" s="1">
        <v>37130</v>
      </c>
      <c r="Q706" s="1" t="s">
        <v>54</v>
      </c>
      <c r="R706" s="1" t="s">
        <v>745</v>
      </c>
      <c r="S706" s="1" t="s">
        <v>45</v>
      </c>
      <c r="T706" s="1" t="s">
        <v>46</v>
      </c>
      <c r="U706" s="1" t="s">
        <v>746</v>
      </c>
      <c r="V706" s="3">
        <v>15.992000000000001</v>
      </c>
      <c r="W706" s="1" t="str">
        <f t="shared" si="54"/>
        <v>Fast Delivery</v>
      </c>
    </row>
    <row r="707" spans="1:23" x14ac:dyDescent="0.25">
      <c r="A707" s="1">
        <v>7997</v>
      </c>
      <c r="B707" s="2" t="s">
        <v>3593</v>
      </c>
      <c r="C707" s="2">
        <v>43407</v>
      </c>
      <c r="D707" s="2">
        <v>43409</v>
      </c>
      <c r="E707" s="1">
        <f t="shared" ref="E707:E770" si="56">YEAR(C707)</f>
        <v>2018</v>
      </c>
      <c r="F707" s="2" t="str">
        <f t="shared" ref="F707:F770" si="57">TEXT(C707,"mmm")</f>
        <v>Nov</v>
      </c>
      <c r="G707" s="1">
        <f t="shared" ref="G707:G770" si="58">MONTH(C707)</f>
        <v>11</v>
      </c>
      <c r="H707" s="1">
        <f t="shared" si="55"/>
        <v>2</v>
      </c>
      <c r="I707" s="1" t="s">
        <v>38</v>
      </c>
      <c r="J707" s="1" t="s">
        <v>3594</v>
      </c>
      <c r="K707" s="1" t="s">
        <v>3595</v>
      </c>
      <c r="L707" s="1" t="s">
        <v>131</v>
      </c>
      <c r="M707" s="1" t="s">
        <v>29</v>
      </c>
      <c r="N707" s="1" t="s">
        <v>478</v>
      </c>
      <c r="O707" s="1" t="s">
        <v>106</v>
      </c>
      <c r="P707" s="1">
        <v>92037</v>
      </c>
      <c r="Q707" s="1" t="s">
        <v>107</v>
      </c>
      <c r="R707" s="1" t="s">
        <v>2460</v>
      </c>
      <c r="S707" s="1" t="s">
        <v>64</v>
      </c>
      <c r="T707" s="1" t="s">
        <v>65</v>
      </c>
      <c r="U707" s="1" t="s">
        <v>2461</v>
      </c>
      <c r="V707" s="3">
        <v>199.75</v>
      </c>
      <c r="W707" s="1" t="str">
        <f t="shared" ref="W707:W770" si="59">IF(H707&lt;=3,"Fast Delivery","Slow Delivery")</f>
        <v>Fast Delivery</v>
      </c>
    </row>
    <row r="708" spans="1:23" x14ac:dyDescent="0.25">
      <c r="A708" s="1">
        <v>3557</v>
      </c>
      <c r="B708" s="2" t="s">
        <v>3596</v>
      </c>
      <c r="C708" s="2">
        <v>43435</v>
      </c>
      <c r="D708" s="2">
        <v>43439</v>
      </c>
      <c r="E708" s="1">
        <f t="shared" si="56"/>
        <v>2018</v>
      </c>
      <c r="F708" s="2" t="str">
        <f t="shared" si="57"/>
        <v>Dec</v>
      </c>
      <c r="G708" s="1">
        <f t="shared" si="58"/>
        <v>12</v>
      </c>
      <c r="H708" s="1">
        <f t="shared" si="55"/>
        <v>4</v>
      </c>
      <c r="I708" s="1" t="s">
        <v>25</v>
      </c>
      <c r="J708" s="1" t="s">
        <v>3597</v>
      </c>
      <c r="K708" s="1" t="s">
        <v>3598</v>
      </c>
      <c r="L708" s="1" t="s">
        <v>28</v>
      </c>
      <c r="M708" s="1" t="s">
        <v>29</v>
      </c>
      <c r="N708" s="1" t="s">
        <v>132</v>
      </c>
      <c r="O708" s="1" t="s">
        <v>106</v>
      </c>
      <c r="P708" s="1">
        <v>90008</v>
      </c>
      <c r="Q708" s="1" t="s">
        <v>107</v>
      </c>
      <c r="R708" s="1" t="s">
        <v>3599</v>
      </c>
      <c r="S708" s="1" t="s">
        <v>34</v>
      </c>
      <c r="T708" s="1" t="s">
        <v>174</v>
      </c>
      <c r="U708" s="1" t="s">
        <v>3600</v>
      </c>
      <c r="V708" s="3">
        <v>45.36</v>
      </c>
      <c r="W708" s="1" t="str">
        <f t="shared" si="59"/>
        <v>Slow Delivery</v>
      </c>
    </row>
    <row r="709" spans="1:23" x14ac:dyDescent="0.25">
      <c r="A709" s="1">
        <v>9278</v>
      </c>
      <c r="B709" s="2" t="s">
        <v>3601</v>
      </c>
      <c r="C709" s="2">
        <v>43435</v>
      </c>
      <c r="D709" s="2">
        <v>43439</v>
      </c>
      <c r="E709" s="1">
        <f t="shared" si="56"/>
        <v>2018</v>
      </c>
      <c r="F709" s="2" t="str">
        <f t="shared" si="57"/>
        <v>Dec</v>
      </c>
      <c r="G709" s="1">
        <f t="shared" si="58"/>
        <v>12</v>
      </c>
      <c r="H709" s="1">
        <f t="shared" si="55"/>
        <v>4</v>
      </c>
      <c r="I709" s="1" t="s">
        <v>25</v>
      </c>
      <c r="J709" s="1" t="s">
        <v>3602</v>
      </c>
      <c r="K709" s="1" t="s">
        <v>3603</v>
      </c>
      <c r="L709" s="1" t="s">
        <v>28</v>
      </c>
      <c r="M709" s="1" t="s">
        <v>29</v>
      </c>
      <c r="N709" s="1" t="s">
        <v>410</v>
      </c>
      <c r="O709" s="1" t="s">
        <v>411</v>
      </c>
      <c r="P709" s="1">
        <v>19140</v>
      </c>
      <c r="Q709" s="1" t="s">
        <v>43</v>
      </c>
      <c r="R709" s="1" t="s">
        <v>3604</v>
      </c>
      <c r="S709" s="1" t="s">
        <v>34</v>
      </c>
      <c r="T709" s="1" t="s">
        <v>56</v>
      </c>
      <c r="U709" s="1" t="s">
        <v>3605</v>
      </c>
      <c r="V709" s="3">
        <v>15.936</v>
      </c>
      <c r="W709" s="1" t="str">
        <f t="shared" si="59"/>
        <v>Slow Delivery</v>
      </c>
    </row>
    <row r="710" spans="1:23" x14ac:dyDescent="0.25">
      <c r="A710" s="1">
        <v>7393</v>
      </c>
      <c r="B710" s="2" t="s">
        <v>3606</v>
      </c>
      <c r="C710" s="2">
        <v>43222</v>
      </c>
      <c r="D710" s="2">
        <v>43226</v>
      </c>
      <c r="E710" s="1">
        <f t="shared" si="56"/>
        <v>2018</v>
      </c>
      <c r="F710" s="2" t="str">
        <f t="shared" si="57"/>
        <v>May</v>
      </c>
      <c r="G710" s="1">
        <f t="shared" si="58"/>
        <v>5</v>
      </c>
      <c r="H710" s="1">
        <f t="shared" si="55"/>
        <v>4</v>
      </c>
      <c r="I710" s="1" t="s">
        <v>25</v>
      </c>
      <c r="J710" s="1" t="s">
        <v>3607</v>
      </c>
      <c r="K710" s="1" t="s">
        <v>3608</v>
      </c>
      <c r="L710" s="1" t="s">
        <v>28</v>
      </c>
      <c r="M710" s="1" t="s">
        <v>29</v>
      </c>
      <c r="N710" s="1" t="s">
        <v>132</v>
      </c>
      <c r="O710" s="1" t="s">
        <v>106</v>
      </c>
      <c r="P710" s="1">
        <v>90049</v>
      </c>
      <c r="Q710" s="1" t="s">
        <v>107</v>
      </c>
      <c r="R710" s="1" t="s">
        <v>1134</v>
      </c>
      <c r="S710" s="1" t="s">
        <v>34</v>
      </c>
      <c r="T710" s="1" t="s">
        <v>174</v>
      </c>
      <c r="U710" s="1" t="s">
        <v>1135</v>
      </c>
      <c r="V710" s="3">
        <v>15.7</v>
      </c>
      <c r="W710" s="1" t="str">
        <f t="shared" si="59"/>
        <v>Slow Delivery</v>
      </c>
    </row>
    <row r="711" spans="1:23" x14ac:dyDescent="0.25">
      <c r="A711" s="1">
        <v>6031</v>
      </c>
      <c r="B711" s="2" t="s">
        <v>3609</v>
      </c>
      <c r="C711" s="2">
        <v>43287</v>
      </c>
      <c r="D711" s="2">
        <v>43287</v>
      </c>
      <c r="E711" s="1">
        <f t="shared" si="56"/>
        <v>2018</v>
      </c>
      <c r="F711" s="2" t="str">
        <f t="shared" si="57"/>
        <v>Jul</v>
      </c>
      <c r="G711" s="1">
        <f t="shared" si="58"/>
        <v>7</v>
      </c>
      <c r="H711" s="1">
        <f t="shared" si="55"/>
        <v>0</v>
      </c>
      <c r="I711" s="1" t="s">
        <v>68</v>
      </c>
      <c r="J711" s="1" t="s">
        <v>3610</v>
      </c>
      <c r="K711" s="1" t="s">
        <v>3611</v>
      </c>
      <c r="L711" s="1" t="s">
        <v>28</v>
      </c>
      <c r="M711" s="1" t="s">
        <v>29</v>
      </c>
      <c r="N711" s="1" t="s">
        <v>236</v>
      </c>
      <c r="O711" s="1" t="s">
        <v>190</v>
      </c>
      <c r="P711" s="1">
        <v>33142</v>
      </c>
      <c r="Q711" s="1" t="s">
        <v>54</v>
      </c>
      <c r="R711" s="1" t="s">
        <v>1682</v>
      </c>
      <c r="S711" s="1" t="s">
        <v>45</v>
      </c>
      <c r="T711" s="1" t="s">
        <v>89</v>
      </c>
      <c r="U711" s="1" t="s">
        <v>1683</v>
      </c>
      <c r="V711" s="3">
        <v>239.24</v>
      </c>
      <c r="W711" s="1" t="str">
        <f t="shared" si="59"/>
        <v>Fast Delivery</v>
      </c>
    </row>
    <row r="712" spans="1:23" x14ac:dyDescent="0.25">
      <c r="A712" s="1">
        <v>7088</v>
      </c>
      <c r="B712" s="2" t="s">
        <v>3612</v>
      </c>
      <c r="C712" s="2">
        <v>43315</v>
      </c>
      <c r="D712" s="2">
        <v>43318</v>
      </c>
      <c r="E712" s="1">
        <f t="shared" si="56"/>
        <v>2018</v>
      </c>
      <c r="F712" s="2" t="str">
        <f t="shared" si="57"/>
        <v>Aug</v>
      </c>
      <c r="G712" s="1">
        <f t="shared" si="58"/>
        <v>8</v>
      </c>
      <c r="H712" s="1">
        <f t="shared" si="55"/>
        <v>3</v>
      </c>
      <c r="I712" s="1" t="s">
        <v>83</v>
      </c>
      <c r="J712" s="1" t="s">
        <v>3613</v>
      </c>
      <c r="K712" s="1" t="s">
        <v>3614</v>
      </c>
      <c r="L712" s="1" t="s">
        <v>28</v>
      </c>
      <c r="M712" s="1" t="s">
        <v>29</v>
      </c>
      <c r="N712" s="1" t="s">
        <v>132</v>
      </c>
      <c r="O712" s="1" t="s">
        <v>106</v>
      </c>
      <c r="P712" s="1">
        <v>90004</v>
      </c>
      <c r="Q712" s="1" t="s">
        <v>107</v>
      </c>
      <c r="R712" s="1" t="s">
        <v>3615</v>
      </c>
      <c r="S712" s="1" t="s">
        <v>34</v>
      </c>
      <c r="T712" s="1" t="s">
        <v>270</v>
      </c>
      <c r="U712" s="1" t="s">
        <v>3616</v>
      </c>
      <c r="V712" s="3">
        <v>99.87</v>
      </c>
      <c r="W712" s="1" t="str">
        <f t="shared" si="59"/>
        <v>Fast Delivery</v>
      </c>
    </row>
    <row r="713" spans="1:23" x14ac:dyDescent="0.25">
      <c r="A713" s="1">
        <v>4332</v>
      </c>
      <c r="B713" s="2" t="s">
        <v>3617</v>
      </c>
      <c r="C713" s="2">
        <v>43344</v>
      </c>
      <c r="D713" s="2">
        <v>43349</v>
      </c>
      <c r="E713" s="1">
        <f t="shared" si="56"/>
        <v>2018</v>
      </c>
      <c r="F713" s="2" t="str">
        <f t="shared" si="57"/>
        <v>Sep</v>
      </c>
      <c r="G713" s="1">
        <f t="shared" si="58"/>
        <v>9</v>
      </c>
      <c r="H713" s="1">
        <f t="shared" si="55"/>
        <v>5</v>
      </c>
      <c r="I713" s="1" t="s">
        <v>25</v>
      </c>
      <c r="J713" s="1" t="s">
        <v>3618</v>
      </c>
      <c r="K713" s="1" t="s">
        <v>3619</v>
      </c>
      <c r="L713" s="1" t="s">
        <v>28</v>
      </c>
      <c r="M713" s="1" t="s">
        <v>29</v>
      </c>
      <c r="N713" s="1" t="s">
        <v>3620</v>
      </c>
      <c r="O713" s="1" t="s">
        <v>424</v>
      </c>
      <c r="P713" s="1">
        <v>98052</v>
      </c>
      <c r="Q713" s="1" t="s">
        <v>107</v>
      </c>
      <c r="R713" s="1" t="s">
        <v>3621</v>
      </c>
      <c r="S713" s="1" t="s">
        <v>64</v>
      </c>
      <c r="T713" s="1" t="s">
        <v>65</v>
      </c>
      <c r="U713" s="1" t="s">
        <v>3622</v>
      </c>
      <c r="V713" s="3">
        <v>19.989999999999998</v>
      </c>
      <c r="W713" s="1" t="str">
        <f t="shared" si="59"/>
        <v>Slow Delivery</v>
      </c>
    </row>
    <row r="714" spans="1:23" x14ac:dyDescent="0.25">
      <c r="A714" s="1">
        <v>1947</v>
      </c>
      <c r="B714" s="2" t="s">
        <v>3623</v>
      </c>
      <c r="C714" s="2">
        <v>43345</v>
      </c>
      <c r="D714" s="2">
        <v>43349</v>
      </c>
      <c r="E714" s="1">
        <f t="shared" si="56"/>
        <v>2018</v>
      </c>
      <c r="F714" s="2" t="str">
        <f t="shared" si="57"/>
        <v>Sep</v>
      </c>
      <c r="G714" s="1">
        <f t="shared" si="58"/>
        <v>9</v>
      </c>
      <c r="H714" s="1">
        <f t="shared" si="55"/>
        <v>4</v>
      </c>
      <c r="I714" s="1" t="s">
        <v>25</v>
      </c>
      <c r="J714" s="1" t="s">
        <v>3624</v>
      </c>
      <c r="K714" s="1" t="s">
        <v>3625</v>
      </c>
      <c r="L714" s="1" t="s">
        <v>51</v>
      </c>
      <c r="M714" s="1" t="s">
        <v>29</v>
      </c>
      <c r="N714" s="1" t="s">
        <v>114</v>
      </c>
      <c r="O714" s="1" t="s">
        <v>115</v>
      </c>
      <c r="P714" s="1">
        <v>10009</v>
      </c>
      <c r="Q714" s="1" t="s">
        <v>43</v>
      </c>
      <c r="R714" s="1" t="s">
        <v>116</v>
      </c>
      <c r="S714" s="1" t="s">
        <v>34</v>
      </c>
      <c r="T714" s="1" t="s">
        <v>35</v>
      </c>
      <c r="U714" s="1" t="s">
        <v>117</v>
      </c>
      <c r="V714" s="3">
        <v>23.1</v>
      </c>
      <c r="W714" s="1" t="str">
        <f t="shared" si="59"/>
        <v>Slow Delivery</v>
      </c>
    </row>
    <row r="715" spans="1:23" x14ac:dyDescent="0.25">
      <c r="A715" s="1">
        <v>5826</v>
      </c>
      <c r="B715" s="2" t="s">
        <v>3626</v>
      </c>
      <c r="C715" s="2">
        <v>43346</v>
      </c>
      <c r="D715" s="2">
        <v>43349</v>
      </c>
      <c r="E715" s="1">
        <f t="shared" si="56"/>
        <v>2018</v>
      </c>
      <c r="F715" s="2" t="str">
        <f t="shared" si="57"/>
        <v>Sep</v>
      </c>
      <c r="G715" s="1">
        <f t="shared" si="58"/>
        <v>9</v>
      </c>
      <c r="H715" s="1">
        <f t="shared" si="55"/>
        <v>3</v>
      </c>
      <c r="I715" s="1" t="s">
        <v>83</v>
      </c>
      <c r="J715" s="1" t="s">
        <v>3627</v>
      </c>
      <c r="K715" s="1" t="s">
        <v>3628</v>
      </c>
      <c r="L715" s="1" t="s">
        <v>131</v>
      </c>
      <c r="M715" s="1" t="s">
        <v>29</v>
      </c>
      <c r="N715" s="1" t="s">
        <v>114</v>
      </c>
      <c r="O715" s="1" t="s">
        <v>115</v>
      </c>
      <c r="P715" s="1">
        <v>10035</v>
      </c>
      <c r="Q715" s="1" t="s">
        <v>43</v>
      </c>
      <c r="R715" s="1" t="s">
        <v>3629</v>
      </c>
      <c r="S715" s="1" t="s">
        <v>34</v>
      </c>
      <c r="T715" s="1" t="s">
        <v>174</v>
      </c>
      <c r="U715" s="1" t="s">
        <v>3630</v>
      </c>
      <c r="V715" s="3">
        <v>419.4</v>
      </c>
      <c r="W715" s="1" t="str">
        <f t="shared" si="59"/>
        <v>Fast Delivery</v>
      </c>
    </row>
    <row r="716" spans="1:23" x14ac:dyDescent="0.25">
      <c r="A716" s="1">
        <v>3513</v>
      </c>
      <c r="B716" s="2" t="s">
        <v>3631</v>
      </c>
      <c r="C716" s="2">
        <v>43347</v>
      </c>
      <c r="D716" s="2">
        <v>43349</v>
      </c>
      <c r="E716" s="1">
        <f t="shared" si="56"/>
        <v>2018</v>
      </c>
      <c r="F716" s="2" t="str">
        <f t="shared" si="57"/>
        <v>Sep</v>
      </c>
      <c r="G716" s="1">
        <f t="shared" si="58"/>
        <v>9</v>
      </c>
      <c r="H716" s="1">
        <f t="shared" si="55"/>
        <v>2</v>
      </c>
      <c r="I716" s="1" t="s">
        <v>38</v>
      </c>
      <c r="J716" s="1" t="s">
        <v>3632</v>
      </c>
      <c r="K716" s="1" t="s">
        <v>3633</v>
      </c>
      <c r="L716" s="1" t="s">
        <v>51</v>
      </c>
      <c r="M716" s="1" t="s">
        <v>29</v>
      </c>
      <c r="N716" s="1" t="s">
        <v>221</v>
      </c>
      <c r="O716" s="1" t="s">
        <v>222</v>
      </c>
      <c r="P716" s="1">
        <v>60653</v>
      </c>
      <c r="Q716" s="1" t="s">
        <v>32</v>
      </c>
      <c r="R716" s="1" t="s">
        <v>3634</v>
      </c>
      <c r="S716" s="1" t="s">
        <v>45</v>
      </c>
      <c r="T716" s="1" t="s">
        <v>413</v>
      </c>
      <c r="U716" s="1" t="s">
        <v>3635</v>
      </c>
      <c r="V716" s="3">
        <v>825.17399999999998</v>
      </c>
      <c r="W716" s="1" t="str">
        <f t="shared" si="59"/>
        <v>Fast Delivery</v>
      </c>
    </row>
    <row r="717" spans="1:23" x14ac:dyDescent="0.25">
      <c r="A717" s="1">
        <v>5556</v>
      </c>
      <c r="B717" s="2" t="s">
        <v>3636</v>
      </c>
      <c r="C717" s="2">
        <v>43375</v>
      </c>
      <c r="D717" s="2">
        <v>43379</v>
      </c>
      <c r="E717" s="1">
        <f t="shared" si="56"/>
        <v>2018</v>
      </c>
      <c r="F717" s="2" t="str">
        <f t="shared" si="57"/>
        <v>Oct</v>
      </c>
      <c r="G717" s="1">
        <f t="shared" si="58"/>
        <v>10</v>
      </c>
      <c r="H717" s="1">
        <f t="shared" si="55"/>
        <v>4</v>
      </c>
      <c r="I717" s="1" t="s">
        <v>83</v>
      </c>
      <c r="J717" s="1" t="s">
        <v>3637</v>
      </c>
      <c r="K717" s="1" t="s">
        <v>3638</v>
      </c>
      <c r="L717" s="1" t="s">
        <v>51</v>
      </c>
      <c r="M717" s="1" t="s">
        <v>29</v>
      </c>
      <c r="N717" s="1" t="s">
        <v>3639</v>
      </c>
      <c r="O717" s="1" t="s">
        <v>1326</v>
      </c>
      <c r="P717" s="1">
        <v>36116</v>
      </c>
      <c r="Q717" s="1" t="s">
        <v>54</v>
      </c>
      <c r="R717" s="1" t="s">
        <v>3640</v>
      </c>
      <c r="S717" s="1" t="s">
        <v>45</v>
      </c>
      <c r="T717" s="1" t="s">
        <v>46</v>
      </c>
      <c r="U717" s="1" t="s">
        <v>3641</v>
      </c>
      <c r="V717" s="3">
        <v>10.16</v>
      </c>
      <c r="W717" s="1" t="str">
        <f t="shared" si="59"/>
        <v>Slow Delivery</v>
      </c>
    </row>
    <row r="718" spans="1:23" x14ac:dyDescent="0.25">
      <c r="A718" s="1">
        <v>7206</v>
      </c>
      <c r="B718" s="2" t="s">
        <v>3642</v>
      </c>
      <c r="C718" s="2">
        <v>43375</v>
      </c>
      <c r="D718" s="2">
        <v>43379</v>
      </c>
      <c r="E718" s="1">
        <f t="shared" si="56"/>
        <v>2018</v>
      </c>
      <c r="F718" s="2" t="str">
        <f t="shared" si="57"/>
        <v>Oct</v>
      </c>
      <c r="G718" s="1">
        <f t="shared" si="58"/>
        <v>10</v>
      </c>
      <c r="H718" s="1">
        <f t="shared" si="55"/>
        <v>4</v>
      </c>
      <c r="I718" s="1" t="s">
        <v>25</v>
      </c>
      <c r="J718" s="1" t="s">
        <v>3643</v>
      </c>
      <c r="K718" s="1" t="s">
        <v>3644</v>
      </c>
      <c r="L718" s="1" t="s">
        <v>28</v>
      </c>
      <c r="M718" s="1" t="s">
        <v>29</v>
      </c>
      <c r="N718" s="1" t="s">
        <v>105</v>
      </c>
      <c r="O718" s="1" t="s">
        <v>106</v>
      </c>
      <c r="P718" s="1">
        <v>94109</v>
      </c>
      <c r="Q718" s="1" t="s">
        <v>107</v>
      </c>
      <c r="R718" s="1" t="s">
        <v>3645</v>
      </c>
      <c r="S718" s="1" t="s">
        <v>45</v>
      </c>
      <c r="T718" s="1" t="s">
        <v>46</v>
      </c>
      <c r="U718" s="1" t="s">
        <v>3646</v>
      </c>
      <c r="V718" s="3">
        <v>17.46</v>
      </c>
      <c r="W718" s="1" t="str">
        <f t="shared" si="59"/>
        <v>Slow Delivery</v>
      </c>
    </row>
    <row r="719" spans="1:23" x14ac:dyDescent="0.25">
      <c r="A719" s="1">
        <v>9525</v>
      </c>
      <c r="B719" s="2" t="s">
        <v>3647</v>
      </c>
      <c r="C719" s="2">
        <v>43439</v>
      </c>
      <c r="D719" s="2">
        <v>43440</v>
      </c>
      <c r="E719" s="1">
        <f t="shared" si="56"/>
        <v>2018</v>
      </c>
      <c r="F719" s="2" t="str">
        <f t="shared" si="57"/>
        <v>Dec</v>
      </c>
      <c r="G719" s="1">
        <f t="shared" si="58"/>
        <v>12</v>
      </c>
      <c r="H719" s="1">
        <f t="shared" si="55"/>
        <v>1</v>
      </c>
      <c r="I719" s="1" t="s">
        <v>38</v>
      </c>
      <c r="J719" s="1" t="s">
        <v>3648</v>
      </c>
      <c r="K719" s="1" t="s">
        <v>3649</v>
      </c>
      <c r="L719" s="1" t="s">
        <v>131</v>
      </c>
      <c r="M719" s="1" t="s">
        <v>29</v>
      </c>
      <c r="N719" s="1" t="s">
        <v>488</v>
      </c>
      <c r="O719" s="1" t="s">
        <v>424</v>
      </c>
      <c r="P719" s="1">
        <v>98115</v>
      </c>
      <c r="Q719" s="1" t="s">
        <v>107</v>
      </c>
      <c r="R719" s="1" t="s">
        <v>2157</v>
      </c>
      <c r="S719" s="1" t="s">
        <v>34</v>
      </c>
      <c r="T719" s="1" t="s">
        <v>109</v>
      </c>
      <c r="U719" s="1" t="s">
        <v>2158</v>
      </c>
      <c r="V719" s="3">
        <v>83.92</v>
      </c>
      <c r="W719" s="1" t="str">
        <f t="shared" si="59"/>
        <v>Fast Delivery</v>
      </c>
    </row>
    <row r="720" spans="1:23" x14ac:dyDescent="0.25">
      <c r="A720" s="1">
        <v>7262</v>
      </c>
      <c r="B720" s="2" t="s">
        <v>3650</v>
      </c>
      <c r="C720" s="2">
        <v>43261</v>
      </c>
      <c r="D720" s="2">
        <v>43264</v>
      </c>
      <c r="E720" s="1">
        <f t="shared" si="56"/>
        <v>2018</v>
      </c>
      <c r="F720" s="2" t="str">
        <f t="shared" si="57"/>
        <v>Jun</v>
      </c>
      <c r="G720" s="1">
        <f t="shared" si="58"/>
        <v>6</v>
      </c>
      <c r="H720" s="1">
        <f t="shared" si="55"/>
        <v>3</v>
      </c>
      <c r="I720" s="1" t="s">
        <v>83</v>
      </c>
      <c r="J720" s="1" t="s">
        <v>3651</v>
      </c>
      <c r="K720" s="1" t="s">
        <v>3652</v>
      </c>
      <c r="L720" s="1" t="s">
        <v>51</v>
      </c>
      <c r="M720" s="1" t="s">
        <v>29</v>
      </c>
      <c r="N720" s="1" t="s">
        <v>2592</v>
      </c>
      <c r="O720" s="1" t="s">
        <v>106</v>
      </c>
      <c r="P720" s="1">
        <v>91360</v>
      </c>
      <c r="Q720" s="1" t="s">
        <v>107</v>
      </c>
      <c r="R720" s="1" t="s">
        <v>3653</v>
      </c>
      <c r="S720" s="1" t="s">
        <v>34</v>
      </c>
      <c r="T720" s="1" t="s">
        <v>35</v>
      </c>
      <c r="U720" s="1" t="s">
        <v>3654</v>
      </c>
      <c r="V720" s="3">
        <v>14.7</v>
      </c>
      <c r="W720" s="1" t="str">
        <f t="shared" si="59"/>
        <v>Fast Delivery</v>
      </c>
    </row>
    <row r="721" spans="1:23" x14ac:dyDescent="0.25">
      <c r="A721" s="1">
        <v>9175</v>
      </c>
      <c r="B721" s="2" t="s">
        <v>3655</v>
      </c>
      <c r="C721" s="2">
        <v>43263</v>
      </c>
      <c r="D721" s="2">
        <v>43265</v>
      </c>
      <c r="E721" s="1">
        <f t="shared" si="56"/>
        <v>2018</v>
      </c>
      <c r="F721" s="2" t="str">
        <f t="shared" si="57"/>
        <v>Jun</v>
      </c>
      <c r="G721" s="1">
        <f t="shared" si="58"/>
        <v>6</v>
      </c>
      <c r="H721" s="1">
        <f t="shared" si="55"/>
        <v>2</v>
      </c>
      <c r="I721" s="1" t="s">
        <v>83</v>
      </c>
      <c r="J721" s="1" t="s">
        <v>3656</v>
      </c>
      <c r="K721" s="1" t="s">
        <v>3657</v>
      </c>
      <c r="L721" s="1" t="s">
        <v>28</v>
      </c>
      <c r="M721" s="1" t="s">
        <v>29</v>
      </c>
      <c r="N721" s="1" t="s">
        <v>423</v>
      </c>
      <c r="O721" s="1" t="s">
        <v>424</v>
      </c>
      <c r="P721" s="1">
        <v>98031</v>
      </c>
      <c r="Q721" s="1" t="s">
        <v>107</v>
      </c>
      <c r="R721" s="1" t="s">
        <v>3658</v>
      </c>
      <c r="S721" s="1" t="s">
        <v>64</v>
      </c>
      <c r="T721" s="1" t="s">
        <v>159</v>
      </c>
      <c r="U721" s="1" t="s">
        <v>3659</v>
      </c>
      <c r="V721" s="3">
        <v>71.975999999999999</v>
      </c>
      <c r="W721" s="1" t="str">
        <f t="shared" si="59"/>
        <v>Fast Delivery</v>
      </c>
    </row>
    <row r="722" spans="1:23" x14ac:dyDescent="0.25">
      <c r="A722" s="1">
        <v>2501</v>
      </c>
      <c r="B722" s="2" t="s">
        <v>3660</v>
      </c>
      <c r="C722" s="2">
        <v>43268</v>
      </c>
      <c r="D722" s="2">
        <v>43271</v>
      </c>
      <c r="E722" s="1">
        <f t="shared" si="56"/>
        <v>2018</v>
      </c>
      <c r="F722" s="2" t="str">
        <f t="shared" si="57"/>
        <v>Jun</v>
      </c>
      <c r="G722" s="1">
        <f t="shared" si="58"/>
        <v>6</v>
      </c>
      <c r="H722" s="1">
        <f t="shared" si="55"/>
        <v>3</v>
      </c>
      <c r="I722" s="1" t="s">
        <v>38</v>
      </c>
      <c r="J722" s="1" t="s">
        <v>3661</v>
      </c>
      <c r="K722" s="1" t="s">
        <v>3662</v>
      </c>
      <c r="L722" s="1" t="s">
        <v>51</v>
      </c>
      <c r="M722" s="1" t="s">
        <v>29</v>
      </c>
      <c r="N722" s="1" t="s">
        <v>3663</v>
      </c>
      <c r="O722" s="1" t="s">
        <v>222</v>
      </c>
      <c r="P722" s="1">
        <v>60076</v>
      </c>
      <c r="Q722" s="1" t="s">
        <v>32</v>
      </c>
      <c r="R722" s="1" t="s">
        <v>2956</v>
      </c>
      <c r="S722" s="1" t="s">
        <v>34</v>
      </c>
      <c r="T722" s="1" t="s">
        <v>174</v>
      </c>
      <c r="U722" s="1" t="s">
        <v>2957</v>
      </c>
      <c r="V722" s="3">
        <v>12.224</v>
      </c>
      <c r="W722" s="1" t="str">
        <f t="shared" si="59"/>
        <v>Fast Delivery</v>
      </c>
    </row>
    <row r="723" spans="1:23" x14ac:dyDescent="0.25">
      <c r="A723" s="1">
        <v>9491</v>
      </c>
      <c r="B723" s="2" t="s">
        <v>3664</v>
      </c>
      <c r="C723" s="2">
        <v>43103</v>
      </c>
      <c r="D723" s="2">
        <v>43107</v>
      </c>
      <c r="E723" s="1">
        <f t="shared" si="56"/>
        <v>2018</v>
      </c>
      <c r="F723" s="2" t="str">
        <f t="shared" si="57"/>
        <v>Jan</v>
      </c>
      <c r="G723" s="1">
        <f t="shared" si="58"/>
        <v>1</v>
      </c>
      <c r="H723" s="1">
        <f t="shared" si="55"/>
        <v>4</v>
      </c>
      <c r="I723" s="1" t="s">
        <v>25</v>
      </c>
      <c r="J723" s="1" t="s">
        <v>3665</v>
      </c>
      <c r="K723" s="1" t="s">
        <v>3666</v>
      </c>
      <c r="L723" s="1" t="s">
        <v>28</v>
      </c>
      <c r="M723" s="1" t="s">
        <v>29</v>
      </c>
      <c r="N723" s="1" t="s">
        <v>105</v>
      </c>
      <c r="O723" s="1" t="s">
        <v>106</v>
      </c>
      <c r="P723" s="1">
        <v>94110</v>
      </c>
      <c r="Q723" s="1" t="s">
        <v>107</v>
      </c>
      <c r="R723" s="1" t="s">
        <v>3480</v>
      </c>
      <c r="S723" s="1" t="s">
        <v>34</v>
      </c>
      <c r="T723" s="1" t="s">
        <v>109</v>
      </c>
      <c r="U723" s="1" t="s">
        <v>3481</v>
      </c>
      <c r="V723" s="3">
        <v>2022.2719999999999</v>
      </c>
      <c r="W723" s="1" t="str">
        <f t="shared" si="59"/>
        <v>Slow Delivery</v>
      </c>
    </row>
    <row r="724" spans="1:23" x14ac:dyDescent="0.25">
      <c r="A724" s="1">
        <v>3062</v>
      </c>
      <c r="B724" s="2" t="s">
        <v>3667</v>
      </c>
      <c r="C724" s="2">
        <v>43162</v>
      </c>
      <c r="D724" s="2">
        <v>43166</v>
      </c>
      <c r="E724" s="1">
        <f t="shared" si="56"/>
        <v>2018</v>
      </c>
      <c r="F724" s="2" t="str">
        <f t="shared" si="57"/>
        <v>Mar</v>
      </c>
      <c r="G724" s="1">
        <f t="shared" si="58"/>
        <v>3</v>
      </c>
      <c r="H724" s="1">
        <f t="shared" si="55"/>
        <v>4</v>
      </c>
      <c r="I724" s="1" t="s">
        <v>25</v>
      </c>
      <c r="J724" s="1" t="s">
        <v>3668</v>
      </c>
      <c r="K724" s="1" t="s">
        <v>3669</v>
      </c>
      <c r="L724" s="1" t="s">
        <v>28</v>
      </c>
      <c r="M724" s="1" t="s">
        <v>29</v>
      </c>
      <c r="N724" s="1" t="s">
        <v>750</v>
      </c>
      <c r="O724" s="1" t="s">
        <v>31</v>
      </c>
      <c r="P724" s="1">
        <v>75081</v>
      </c>
      <c r="Q724" s="1" t="s">
        <v>32</v>
      </c>
      <c r="R724" s="1" t="s">
        <v>3670</v>
      </c>
      <c r="S724" s="1" t="s">
        <v>34</v>
      </c>
      <c r="T724" s="1" t="s">
        <v>174</v>
      </c>
      <c r="U724" s="1" t="s">
        <v>3671</v>
      </c>
      <c r="V724" s="3">
        <v>26.88</v>
      </c>
      <c r="W724" s="1" t="str">
        <f t="shared" si="59"/>
        <v>Slow Delivery</v>
      </c>
    </row>
    <row r="725" spans="1:23" x14ac:dyDescent="0.25">
      <c r="A725" s="1">
        <v>4329</v>
      </c>
      <c r="B725" s="2" t="s">
        <v>3672</v>
      </c>
      <c r="C725" s="2">
        <v>43191</v>
      </c>
      <c r="D725" s="2">
        <v>43197</v>
      </c>
      <c r="E725" s="1">
        <f t="shared" si="56"/>
        <v>2018</v>
      </c>
      <c r="F725" s="2" t="str">
        <f t="shared" si="57"/>
        <v>Apr</v>
      </c>
      <c r="G725" s="1">
        <f t="shared" si="58"/>
        <v>4</v>
      </c>
      <c r="H725" s="1">
        <f t="shared" si="55"/>
        <v>6</v>
      </c>
      <c r="I725" s="1" t="s">
        <v>25</v>
      </c>
      <c r="J725" s="1" t="s">
        <v>3673</v>
      </c>
      <c r="K725" s="1" t="s">
        <v>3674</v>
      </c>
      <c r="L725" s="1" t="s">
        <v>28</v>
      </c>
      <c r="M725" s="1" t="s">
        <v>29</v>
      </c>
      <c r="N725" s="1" t="s">
        <v>114</v>
      </c>
      <c r="O725" s="1" t="s">
        <v>115</v>
      </c>
      <c r="P725" s="1">
        <v>10011</v>
      </c>
      <c r="Q725" s="1" t="s">
        <v>43</v>
      </c>
      <c r="R725" s="1" t="s">
        <v>3675</v>
      </c>
      <c r="S725" s="1" t="s">
        <v>34</v>
      </c>
      <c r="T725" s="1" t="s">
        <v>174</v>
      </c>
      <c r="U725" s="1" t="s">
        <v>3676</v>
      </c>
      <c r="V725" s="3">
        <v>42.93</v>
      </c>
      <c r="W725" s="1" t="str">
        <f t="shared" si="59"/>
        <v>Slow Delivery</v>
      </c>
    </row>
    <row r="726" spans="1:23" x14ac:dyDescent="0.25">
      <c r="A726" s="1">
        <v>6125</v>
      </c>
      <c r="B726" s="2" t="s">
        <v>3677</v>
      </c>
      <c r="C726" s="2">
        <v>43254</v>
      </c>
      <c r="D726" s="2">
        <v>43258</v>
      </c>
      <c r="E726" s="1">
        <f t="shared" si="56"/>
        <v>2018</v>
      </c>
      <c r="F726" s="2" t="str">
        <f t="shared" si="57"/>
        <v>Jun</v>
      </c>
      <c r="G726" s="1">
        <f t="shared" si="58"/>
        <v>6</v>
      </c>
      <c r="H726" s="1">
        <f t="shared" si="55"/>
        <v>4</v>
      </c>
      <c r="I726" s="1" t="s">
        <v>25</v>
      </c>
      <c r="J726" s="1" t="s">
        <v>3678</v>
      </c>
      <c r="K726" s="1" t="s">
        <v>3679</v>
      </c>
      <c r="L726" s="1" t="s">
        <v>51</v>
      </c>
      <c r="M726" s="1" t="s">
        <v>29</v>
      </c>
      <c r="N726" s="1" t="s">
        <v>132</v>
      </c>
      <c r="O726" s="1" t="s">
        <v>106</v>
      </c>
      <c r="P726" s="1">
        <v>90036</v>
      </c>
      <c r="Q726" s="1" t="s">
        <v>107</v>
      </c>
      <c r="R726" s="1" t="s">
        <v>2065</v>
      </c>
      <c r="S726" s="1" t="s">
        <v>64</v>
      </c>
      <c r="T726" s="1" t="s">
        <v>65</v>
      </c>
      <c r="U726" s="1" t="s">
        <v>2066</v>
      </c>
      <c r="V726" s="3">
        <v>44.75</v>
      </c>
      <c r="W726" s="1" t="str">
        <f t="shared" si="59"/>
        <v>Slow Delivery</v>
      </c>
    </row>
    <row r="727" spans="1:23" x14ac:dyDescent="0.25">
      <c r="A727" s="1">
        <v>9451</v>
      </c>
      <c r="B727" s="2" t="s">
        <v>3680</v>
      </c>
      <c r="C727" s="2">
        <v>43254</v>
      </c>
      <c r="D727" s="2">
        <v>43258</v>
      </c>
      <c r="E727" s="1">
        <f t="shared" si="56"/>
        <v>2018</v>
      </c>
      <c r="F727" s="2" t="str">
        <f t="shared" si="57"/>
        <v>Jun</v>
      </c>
      <c r="G727" s="1">
        <f t="shared" si="58"/>
        <v>6</v>
      </c>
      <c r="H727" s="1">
        <f t="shared" si="55"/>
        <v>4</v>
      </c>
      <c r="I727" s="1" t="s">
        <v>25</v>
      </c>
      <c r="J727" s="1" t="s">
        <v>3681</v>
      </c>
      <c r="K727" s="1" t="s">
        <v>3682</v>
      </c>
      <c r="L727" s="1" t="s">
        <v>131</v>
      </c>
      <c r="M727" s="1" t="s">
        <v>29</v>
      </c>
      <c r="N727" s="1" t="s">
        <v>2004</v>
      </c>
      <c r="O727" s="1" t="s">
        <v>424</v>
      </c>
      <c r="P727" s="1">
        <v>99207</v>
      </c>
      <c r="Q727" s="1" t="s">
        <v>107</v>
      </c>
      <c r="R727" s="1" t="s">
        <v>2125</v>
      </c>
      <c r="S727" s="1" t="s">
        <v>34</v>
      </c>
      <c r="T727" s="1" t="s">
        <v>270</v>
      </c>
      <c r="U727" s="1" t="s">
        <v>2126</v>
      </c>
      <c r="V727" s="3">
        <v>136.26</v>
      </c>
      <c r="W727" s="1" t="str">
        <f t="shared" si="59"/>
        <v>Slow Delivery</v>
      </c>
    </row>
    <row r="728" spans="1:23" x14ac:dyDescent="0.25">
      <c r="A728" s="1">
        <v>8518</v>
      </c>
      <c r="B728" s="2" t="s">
        <v>3683</v>
      </c>
      <c r="C728" s="2">
        <v>43255</v>
      </c>
      <c r="D728" s="2">
        <v>43258</v>
      </c>
      <c r="E728" s="1">
        <f t="shared" si="56"/>
        <v>2018</v>
      </c>
      <c r="F728" s="2" t="str">
        <f t="shared" si="57"/>
        <v>Jun</v>
      </c>
      <c r="G728" s="1">
        <f t="shared" si="58"/>
        <v>6</v>
      </c>
      <c r="H728" s="1">
        <f t="shared" si="55"/>
        <v>3</v>
      </c>
      <c r="I728" s="1" t="s">
        <v>83</v>
      </c>
      <c r="J728" s="1" t="s">
        <v>3684</v>
      </c>
      <c r="K728" s="1" t="s">
        <v>3685</v>
      </c>
      <c r="L728" s="1" t="s">
        <v>28</v>
      </c>
      <c r="M728" s="1" t="s">
        <v>29</v>
      </c>
      <c r="N728" s="1" t="s">
        <v>3686</v>
      </c>
      <c r="O728" s="1" t="s">
        <v>31</v>
      </c>
      <c r="P728" s="1">
        <v>75034</v>
      </c>
      <c r="Q728" s="1" t="s">
        <v>32</v>
      </c>
      <c r="R728" s="1" t="s">
        <v>1551</v>
      </c>
      <c r="S728" s="1" t="s">
        <v>45</v>
      </c>
      <c r="T728" s="1" t="s">
        <v>46</v>
      </c>
      <c r="U728" s="1" t="s">
        <v>1552</v>
      </c>
      <c r="V728" s="3">
        <v>30.335999999999999</v>
      </c>
      <c r="W728" s="1" t="str">
        <f t="shared" si="59"/>
        <v>Fast Delivery</v>
      </c>
    </row>
    <row r="729" spans="1:23" x14ac:dyDescent="0.25">
      <c r="A729" s="1">
        <v>1304</v>
      </c>
      <c r="B729" s="2" t="s">
        <v>3687</v>
      </c>
      <c r="C729" s="2">
        <v>43284</v>
      </c>
      <c r="D729" s="2">
        <v>43288</v>
      </c>
      <c r="E729" s="1">
        <f t="shared" si="56"/>
        <v>2018</v>
      </c>
      <c r="F729" s="2" t="str">
        <f t="shared" si="57"/>
        <v>Jul</v>
      </c>
      <c r="G729" s="1">
        <f t="shared" si="58"/>
        <v>7</v>
      </c>
      <c r="H729" s="1">
        <f t="shared" si="55"/>
        <v>4</v>
      </c>
      <c r="I729" s="1" t="s">
        <v>25</v>
      </c>
      <c r="J729" s="1" t="s">
        <v>3688</v>
      </c>
      <c r="K729" s="1" t="s">
        <v>3689</v>
      </c>
      <c r="L729" s="1" t="s">
        <v>28</v>
      </c>
      <c r="M729" s="1" t="s">
        <v>29</v>
      </c>
      <c r="N729" s="1" t="s">
        <v>71</v>
      </c>
      <c r="O729" s="1" t="s">
        <v>62</v>
      </c>
      <c r="P729" s="1">
        <v>31907</v>
      </c>
      <c r="Q729" s="1" t="s">
        <v>54</v>
      </c>
      <c r="R729" s="1" t="s">
        <v>3690</v>
      </c>
      <c r="S729" s="1" t="s">
        <v>45</v>
      </c>
      <c r="T729" s="1" t="s">
        <v>46</v>
      </c>
      <c r="U729" s="1" t="s">
        <v>3691</v>
      </c>
      <c r="V729" s="3">
        <v>23.99</v>
      </c>
      <c r="W729" s="1" t="str">
        <f t="shared" si="59"/>
        <v>Slow Delivery</v>
      </c>
    </row>
    <row r="730" spans="1:23" x14ac:dyDescent="0.25">
      <c r="A730" s="1">
        <v>1834</v>
      </c>
      <c r="B730" s="2" t="s">
        <v>3692</v>
      </c>
      <c r="C730" s="2">
        <v>43313</v>
      </c>
      <c r="D730" s="2">
        <v>43319</v>
      </c>
      <c r="E730" s="1">
        <f t="shared" si="56"/>
        <v>2018</v>
      </c>
      <c r="F730" s="2" t="str">
        <f t="shared" si="57"/>
        <v>Aug</v>
      </c>
      <c r="G730" s="1">
        <f t="shared" si="58"/>
        <v>8</v>
      </c>
      <c r="H730" s="1">
        <f t="shared" si="55"/>
        <v>6</v>
      </c>
      <c r="I730" s="1" t="s">
        <v>25</v>
      </c>
      <c r="J730" s="1" t="s">
        <v>3693</v>
      </c>
      <c r="K730" s="1" t="s">
        <v>3694</v>
      </c>
      <c r="L730" s="1" t="s">
        <v>51</v>
      </c>
      <c r="M730" s="1" t="s">
        <v>29</v>
      </c>
      <c r="N730" s="1" t="s">
        <v>255</v>
      </c>
      <c r="O730" s="1" t="s">
        <v>31</v>
      </c>
      <c r="P730" s="1">
        <v>78745</v>
      </c>
      <c r="Q730" s="1" t="s">
        <v>32</v>
      </c>
      <c r="R730" s="1" t="s">
        <v>3695</v>
      </c>
      <c r="S730" s="1" t="s">
        <v>64</v>
      </c>
      <c r="T730" s="1" t="s">
        <v>733</v>
      </c>
      <c r="U730" s="1" t="s">
        <v>3696</v>
      </c>
      <c r="V730" s="3">
        <v>1439.982</v>
      </c>
      <c r="W730" s="1" t="str">
        <f t="shared" si="59"/>
        <v>Slow Delivery</v>
      </c>
    </row>
    <row r="731" spans="1:23" x14ac:dyDescent="0.25">
      <c r="A731" s="1">
        <v>910</v>
      </c>
      <c r="B731" s="2" t="s">
        <v>3697</v>
      </c>
      <c r="C731" s="2">
        <v>43345</v>
      </c>
      <c r="D731" s="2">
        <v>43350</v>
      </c>
      <c r="E731" s="1">
        <f t="shared" si="56"/>
        <v>2018</v>
      </c>
      <c r="F731" s="2" t="str">
        <f t="shared" si="57"/>
        <v>Sep</v>
      </c>
      <c r="G731" s="1">
        <f t="shared" si="58"/>
        <v>9</v>
      </c>
      <c r="H731" s="1">
        <f t="shared" si="55"/>
        <v>5</v>
      </c>
      <c r="I731" s="1" t="s">
        <v>25</v>
      </c>
      <c r="J731" s="1" t="s">
        <v>3698</v>
      </c>
      <c r="K731" s="1" t="s">
        <v>3699</v>
      </c>
      <c r="L731" s="1" t="s">
        <v>131</v>
      </c>
      <c r="M731" s="1" t="s">
        <v>29</v>
      </c>
      <c r="N731" s="1" t="s">
        <v>932</v>
      </c>
      <c r="O731" s="1" t="s">
        <v>172</v>
      </c>
      <c r="P731" s="1">
        <v>49201</v>
      </c>
      <c r="Q731" s="1" t="s">
        <v>32</v>
      </c>
      <c r="R731" s="1" t="s">
        <v>3700</v>
      </c>
      <c r="S731" s="1" t="s">
        <v>64</v>
      </c>
      <c r="T731" s="1" t="s">
        <v>159</v>
      </c>
      <c r="U731" s="1" t="s">
        <v>3701</v>
      </c>
      <c r="V731" s="3">
        <v>1199.8</v>
      </c>
      <c r="W731" s="1" t="str">
        <f t="shared" si="59"/>
        <v>Slow Delivery</v>
      </c>
    </row>
    <row r="732" spans="1:23" x14ac:dyDescent="0.25">
      <c r="A732" s="1">
        <v>6680</v>
      </c>
      <c r="B732" s="2" t="s">
        <v>3702</v>
      </c>
      <c r="C732" s="2">
        <v>43345</v>
      </c>
      <c r="D732" s="2">
        <v>43350</v>
      </c>
      <c r="E732" s="1">
        <f t="shared" si="56"/>
        <v>2018</v>
      </c>
      <c r="F732" s="2" t="str">
        <f t="shared" si="57"/>
        <v>Sep</v>
      </c>
      <c r="G732" s="1">
        <f t="shared" si="58"/>
        <v>9</v>
      </c>
      <c r="H732" s="1">
        <f t="shared" si="55"/>
        <v>5</v>
      </c>
      <c r="I732" s="1" t="s">
        <v>83</v>
      </c>
      <c r="J732" s="1" t="s">
        <v>3703</v>
      </c>
      <c r="K732" s="1" t="s">
        <v>3704</v>
      </c>
      <c r="L732" s="1" t="s">
        <v>28</v>
      </c>
      <c r="M732" s="1" t="s">
        <v>29</v>
      </c>
      <c r="N732" s="1" t="s">
        <v>721</v>
      </c>
      <c r="O732" s="1" t="s">
        <v>197</v>
      </c>
      <c r="P732" s="1">
        <v>6450</v>
      </c>
      <c r="Q732" s="1" t="s">
        <v>43</v>
      </c>
      <c r="R732" s="1" t="s">
        <v>3705</v>
      </c>
      <c r="S732" s="1" t="s">
        <v>34</v>
      </c>
      <c r="T732" s="1" t="s">
        <v>270</v>
      </c>
      <c r="U732" s="1" t="s">
        <v>3706</v>
      </c>
      <c r="V732" s="3">
        <v>10.9</v>
      </c>
      <c r="W732" s="1" t="str">
        <f t="shared" si="59"/>
        <v>Slow Delivery</v>
      </c>
    </row>
    <row r="733" spans="1:23" x14ac:dyDescent="0.25">
      <c r="A733" s="1">
        <v>3978</v>
      </c>
      <c r="B733" s="2" t="s">
        <v>3707</v>
      </c>
      <c r="C733" s="2">
        <v>43375</v>
      </c>
      <c r="D733" s="2">
        <v>43380</v>
      </c>
      <c r="E733" s="1">
        <f t="shared" si="56"/>
        <v>2018</v>
      </c>
      <c r="F733" s="2" t="str">
        <f t="shared" si="57"/>
        <v>Oct</v>
      </c>
      <c r="G733" s="1">
        <f t="shared" si="58"/>
        <v>10</v>
      </c>
      <c r="H733" s="1">
        <f t="shared" si="55"/>
        <v>5</v>
      </c>
      <c r="I733" s="1" t="s">
        <v>25</v>
      </c>
      <c r="J733" s="1" t="s">
        <v>3708</v>
      </c>
      <c r="K733" s="1" t="s">
        <v>3709</v>
      </c>
      <c r="L733" s="1" t="s">
        <v>131</v>
      </c>
      <c r="M733" s="1" t="s">
        <v>29</v>
      </c>
      <c r="N733" s="1" t="s">
        <v>488</v>
      </c>
      <c r="O733" s="1" t="s">
        <v>424</v>
      </c>
      <c r="P733" s="1">
        <v>98105</v>
      </c>
      <c r="Q733" s="1" t="s">
        <v>107</v>
      </c>
      <c r="R733" s="1" t="s">
        <v>3710</v>
      </c>
      <c r="S733" s="1" t="s">
        <v>34</v>
      </c>
      <c r="T733" s="1" t="s">
        <v>231</v>
      </c>
      <c r="U733" s="1" t="s">
        <v>377</v>
      </c>
      <c r="V733" s="3">
        <v>8.94</v>
      </c>
      <c r="W733" s="1" t="str">
        <f t="shared" si="59"/>
        <v>Slow Delivery</v>
      </c>
    </row>
    <row r="734" spans="1:23" x14ac:dyDescent="0.25">
      <c r="A734" s="1">
        <v>8399</v>
      </c>
      <c r="B734" s="2" t="s">
        <v>3711</v>
      </c>
      <c r="C734" s="2">
        <v>43406</v>
      </c>
      <c r="D734" s="2">
        <v>43411</v>
      </c>
      <c r="E734" s="1">
        <f t="shared" si="56"/>
        <v>2018</v>
      </c>
      <c r="F734" s="2" t="str">
        <f t="shared" si="57"/>
        <v>Nov</v>
      </c>
      <c r="G734" s="1">
        <f t="shared" si="58"/>
        <v>11</v>
      </c>
      <c r="H734" s="1">
        <f t="shared" si="55"/>
        <v>5</v>
      </c>
      <c r="I734" s="1" t="s">
        <v>83</v>
      </c>
      <c r="J734" s="1" t="s">
        <v>3712</v>
      </c>
      <c r="K734" s="1" t="s">
        <v>3713</v>
      </c>
      <c r="L734" s="1" t="s">
        <v>131</v>
      </c>
      <c r="M734" s="1" t="s">
        <v>29</v>
      </c>
      <c r="N734" s="1" t="s">
        <v>52</v>
      </c>
      <c r="O734" s="1" t="s">
        <v>72</v>
      </c>
      <c r="P734" s="1">
        <v>45503</v>
      </c>
      <c r="Q734" s="1" t="s">
        <v>43</v>
      </c>
      <c r="R734" s="1" t="s">
        <v>3714</v>
      </c>
      <c r="S734" s="1" t="s">
        <v>45</v>
      </c>
      <c r="T734" s="1" t="s">
        <v>89</v>
      </c>
      <c r="U734" s="1" t="s">
        <v>3715</v>
      </c>
      <c r="V734" s="3">
        <v>155.37200000000001</v>
      </c>
      <c r="W734" s="1" t="str">
        <f t="shared" si="59"/>
        <v>Slow Delivery</v>
      </c>
    </row>
    <row r="735" spans="1:23" x14ac:dyDescent="0.25">
      <c r="A735" s="1">
        <v>415</v>
      </c>
      <c r="B735" s="2" t="s">
        <v>3716</v>
      </c>
      <c r="C735" s="2">
        <v>43407</v>
      </c>
      <c r="D735" s="2">
        <v>43411</v>
      </c>
      <c r="E735" s="1">
        <f t="shared" si="56"/>
        <v>2018</v>
      </c>
      <c r="F735" s="2" t="str">
        <f t="shared" si="57"/>
        <v>Nov</v>
      </c>
      <c r="G735" s="1">
        <f t="shared" si="58"/>
        <v>11</v>
      </c>
      <c r="H735" s="1">
        <f t="shared" si="55"/>
        <v>4</v>
      </c>
      <c r="I735" s="1" t="s">
        <v>25</v>
      </c>
      <c r="J735" s="1" t="s">
        <v>3717</v>
      </c>
      <c r="K735" s="1" t="s">
        <v>3718</v>
      </c>
      <c r="L735" s="1" t="s">
        <v>51</v>
      </c>
      <c r="M735" s="1" t="s">
        <v>29</v>
      </c>
      <c r="N735" s="1" t="s">
        <v>488</v>
      </c>
      <c r="O735" s="1" t="s">
        <v>424</v>
      </c>
      <c r="P735" s="1">
        <v>98105</v>
      </c>
      <c r="Q735" s="1" t="s">
        <v>107</v>
      </c>
      <c r="R735" s="1" t="s">
        <v>3719</v>
      </c>
      <c r="S735" s="1" t="s">
        <v>34</v>
      </c>
      <c r="T735" s="1" t="s">
        <v>174</v>
      </c>
      <c r="U735" s="1" t="s">
        <v>3720</v>
      </c>
      <c r="V735" s="3">
        <v>139.86000000000001</v>
      </c>
      <c r="W735" s="1" t="str">
        <f t="shared" si="59"/>
        <v>Slow Delivery</v>
      </c>
    </row>
    <row r="736" spans="1:23" x14ac:dyDescent="0.25">
      <c r="A736" s="1">
        <v>2271</v>
      </c>
      <c r="B736" s="2" t="s">
        <v>3721</v>
      </c>
      <c r="C736" s="2">
        <v>43436</v>
      </c>
      <c r="D736" s="2">
        <v>43441</v>
      </c>
      <c r="E736" s="1">
        <f t="shared" si="56"/>
        <v>2018</v>
      </c>
      <c r="F736" s="2" t="str">
        <f t="shared" si="57"/>
        <v>Dec</v>
      </c>
      <c r="G736" s="1">
        <f t="shared" si="58"/>
        <v>12</v>
      </c>
      <c r="H736" s="1">
        <f t="shared" si="55"/>
        <v>5</v>
      </c>
      <c r="I736" s="1" t="s">
        <v>25</v>
      </c>
      <c r="J736" s="1" t="s">
        <v>3722</v>
      </c>
      <c r="K736" s="1" t="s">
        <v>3723</v>
      </c>
      <c r="L736" s="1" t="s">
        <v>51</v>
      </c>
      <c r="M736" s="1" t="s">
        <v>29</v>
      </c>
      <c r="N736" s="1" t="s">
        <v>236</v>
      </c>
      <c r="O736" s="1" t="s">
        <v>190</v>
      </c>
      <c r="P736" s="1">
        <v>33180</v>
      </c>
      <c r="Q736" s="1" t="s">
        <v>54</v>
      </c>
      <c r="R736" s="1" t="s">
        <v>3724</v>
      </c>
      <c r="S736" s="1" t="s">
        <v>34</v>
      </c>
      <c r="T736" s="1" t="s">
        <v>35</v>
      </c>
      <c r="U736" s="1" t="s">
        <v>3725</v>
      </c>
      <c r="V736" s="3">
        <v>47.96</v>
      </c>
      <c r="W736" s="1" t="str">
        <f t="shared" si="59"/>
        <v>Slow Delivery</v>
      </c>
    </row>
    <row r="737" spans="1:23" x14ac:dyDescent="0.25">
      <c r="A737" s="1">
        <v>2574</v>
      </c>
      <c r="B737" s="2" t="s">
        <v>3726</v>
      </c>
      <c r="C737" s="2">
        <v>43290</v>
      </c>
      <c r="D737" s="2">
        <v>43295</v>
      </c>
      <c r="E737" s="1">
        <f t="shared" si="56"/>
        <v>2018</v>
      </c>
      <c r="F737" s="2" t="str">
        <f t="shared" si="57"/>
        <v>Jul</v>
      </c>
      <c r="G737" s="1">
        <f t="shared" si="58"/>
        <v>7</v>
      </c>
      <c r="H737" s="1">
        <f t="shared" si="55"/>
        <v>5</v>
      </c>
      <c r="I737" s="1" t="s">
        <v>25</v>
      </c>
      <c r="J737" s="1" t="s">
        <v>3727</v>
      </c>
      <c r="K737" s="1" t="s">
        <v>3728</v>
      </c>
      <c r="L737" s="1" t="s">
        <v>131</v>
      </c>
      <c r="M737" s="1" t="s">
        <v>29</v>
      </c>
      <c r="N737" s="1" t="s">
        <v>920</v>
      </c>
      <c r="O737" s="1" t="s">
        <v>2094</v>
      </c>
      <c r="P737" s="1">
        <v>47905</v>
      </c>
      <c r="Q737" s="1" t="s">
        <v>32</v>
      </c>
      <c r="R737" s="1" t="s">
        <v>3729</v>
      </c>
      <c r="S737" s="1" t="s">
        <v>45</v>
      </c>
      <c r="T737" s="1" t="s">
        <v>46</v>
      </c>
      <c r="U737" s="1" t="s">
        <v>3730</v>
      </c>
      <c r="V737" s="3">
        <v>526.45000000000005</v>
      </c>
      <c r="W737" s="1" t="str">
        <f t="shared" si="59"/>
        <v>Slow Delivery</v>
      </c>
    </row>
    <row r="738" spans="1:23" x14ac:dyDescent="0.25">
      <c r="A738" s="1">
        <v>1621</v>
      </c>
      <c r="B738" s="2" t="s">
        <v>3731</v>
      </c>
      <c r="C738" s="2">
        <v>43289</v>
      </c>
      <c r="D738" s="2">
        <v>43296</v>
      </c>
      <c r="E738" s="1">
        <f t="shared" si="56"/>
        <v>2018</v>
      </c>
      <c r="F738" s="2" t="str">
        <f t="shared" si="57"/>
        <v>Jul</v>
      </c>
      <c r="G738" s="1">
        <f t="shared" si="58"/>
        <v>7</v>
      </c>
      <c r="H738" s="1">
        <f t="shared" si="55"/>
        <v>7</v>
      </c>
      <c r="I738" s="1" t="s">
        <v>25</v>
      </c>
      <c r="J738" s="1" t="s">
        <v>3732</v>
      </c>
      <c r="K738" s="1" t="s">
        <v>3733</v>
      </c>
      <c r="L738" s="1" t="s">
        <v>28</v>
      </c>
      <c r="M738" s="1" t="s">
        <v>29</v>
      </c>
      <c r="N738" s="1" t="s">
        <v>423</v>
      </c>
      <c r="O738" s="1" t="s">
        <v>424</v>
      </c>
      <c r="P738" s="1">
        <v>98031</v>
      </c>
      <c r="Q738" s="1" t="s">
        <v>107</v>
      </c>
      <c r="R738" s="1" t="s">
        <v>3734</v>
      </c>
      <c r="S738" s="1" t="s">
        <v>45</v>
      </c>
      <c r="T738" s="1" t="s">
        <v>46</v>
      </c>
      <c r="U738" s="1" t="s">
        <v>3735</v>
      </c>
      <c r="V738" s="3">
        <v>198.46</v>
      </c>
      <c r="W738" s="1" t="str">
        <f t="shared" si="59"/>
        <v>Slow Delivery</v>
      </c>
    </row>
    <row r="739" spans="1:23" x14ac:dyDescent="0.25">
      <c r="A739" s="1">
        <v>6567</v>
      </c>
      <c r="B739" s="2" t="s">
        <v>3736</v>
      </c>
      <c r="C739" s="2">
        <v>43136</v>
      </c>
      <c r="D739" s="2">
        <v>43139</v>
      </c>
      <c r="E739" s="1">
        <f t="shared" si="56"/>
        <v>2018</v>
      </c>
      <c r="F739" s="2" t="str">
        <f t="shared" si="57"/>
        <v>Feb</v>
      </c>
      <c r="G739" s="1">
        <f t="shared" si="58"/>
        <v>2</v>
      </c>
      <c r="H739" s="1">
        <f t="shared" si="55"/>
        <v>3</v>
      </c>
      <c r="I739" s="1" t="s">
        <v>83</v>
      </c>
      <c r="J739" s="1" t="s">
        <v>3737</v>
      </c>
      <c r="K739" s="1" t="s">
        <v>3738</v>
      </c>
      <c r="L739" s="1" t="s">
        <v>28</v>
      </c>
      <c r="M739" s="1" t="s">
        <v>29</v>
      </c>
      <c r="N739" s="1" t="s">
        <v>3739</v>
      </c>
      <c r="O739" s="1" t="s">
        <v>31</v>
      </c>
      <c r="P739" s="1">
        <v>76706</v>
      </c>
      <c r="Q739" s="1" t="s">
        <v>32</v>
      </c>
      <c r="R739" s="1" t="s">
        <v>2294</v>
      </c>
      <c r="S739" s="1" t="s">
        <v>34</v>
      </c>
      <c r="T739" s="1" t="s">
        <v>109</v>
      </c>
      <c r="U739" s="1" t="s">
        <v>3740</v>
      </c>
      <c r="V739" s="3">
        <v>243.99199999999999</v>
      </c>
      <c r="W739" s="1" t="str">
        <f t="shared" si="59"/>
        <v>Fast Delivery</v>
      </c>
    </row>
    <row r="740" spans="1:23" x14ac:dyDescent="0.25">
      <c r="A740" s="1">
        <v>9252</v>
      </c>
      <c r="B740" s="2" t="s">
        <v>3741</v>
      </c>
      <c r="C740" s="2">
        <v>43161</v>
      </c>
      <c r="D740" s="2">
        <v>43167</v>
      </c>
      <c r="E740" s="1">
        <f t="shared" si="56"/>
        <v>2018</v>
      </c>
      <c r="F740" s="2" t="str">
        <f t="shared" si="57"/>
        <v>Mar</v>
      </c>
      <c r="G740" s="1">
        <f t="shared" si="58"/>
        <v>3</v>
      </c>
      <c r="H740" s="1">
        <f t="shared" si="55"/>
        <v>6</v>
      </c>
      <c r="I740" s="1" t="s">
        <v>25</v>
      </c>
      <c r="J740" s="1" t="s">
        <v>3742</v>
      </c>
      <c r="K740" s="1" t="s">
        <v>3743</v>
      </c>
      <c r="L740" s="1" t="s">
        <v>51</v>
      </c>
      <c r="M740" s="1" t="s">
        <v>29</v>
      </c>
      <c r="N740" s="1" t="s">
        <v>132</v>
      </c>
      <c r="O740" s="1" t="s">
        <v>106</v>
      </c>
      <c r="P740" s="1">
        <v>90008</v>
      </c>
      <c r="Q740" s="1" t="s">
        <v>107</v>
      </c>
      <c r="R740" s="1" t="s">
        <v>1495</v>
      </c>
      <c r="S740" s="1" t="s">
        <v>34</v>
      </c>
      <c r="T740" s="1" t="s">
        <v>109</v>
      </c>
      <c r="U740" s="1" t="s">
        <v>1496</v>
      </c>
      <c r="V740" s="3">
        <v>107.648</v>
      </c>
      <c r="W740" s="1" t="str">
        <f t="shared" si="59"/>
        <v>Slow Delivery</v>
      </c>
    </row>
    <row r="741" spans="1:23" x14ac:dyDescent="0.25">
      <c r="A741" s="1">
        <v>6576</v>
      </c>
      <c r="B741" s="2" t="s">
        <v>3744</v>
      </c>
      <c r="C741" s="2">
        <v>43162</v>
      </c>
      <c r="D741" s="2">
        <v>43167</v>
      </c>
      <c r="E741" s="1">
        <f t="shared" si="56"/>
        <v>2018</v>
      </c>
      <c r="F741" s="2" t="str">
        <f t="shared" si="57"/>
        <v>Mar</v>
      </c>
      <c r="G741" s="1">
        <f t="shared" si="58"/>
        <v>3</v>
      </c>
      <c r="H741" s="1">
        <f t="shared" si="55"/>
        <v>5</v>
      </c>
      <c r="I741" s="1" t="s">
        <v>25</v>
      </c>
      <c r="J741" s="1" t="s">
        <v>3745</v>
      </c>
      <c r="K741" s="1" t="s">
        <v>3746</v>
      </c>
      <c r="L741" s="1" t="s">
        <v>28</v>
      </c>
      <c r="M741" s="1" t="s">
        <v>29</v>
      </c>
      <c r="N741" s="1" t="s">
        <v>132</v>
      </c>
      <c r="O741" s="1" t="s">
        <v>106</v>
      </c>
      <c r="P741" s="1">
        <v>90008</v>
      </c>
      <c r="Q741" s="1" t="s">
        <v>107</v>
      </c>
      <c r="R741" s="1" t="s">
        <v>3747</v>
      </c>
      <c r="S741" s="1" t="s">
        <v>64</v>
      </c>
      <c r="T741" s="1" t="s">
        <v>65</v>
      </c>
      <c r="U741" s="1" t="s">
        <v>3748</v>
      </c>
      <c r="V741" s="3">
        <v>1049.44</v>
      </c>
      <c r="W741" s="1" t="str">
        <f t="shared" si="59"/>
        <v>Slow Delivery</v>
      </c>
    </row>
    <row r="742" spans="1:23" x14ac:dyDescent="0.25">
      <c r="A742" s="1">
        <v>8619</v>
      </c>
      <c r="B742" s="2" t="s">
        <v>3749</v>
      </c>
      <c r="C742" s="2">
        <v>43162</v>
      </c>
      <c r="D742" s="2">
        <v>43167</v>
      </c>
      <c r="E742" s="1">
        <f t="shared" si="56"/>
        <v>2018</v>
      </c>
      <c r="F742" s="2" t="str">
        <f t="shared" si="57"/>
        <v>Mar</v>
      </c>
      <c r="G742" s="1">
        <f t="shared" si="58"/>
        <v>3</v>
      </c>
      <c r="H742" s="1">
        <f t="shared" si="55"/>
        <v>5</v>
      </c>
      <c r="I742" s="1" t="s">
        <v>25</v>
      </c>
      <c r="J742" s="1" t="s">
        <v>3750</v>
      </c>
      <c r="K742" s="1" t="s">
        <v>3751</v>
      </c>
      <c r="L742" s="1" t="s">
        <v>51</v>
      </c>
      <c r="M742" s="1" t="s">
        <v>29</v>
      </c>
      <c r="N742" s="1" t="s">
        <v>132</v>
      </c>
      <c r="O742" s="1" t="s">
        <v>106</v>
      </c>
      <c r="P742" s="1">
        <v>90004</v>
      </c>
      <c r="Q742" s="1" t="s">
        <v>107</v>
      </c>
      <c r="R742" s="1" t="s">
        <v>2693</v>
      </c>
      <c r="S742" s="1" t="s">
        <v>45</v>
      </c>
      <c r="T742" s="1" t="s">
        <v>329</v>
      </c>
      <c r="U742" s="1" t="s">
        <v>2694</v>
      </c>
      <c r="V742" s="3">
        <v>399.67200000000003</v>
      </c>
      <c r="W742" s="1" t="str">
        <f t="shared" si="59"/>
        <v>Slow Delivery</v>
      </c>
    </row>
    <row r="743" spans="1:23" x14ac:dyDescent="0.25">
      <c r="A743" s="1">
        <v>6190</v>
      </c>
      <c r="B743" s="2" t="s">
        <v>3752</v>
      </c>
      <c r="C743" s="2">
        <v>43194</v>
      </c>
      <c r="D743" s="2">
        <v>43198</v>
      </c>
      <c r="E743" s="1">
        <f t="shared" si="56"/>
        <v>2018</v>
      </c>
      <c r="F743" s="2" t="str">
        <f t="shared" si="57"/>
        <v>Apr</v>
      </c>
      <c r="G743" s="1">
        <f t="shared" si="58"/>
        <v>4</v>
      </c>
      <c r="H743" s="1">
        <f t="shared" si="55"/>
        <v>4</v>
      </c>
      <c r="I743" s="1" t="s">
        <v>25</v>
      </c>
      <c r="J743" s="1" t="s">
        <v>3753</v>
      </c>
      <c r="K743" s="1" t="s">
        <v>3754</v>
      </c>
      <c r="L743" s="1" t="s">
        <v>28</v>
      </c>
      <c r="M743" s="1" t="s">
        <v>29</v>
      </c>
      <c r="N743" s="1" t="s">
        <v>3755</v>
      </c>
      <c r="O743" s="1" t="s">
        <v>222</v>
      </c>
      <c r="P743" s="1">
        <v>60016</v>
      </c>
      <c r="Q743" s="1" t="s">
        <v>32</v>
      </c>
      <c r="R743" s="1" t="s">
        <v>3756</v>
      </c>
      <c r="S743" s="1" t="s">
        <v>64</v>
      </c>
      <c r="T743" s="1" t="s">
        <v>159</v>
      </c>
      <c r="U743" s="1" t="s">
        <v>3757</v>
      </c>
      <c r="V743" s="3">
        <v>383.84</v>
      </c>
      <c r="W743" s="1" t="str">
        <f t="shared" si="59"/>
        <v>Slow Delivery</v>
      </c>
    </row>
    <row r="744" spans="1:23" x14ac:dyDescent="0.25">
      <c r="A744" s="1">
        <v>3193</v>
      </c>
      <c r="B744" s="2" t="s">
        <v>3758</v>
      </c>
      <c r="C744" s="2">
        <v>43255</v>
      </c>
      <c r="D744" s="2">
        <v>43259</v>
      </c>
      <c r="E744" s="1">
        <f t="shared" si="56"/>
        <v>2018</v>
      </c>
      <c r="F744" s="2" t="str">
        <f t="shared" si="57"/>
        <v>Jun</v>
      </c>
      <c r="G744" s="1">
        <f t="shared" si="58"/>
        <v>6</v>
      </c>
      <c r="H744" s="1">
        <f t="shared" si="55"/>
        <v>4</v>
      </c>
      <c r="I744" s="1" t="s">
        <v>25</v>
      </c>
      <c r="J744" s="1" t="s">
        <v>3759</v>
      </c>
      <c r="K744" s="1" t="s">
        <v>3760</v>
      </c>
      <c r="L744" s="1" t="s">
        <v>51</v>
      </c>
      <c r="M744" s="1" t="s">
        <v>29</v>
      </c>
      <c r="N744" s="1" t="s">
        <v>3761</v>
      </c>
      <c r="O744" s="1" t="s">
        <v>31</v>
      </c>
      <c r="P744" s="1">
        <v>77489</v>
      </c>
      <c r="Q744" s="1" t="s">
        <v>32</v>
      </c>
      <c r="R744" s="1" t="s">
        <v>3762</v>
      </c>
      <c r="S744" s="1" t="s">
        <v>34</v>
      </c>
      <c r="T744" s="1" t="s">
        <v>109</v>
      </c>
      <c r="U744" s="1" t="s">
        <v>3763</v>
      </c>
      <c r="V744" s="3">
        <v>6.37</v>
      </c>
      <c r="W744" s="1" t="str">
        <f t="shared" si="59"/>
        <v>Slow Delivery</v>
      </c>
    </row>
    <row r="745" spans="1:23" x14ac:dyDescent="0.25">
      <c r="A745" s="1">
        <v>3934</v>
      </c>
      <c r="B745" s="2" t="s">
        <v>3764</v>
      </c>
      <c r="C745" s="2">
        <v>43345</v>
      </c>
      <c r="D745" s="2">
        <v>43351</v>
      </c>
      <c r="E745" s="1">
        <f t="shared" si="56"/>
        <v>2018</v>
      </c>
      <c r="F745" s="2" t="str">
        <f t="shared" si="57"/>
        <v>Sep</v>
      </c>
      <c r="G745" s="1">
        <f t="shared" si="58"/>
        <v>9</v>
      </c>
      <c r="H745" s="1">
        <f t="shared" si="55"/>
        <v>6</v>
      </c>
      <c r="I745" s="1" t="s">
        <v>25</v>
      </c>
      <c r="J745" s="1" t="s">
        <v>3765</v>
      </c>
      <c r="K745" s="1" t="s">
        <v>3766</v>
      </c>
      <c r="L745" s="1" t="s">
        <v>28</v>
      </c>
      <c r="M745" s="1" t="s">
        <v>29</v>
      </c>
      <c r="N745" s="1" t="s">
        <v>2698</v>
      </c>
      <c r="O745" s="1" t="s">
        <v>106</v>
      </c>
      <c r="P745" s="1">
        <v>93309</v>
      </c>
      <c r="Q745" s="1" t="s">
        <v>107</v>
      </c>
      <c r="R745" s="1" t="s">
        <v>3767</v>
      </c>
      <c r="S745" s="1" t="s">
        <v>34</v>
      </c>
      <c r="T745" s="1" t="s">
        <v>35</v>
      </c>
      <c r="U745" s="1" t="s">
        <v>3768</v>
      </c>
      <c r="V745" s="3">
        <v>9.4</v>
      </c>
      <c r="W745" s="1" t="str">
        <f t="shared" si="59"/>
        <v>Slow Delivery</v>
      </c>
    </row>
    <row r="746" spans="1:23" x14ac:dyDescent="0.25">
      <c r="A746" s="1">
        <v>5636</v>
      </c>
      <c r="B746" s="2" t="s">
        <v>3769</v>
      </c>
      <c r="C746" s="2">
        <v>43346</v>
      </c>
      <c r="D746" s="2">
        <v>43351</v>
      </c>
      <c r="E746" s="1">
        <f t="shared" si="56"/>
        <v>2018</v>
      </c>
      <c r="F746" s="2" t="str">
        <f t="shared" si="57"/>
        <v>Sep</v>
      </c>
      <c r="G746" s="1">
        <f t="shared" si="58"/>
        <v>9</v>
      </c>
      <c r="H746" s="1">
        <f t="shared" si="55"/>
        <v>5</v>
      </c>
      <c r="I746" s="1" t="s">
        <v>25</v>
      </c>
      <c r="J746" s="1" t="s">
        <v>3770</v>
      </c>
      <c r="K746" s="1" t="s">
        <v>3771</v>
      </c>
      <c r="L746" s="1" t="s">
        <v>131</v>
      </c>
      <c r="M746" s="1" t="s">
        <v>29</v>
      </c>
      <c r="N746" s="1" t="s">
        <v>3772</v>
      </c>
      <c r="O746" s="1" t="s">
        <v>106</v>
      </c>
      <c r="P746" s="1">
        <v>91941</v>
      </c>
      <c r="Q746" s="1" t="s">
        <v>107</v>
      </c>
      <c r="R746" s="1" t="s">
        <v>3773</v>
      </c>
      <c r="S746" s="1" t="s">
        <v>34</v>
      </c>
      <c r="T746" s="1" t="s">
        <v>109</v>
      </c>
      <c r="U746" s="1" t="s">
        <v>3774</v>
      </c>
      <c r="V746" s="3">
        <v>82.56</v>
      </c>
      <c r="W746" s="1" t="str">
        <f t="shared" si="59"/>
        <v>Slow Delivery</v>
      </c>
    </row>
    <row r="747" spans="1:23" x14ac:dyDescent="0.25">
      <c r="A747" s="1">
        <v>5785</v>
      </c>
      <c r="B747" s="2" t="s">
        <v>3775</v>
      </c>
      <c r="C747" s="2">
        <v>43375</v>
      </c>
      <c r="D747" s="2">
        <v>43381</v>
      </c>
      <c r="E747" s="1">
        <f t="shared" si="56"/>
        <v>2018</v>
      </c>
      <c r="F747" s="2" t="str">
        <f t="shared" si="57"/>
        <v>Oct</v>
      </c>
      <c r="G747" s="1">
        <f t="shared" si="58"/>
        <v>10</v>
      </c>
      <c r="H747" s="1">
        <f t="shared" si="55"/>
        <v>6</v>
      </c>
      <c r="I747" s="1" t="s">
        <v>25</v>
      </c>
      <c r="J747" s="1" t="s">
        <v>3776</v>
      </c>
      <c r="K747" s="1" t="s">
        <v>3777</v>
      </c>
      <c r="L747" s="1" t="s">
        <v>28</v>
      </c>
      <c r="M747" s="1" t="s">
        <v>29</v>
      </c>
      <c r="N747" s="1" t="s">
        <v>52</v>
      </c>
      <c r="O747" s="1" t="s">
        <v>370</v>
      </c>
      <c r="P747" s="1">
        <v>97477</v>
      </c>
      <c r="Q747" s="1" t="s">
        <v>107</v>
      </c>
      <c r="R747" s="1" t="s">
        <v>3778</v>
      </c>
      <c r="S747" s="1" t="s">
        <v>45</v>
      </c>
      <c r="T747" s="1" t="s">
        <v>413</v>
      </c>
      <c r="U747" s="1" t="s">
        <v>3779</v>
      </c>
      <c r="V747" s="3">
        <v>217.76400000000001</v>
      </c>
      <c r="W747" s="1" t="str">
        <f t="shared" si="59"/>
        <v>Slow Delivery</v>
      </c>
    </row>
    <row r="748" spans="1:23" x14ac:dyDescent="0.25">
      <c r="A748" s="1">
        <v>2803</v>
      </c>
      <c r="B748" s="2" t="s">
        <v>3780</v>
      </c>
      <c r="C748" s="2">
        <v>43407</v>
      </c>
      <c r="D748" s="2">
        <v>43412</v>
      </c>
      <c r="E748" s="1">
        <f t="shared" si="56"/>
        <v>2018</v>
      </c>
      <c r="F748" s="2" t="str">
        <f t="shared" si="57"/>
        <v>Nov</v>
      </c>
      <c r="G748" s="1">
        <f t="shared" si="58"/>
        <v>11</v>
      </c>
      <c r="H748" s="1">
        <f t="shared" si="55"/>
        <v>5</v>
      </c>
      <c r="I748" s="1" t="s">
        <v>25</v>
      </c>
      <c r="J748" s="1" t="s">
        <v>3781</v>
      </c>
      <c r="K748" s="1" t="s">
        <v>3782</v>
      </c>
      <c r="L748" s="1" t="s">
        <v>28</v>
      </c>
      <c r="M748" s="1" t="s">
        <v>29</v>
      </c>
      <c r="N748" s="1" t="s">
        <v>3783</v>
      </c>
      <c r="O748" s="1" t="s">
        <v>1397</v>
      </c>
      <c r="P748" s="1">
        <v>88001</v>
      </c>
      <c r="Q748" s="1" t="s">
        <v>107</v>
      </c>
      <c r="R748" s="1" t="s">
        <v>3784</v>
      </c>
      <c r="S748" s="1" t="s">
        <v>45</v>
      </c>
      <c r="T748" s="1" t="s">
        <v>46</v>
      </c>
      <c r="U748" s="1" t="s">
        <v>3785</v>
      </c>
      <c r="V748" s="3">
        <v>41.37</v>
      </c>
      <c r="W748" s="1" t="str">
        <f t="shared" si="59"/>
        <v>Slow Delivery</v>
      </c>
    </row>
    <row r="749" spans="1:23" x14ac:dyDescent="0.25">
      <c r="A749" s="1">
        <v>6352</v>
      </c>
      <c r="B749" s="2" t="s">
        <v>3786</v>
      </c>
      <c r="C749" s="2">
        <v>43407</v>
      </c>
      <c r="D749" s="2">
        <v>43412</v>
      </c>
      <c r="E749" s="1">
        <f t="shared" si="56"/>
        <v>2018</v>
      </c>
      <c r="F749" s="2" t="str">
        <f t="shared" si="57"/>
        <v>Nov</v>
      </c>
      <c r="G749" s="1">
        <f t="shared" si="58"/>
        <v>11</v>
      </c>
      <c r="H749" s="1">
        <f t="shared" si="55"/>
        <v>5</v>
      </c>
      <c r="I749" s="1" t="s">
        <v>25</v>
      </c>
      <c r="J749" s="1" t="s">
        <v>3787</v>
      </c>
      <c r="K749" s="1" t="s">
        <v>3788</v>
      </c>
      <c r="L749" s="1" t="s">
        <v>51</v>
      </c>
      <c r="M749" s="1" t="s">
        <v>29</v>
      </c>
      <c r="N749" s="1" t="s">
        <v>236</v>
      </c>
      <c r="O749" s="1" t="s">
        <v>190</v>
      </c>
      <c r="P749" s="1">
        <v>33178</v>
      </c>
      <c r="Q749" s="1" t="s">
        <v>54</v>
      </c>
      <c r="R749" s="1" t="s">
        <v>3789</v>
      </c>
      <c r="S749" s="1" t="s">
        <v>64</v>
      </c>
      <c r="T749" s="1" t="s">
        <v>159</v>
      </c>
      <c r="U749" s="1" t="s">
        <v>3790</v>
      </c>
      <c r="V749" s="3">
        <v>361.37599999999998</v>
      </c>
      <c r="W749" s="1" t="str">
        <f t="shared" si="59"/>
        <v>Slow Delivery</v>
      </c>
    </row>
    <row r="750" spans="1:23" x14ac:dyDescent="0.25">
      <c r="A750" s="1">
        <v>7716</v>
      </c>
      <c r="B750" s="2" t="s">
        <v>3791</v>
      </c>
      <c r="C750" s="2">
        <v>43407</v>
      </c>
      <c r="D750" s="2">
        <v>43412</v>
      </c>
      <c r="E750" s="1">
        <f t="shared" si="56"/>
        <v>2018</v>
      </c>
      <c r="F750" s="2" t="str">
        <f t="shared" si="57"/>
        <v>Nov</v>
      </c>
      <c r="G750" s="1">
        <f t="shared" si="58"/>
        <v>11</v>
      </c>
      <c r="H750" s="1">
        <f t="shared" si="55"/>
        <v>5</v>
      </c>
      <c r="I750" s="1" t="s">
        <v>25</v>
      </c>
      <c r="J750" s="1" t="s">
        <v>3792</v>
      </c>
      <c r="K750" s="1" t="s">
        <v>3793</v>
      </c>
      <c r="L750" s="1" t="s">
        <v>28</v>
      </c>
      <c r="M750" s="1" t="s">
        <v>29</v>
      </c>
      <c r="N750" s="1" t="s">
        <v>410</v>
      </c>
      <c r="O750" s="1" t="s">
        <v>411</v>
      </c>
      <c r="P750" s="1">
        <v>19140</v>
      </c>
      <c r="Q750" s="1" t="s">
        <v>43</v>
      </c>
      <c r="R750" s="1" t="s">
        <v>3794</v>
      </c>
      <c r="S750" s="1" t="s">
        <v>64</v>
      </c>
      <c r="T750" s="1" t="s">
        <v>65</v>
      </c>
      <c r="U750" s="1" t="s">
        <v>3795</v>
      </c>
      <c r="V750" s="3">
        <v>40.776000000000003</v>
      </c>
      <c r="W750" s="1" t="str">
        <f t="shared" si="59"/>
        <v>Slow Delivery</v>
      </c>
    </row>
    <row r="751" spans="1:23" x14ac:dyDescent="0.25">
      <c r="A751" s="1">
        <v>6864</v>
      </c>
      <c r="B751" s="2" t="s">
        <v>3796</v>
      </c>
      <c r="C751" s="2">
        <v>43435</v>
      </c>
      <c r="D751" s="2">
        <v>43442</v>
      </c>
      <c r="E751" s="1">
        <f t="shared" si="56"/>
        <v>2018</v>
      </c>
      <c r="F751" s="2" t="str">
        <f t="shared" si="57"/>
        <v>Dec</v>
      </c>
      <c r="G751" s="1">
        <f t="shared" si="58"/>
        <v>12</v>
      </c>
      <c r="H751" s="1">
        <f t="shared" si="55"/>
        <v>7</v>
      </c>
      <c r="I751" s="1" t="s">
        <v>25</v>
      </c>
      <c r="J751" s="1" t="s">
        <v>3797</v>
      </c>
      <c r="K751" s="1" t="s">
        <v>3798</v>
      </c>
      <c r="L751" s="1" t="s">
        <v>51</v>
      </c>
      <c r="M751" s="1" t="s">
        <v>29</v>
      </c>
      <c r="N751" s="1" t="s">
        <v>938</v>
      </c>
      <c r="O751" s="1" t="s">
        <v>31</v>
      </c>
      <c r="P751" s="1">
        <v>78207</v>
      </c>
      <c r="Q751" s="1" t="s">
        <v>32</v>
      </c>
      <c r="R751" s="1" t="s">
        <v>3799</v>
      </c>
      <c r="S751" s="1" t="s">
        <v>34</v>
      </c>
      <c r="T751" s="1" t="s">
        <v>174</v>
      </c>
      <c r="U751" s="1" t="s">
        <v>3800</v>
      </c>
      <c r="V751" s="3">
        <v>10.368</v>
      </c>
      <c r="W751" s="1" t="str">
        <f t="shared" si="59"/>
        <v>Slow Delivery</v>
      </c>
    </row>
    <row r="752" spans="1:23" x14ac:dyDescent="0.25">
      <c r="A752" s="1">
        <v>2691</v>
      </c>
      <c r="B752" s="2" t="s">
        <v>3801</v>
      </c>
      <c r="C752" s="2">
        <v>43438</v>
      </c>
      <c r="D752" s="2">
        <v>43442</v>
      </c>
      <c r="E752" s="1">
        <f t="shared" si="56"/>
        <v>2018</v>
      </c>
      <c r="F752" s="2" t="str">
        <f t="shared" si="57"/>
        <v>Dec</v>
      </c>
      <c r="G752" s="1">
        <f t="shared" si="58"/>
        <v>12</v>
      </c>
      <c r="H752" s="1">
        <f t="shared" si="55"/>
        <v>4</v>
      </c>
      <c r="I752" s="1" t="s">
        <v>25</v>
      </c>
      <c r="J752" s="1" t="s">
        <v>3802</v>
      </c>
      <c r="K752" s="1" t="s">
        <v>3803</v>
      </c>
      <c r="L752" s="1" t="s">
        <v>28</v>
      </c>
      <c r="M752" s="1" t="s">
        <v>29</v>
      </c>
      <c r="N752" s="1" t="s">
        <v>410</v>
      </c>
      <c r="O752" s="1" t="s">
        <v>411</v>
      </c>
      <c r="P752" s="1">
        <v>19134</v>
      </c>
      <c r="Q752" s="1" t="s">
        <v>43</v>
      </c>
      <c r="R752" s="1" t="s">
        <v>693</v>
      </c>
      <c r="S752" s="1" t="s">
        <v>34</v>
      </c>
      <c r="T752" s="1" t="s">
        <v>109</v>
      </c>
      <c r="U752" s="1" t="s">
        <v>694</v>
      </c>
      <c r="V752" s="3">
        <v>5.3460000000000001</v>
      </c>
      <c r="W752" s="1" t="str">
        <f t="shared" si="59"/>
        <v>Slow Delivery</v>
      </c>
    </row>
    <row r="753" spans="1:23" x14ac:dyDescent="0.25">
      <c r="A753" s="1">
        <v>9608</v>
      </c>
      <c r="B753" s="2" t="s">
        <v>3804</v>
      </c>
      <c r="C753" s="2">
        <v>43439</v>
      </c>
      <c r="D753" s="2">
        <v>43442</v>
      </c>
      <c r="E753" s="1">
        <f t="shared" si="56"/>
        <v>2018</v>
      </c>
      <c r="F753" s="2" t="str">
        <f t="shared" si="57"/>
        <v>Dec</v>
      </c>
      <c r="G753" s="1">
        <f t="shared" si="58"/>
        <v>12</v>
      </c>
      <c r="H753" s="1">
        <f t="shared" si="55"/>
        <v>3</v>
      </c>
      <c r="I753" s="1" t="s">
        <v>83</v>
      </c>
      <c r="J753" s="1" t="s">
        <v>3805</v>
      </c>
      <c r="K753" s="1" t="s">
        <v>3806</v>
      </c>
      <c r="L753" s="1" t="s">
        <v>28</v>
      </c>
      <c r="M753" s="1" t="s">
        <v>29</v>
      </c>
      <c r="N753" s="1" t="s">
        <v>114</v>
      </c>
      <c r="O753" s="1" t="s">
        <v>115</v>
      </c>
      <c r="P753" s="1">
        <v>10024</v>
      </c>
      <c r="Q753" s="1" t="s">
        <v>43</v>
      </c>
      <c r="R753" s="1" t="s">
        <v>3807</v>
      </c>
      <c r="S753" s="1" t="s">
        <v>34</v>
      </c>
      <c r="T753" s="1" t="s">
        <v>174</v>
      </c>
      <c r="U753" s="1" t="s">
        <v>3808</v>
      </c>
      <c r="V753" s="3">
        <v>21.6</v>
      </c>
      <c r="W753" s="1" t="str">
        <f t="shared" si="59"/>
        <v>Fast Delivery</v>
      </c>
    </row>
    <row r="754" spans="1:23" x14ac:dyDescent="0.25">
      <c r="A754" s="1">
        <v>2863</v>
      </c>
      <c r="B754" s="2" t="s">
        <v>3809</v>
      </c>
      <c r="C754" s="2">
        <v>43324</v>
      </c>
      <c r="D754" s="2">
        <v>43329</v>
      </c>
      <c r="E754" s="1">
        <f t="shared" si="56"/>
        <v>2018</v>
      </c>
      <c r="F754" s="2" t="str">
        <f t="shared" si="57"/>
        <v>Aug</v>
      </c>
      <c r="G754" s="1">
        <f t="shared" si="58"/>
        <v>8</v>
      </c>
      <c r="H754" s="1">
        <f t="shared" si="55"/>
        <v>5</v>
      </c>
      <c r="I754" s="1" t="s">
        <v>25</v>
      </c>
      <c r="J754" s="1" t="s">
        <v>3810</v>
      </c>
      <c r="K754" s="1" t="s">
        <v>3811</v>
      </c>
      <c r="L754" s="1" t="s">
        <v>28</v>
      </c>
      <c r="M754" s="1" t="s">
        <v>29</v>
      </c>
      <c r="N754" s="1" t="s">
        <v>3812</v>
      </c>
      <c r="O754" s="1" t="s">
        <v>190</v>
      </c>
      <c r="P754" s="1">
        <v>32839</v>
      </c>
      <c r="Q754" s="1" t="s">
        <v>54</v>
      </c>
      <c r="R754" s="1" t="s">
        <v>3813</v>
      </c>
      <c r="S754" s="1" t="s">
        <v>34</v>
      </c>
      <c r="T754" s="1" t="s">
        <v>174</v>
      </c>
      <c r="U754" s="1" t="s">
        <v>3814</v>
      </c>
      <c r="V754" s="3">
        <v>20.736000000000001</v>
      </c>
      <c r="W754" s="1" t="str">
        <f t="shared" si="59"/>
        <v>Slow Delivery</v>
      </c>
    </row>
    <row r="755" spans="1:23" x14ac:dyDescent="0.25">
      <c r="A755" s="1">
        <v>5235</v>
      </c>
      <c r="B755" s="2" t="s">
        <v>3815</v>
      </c>
      <c r="C755" s="2">
        <v>43334</v>
      </c>
      <c r="D755" s="2">
        <v>43335</v>
      </c>
      <c r="E755" s="1">
        <f t="shared" si="56"/>
        <v>2018</v>
      </c>
      <c r="F755" s="2" t="str">
        <f t="shared" si="57"/>
        <v>Aug</v>
      </c>
      <c r="G755" s="1">
        <f t="shared" si="58"/>
        <v>8</v>
      </c>
      <c r="H755" s="1">
        <f t="shared" si="55"/>
        <v>1</v>
      </c>
      <c r="I755" s="1" t="s">
        <v>38</v>
      </c>
      <c r="J755" s="1" t="s">
        <v>3816</v>
      </c>
      <c r="K755" s="1" t="s">
        <v>3817</v>
      </c>
      <c r="L755" s="1" t="s">
        <v>28</v>
      </c>
      <c r="M755" s="1" t="s">
        <v>29</v>
      </c>
      <c r="N755" s="1" t="s">
        <v>105</v>
      </c>
      <c r="O755" s="1" t="s">
        <v>106</v>
      </c>
      <c r="P755" s="1">
        <v>94110</v>
      </c>
      <c r="Q755" s="1" t="s">
        <v>107</v>
      </c>
      <c r="R755" s="1" t="s">
        <v>1999</v>
      </c>
      <c r="S755" s="1" t="s">
        <v>45</v>
      </c>
      <c r="T755" s="1" t="s">
        <v>329</v>
      </c>
      <c r="U755" s="1" t="s">
        <v>2000</v>
      </c>
      <c r="V755" s="3">
        <v>210.00800000000001</v>
      </c>
      <c r="W755" s="1" t="str">
        <f t="shared" si="59"/>
        <v>Fast Delivery</v>
      </c>
    </row>
    <row r="756" spans="1:23" x14ac:dyDescent="0.25">
      <c r="A756" s="1">
        <v>6641</v>
      </c>
      <c r="B756" s="2" t="s">
        <v>3818</v>
      </c>
      <c r="C756" s="2">
        <v>43317</v>
      </c>
      <c r="D756" s="2">
        <v>43321</v>
      </c>
      <c r="E756" s="1">
        <f t="shared" si="56"/>
        <v>2018</v>
      </c>
      <c r="F756" s="2" t="str">
        <f t="shared" si="57"/>
        <v>Aug</v>
      </c>
      <c r="G756" s="1">
        <f t="shared" si="58"/>
        <v>8</v>
      </c>
      <c r="H756" s="1">
        <f t="shared" si="55"/>
        <v>4</v>
      </c>
      <c r="I756" s="1" t="s">
        <v>25</v>
      </c>
      <c r="J756" s="1" t="s">
        <v>3819</v>
      </c>
      <c r="K756" s="1" t="s">
        <v>3820</v>
      </c>
      <c r="L756" s="1" t="s">
        <v>28</v>
      </c>
      <c r="M756" s="1" t="s">
        <v>29</v>
      </c>
      <c r="N756" s="1" t="s">
        <v>2554</v>
      </c>
      <c r="O756" s="1" t="s">
        <v>2094</v>
      </c>
      <c r="P756" s="1">
        <v>46203</v>
      </c>
      <c r="Q756" s="1" t="s">
        <v>32</v>
      </c>
      <c r="R756" s="1" t="s">
        <v>3289</v>
      </c>
      <c r="S756" s="1" t="s">
        <v>34</v>
      </c>
      <c r="T756" s="1" t="s">
        <v>109</v>
      </c>
      <c r="U756" s="1" t="s">
        <v>3290</v>
      </c>
      <c r="V756" s="3">
        <v>125.88</v>
      </c>
      <c r="W756" s="1" t="str">
        <f t="shared" si="59"/>
        <v>Slow Delivery</v>
      </c>
    </row>
    <row r="757" spans="1:23" x14ac:dyDescent="0.25">
      <c r="A757" s="1">
        <v>3567</v>
      </c>
      <c r="B757" s="2" t="s">
        <v>3821</v>
      </c>
      <c r="C757" s="2">
        <v>43350</v>
      </c>
      <c r="D757" s="2">
        <v>43357</v>
      </c>
      <c r="E757" s="1">
        <f t="shared" si="56"/>
        <v>2018</v>
      </c>
      <c r="F757" s="2" t="str">
        <f t="shared" si="57"/>
        <v>Sep</v>
      </c>
      <c r="G757" s="1">
        <f t="shared" si="58"/>
        <v>9</v>
      </c>
      <c r="H757" s="1">
        <f t="shared" si="55"/>
        <v>7</v>
      </c>
      <c r="I757" s="1" t="s">
        <v>25</v>
      </c>
      <c r="J757" s="1" t="s">
        <v>3822</v>
      </c>
      <c r="K757" s="1" t="s">
        <v>3823</v>
      </c>
      <c r="L757" s="1" t="s">
        <v>131</v>
      </c>
      <c r="M757" s="1" t="s">
        <v>29</v>
      </c>
      <c r="N757" s="1" t="s">
        <v>3824</v>
      </c>
      <c r="O757" s="1" t="s">
        <v>87</v>
      </c>
      <c r="P757" s="1">
        <v>64055</v>
      </c>
      <c r="Q757" s="1" t="s">
        <v>32</v>
      </c>
      <c r="R757" s="1" t="s">
        <v>1739</v>
      </c>
      <c r="S757" s="1" t="s">
        <v>34</v>
      </c>
      <c r="T757" s="1" t="s">
        <v>109</v>
      </c>
      <c r="U757" s="1" t="s">
        <v>1740</v>
      </c>
      <c r="V757" s="3">
        <v>1577.94</v>
      </c>
      <c r="W757" s="1" t="str">
        <f t="shared" si="59"/>
        <v>Slow Delivery</v>
      </c>
    </row>
    <row r="758" spans="1:23" x14ac:dyDescent="0.25">
      <c r="A758" s="1">
        <v>6256</v>
      </c>
      <c r="B758" s="2" t="s">
        <v>3825</v>
      </c>
      <c r="C758" s="2">
        <v>43352</v>
      </c>
      <c r="D758" s="2">
        <v>43358</v>
      </c>
      <c r="E758" s="1">
        <f t="shared" si="56"/>
        <v>2018</v>
      </c>
      <c r="F758" s="2" t="str">
        <f t="shared" si="57"/>
        <v>Sep</v>
      </c>
      <c r="G758" s="1">
        <f t="shared" si="58"/>
        <v>9</v>
      </c>
      <c r="H758" s="1">
        <f t="shared" si="55"/>
        <v>6</v>
      </c>
      <c r="I758" s="1" t="s">
        <v>25</v>
      </c>
      <c r="J758" s="1" t="s">
        <v>3826</v>
      </c>
      <c r="K758" s="1" t="s">
        <v>3827</v>
      </c>
      <c r="L758" s="1" t="s">
        <v>51</v>
      </c>
      <c r="M758" s="1" t="s">
        <v>29</v>
      </c>
      <c r="N758" s="1" t="s">
        <v>3828</v>
      </c>
      <c r="O758" s="1" t="s">
        <v>31</v>
      </c>
      <c r="P758" s="1">
        <v>75023</v>
      </c>
      <c r="Q758" s="1" t="s">
        <v>32</v>
      </c>
      <c r="R758" s="1" t="s">
        <v>3284</v>
      </c>
      <c r="S758" s="1" t="s">
        <v>34</v>
      </c>
      <c r="T758" s="1" t="s">
        <v>56</v>
      </c>
      <c r="U758" s="1" t="s">
        <v>3285</v>
      </c>
      <c r="V758" s="3">
        <v>9.8559999999999999</v>
      </c>
      <c r="W758" s="1" t="str">
        <f t="shared" si="59"/>
        <v>Slow Delivery</v>
      </c>
    </row>
    <row r="759" spans="1:23" x14ac:dyDescent="0.25">
      <c r="A759" s="1">
        <v>1959</v>
      </c>
      <c r="B759" s="2" t="s">
        <v>3829</v>
      </c>
      <c r="C759" s="2">
        <v>43353</v>
      </c>
      <c r="D759" s="2">
        <v>43358</v>
      </c>
      <c r="E759" s="1">
        <f t="shared" si="56"/>
        <v>2018</v>
      </c>
      <c r="F759" s="2" t="str">
        <f t="shared" si="57"/>
        <v>Sep</v>
      </c>
      <c r="G759" s="1">
        <f t="shared" si="58"/>
        <v>9</v>
      </c>
      <c r="H759" s="1">
        <f t="shared" si="55"/>
        <v>5</v>
      </c>
      <c r="I759" s="1" t="s">
        <v>83</v>
      </c>
      <c r="J759" s="1" t="s">
        <v>3830</v>
      </c>
      <c r="K759" s="1" t="s">
        <v>3831</v>
      </c>
      <c r="L759" s="1" t="s">
        <v>28</v>
      </c>
      <c r="M759" s="1" t="s">
        <v>29</v>
      </c>
      <c r="N759" s="1" t="s">
        <v>52</v>
      </c>
      <c r="O759" s="1" t="s">
        <v>87</v>
      </c>
      <c r="P759" s="1">
        <v>65807</v>
      </c>
      <c r="Q759" s="1" t="s">
        <v>32</v>
      </c>
      <c r="R759" s="1" t="s">
        <v>3832</v>
      </c>
      <c r="S759" s="1" t="s">
        <v>34</v>
      </c>
      <c r="T759" s="1" t="s">
        <v>109</v>
      </c>
      <c r="U759" s="1" t="s">
        <v>3833</v>
      </c>
      <c r="V759" s="3">
        <v>16.2</v>
      </c>
      <c r="W759" s="1" t="str">
        <f t="shared" si="59"/>
        <v>Slow Delivery</v>
      </c>
    </row>
    <row r="760" spans="1:23" x14ac:dyDescent="0.25">
      <c r="A760" s="1">
        <v>1510</v>
      </c>
      <c r="B760" s="2" t="s">
        <v>3834</v>
      </c>
      <c r="C760" s="2">
        <v>43355</v>
      </c>
      <c r="D760" s="2">
        <v>43358</v>
      </c>
      <c r="E760" s="1">
        <f t="shared" si="56"/>
        <v>2018</v>
      </c>
      <c r="F760" s="2" t="str">
        <f t="shared" si="57"/>
        <v>Sep</v>
      </c>
      <c r="G760" s="1">
        <f t="shared" si="58"/>
        <v>9</v>
      </c>
      <c r="H760" s="1">
        <f t="shared" si="55"/>
        <v>3</v>
      </c>
      <c r="I760" s="1" t="s">
        <v>38</v>
      </c>
      <c r="J760" s="1" t="s">
        <v>3835</v>
      </c>
      <c r="K760" s="1" t="s">
        <v>3836</v>
      </c>
      <c r="L760" s="1" t="s">
        <v>28</v>
      </c>
      <c r="M760" s="1" t="s">
        <v>29</v>
      </c>
      <c r="N760" s="1" t="s">
        <v>132</v>
      </c>
      <c r="O760" s="1" t="s">
        <v>106</v>
      </c>
      <c r="P760" s="1">
        <v>90036</v>
      </c>
      <c r="Q760" s="1" t="s">
        <v>107</v>
      </c>
      <c r="R760" s="1" t="s">
        <v>1776</v>
      </c>
      <c r="S760" s="1" t="s">
        <v>45</v>
      </c>
      <c r="T760" s="1" t="s">
        <v>46</v>
      </c>
      <c r="U760" s="1" t="s">
        <v>1777</v>
      </c>
      <c r="V760" s="3">
        <v>8.36</v>
      </c>
      <c r="W760" s="1" t="str">
        <f t="shared" si="59"/>
        <v>Fast Delivery</v>
      </c>
    </row>
    <row r="761" spans="1:23" x14ac:dyDescent="0.25">
      <c r="A761" s="1">
        <v>6756</v>
      </c>
      <c r="B761" s="2" t="s">
        <v>3837</v>
      </c>
      <c r="C761" s="2">
        <v>43358</v>
      </c>
      <c r="D761" s="2">
        <v>43362</v>
      </c>
      <c r="E761" s="1">
        <f t="shared" si="56"/>
        <v>2018</v>
      </c>
      <c r="F761" s="2" t="str">
        <f t="shared" si="57"/>
        <v>Sep</v>
      </c>
      <c r="G761" s="1">
        <f t="shared" si="58"/>
        <v>9</v>
      </c>
      <c r="H761" s="1">
        <f t="shared" si="55"/>
        <v>4</v>
      </c>
      <c r="I761" s="1" t="s">
        <v>25</v>
      </c>
      <c r="J761" s="1" t="s">
        <v>3838</v>
      </c>
      <c r="K761" s="1" t="s">
        <v>3839</v>
      </c>
      <c r="L761" s="1" t="s">
        <v>51</v>
      </c>
      <c r="M761" s="1" t="s">
        <v>29</v>
      </c>
      <c r="N761" s="1" t="s">
        <v>521</v>
      </c>
      <c r="O761" s="1" t="s">
        <v>388</v>
      </c>
      <c r="P761" s="1">
        <v>8701</v>
      </c>
      <c r="Q761" s="1" t="s">
        <v>43</v>
      </c>
      <c r="R761" s="1" t="s">
        <v>2517</v>
      </c>
      <c r="S761" s="1" t="s">
        <v>45</v>
      </c>
      <c r="T761" s="1" t="s">
        <v>46</v>
      </c>
      <c r="U761" s="1" t="s">
        <v>2518</v>
      </c>
      <c r="V761" s="3">
        <v>47.4</v>
      </c>
      <c r="W761" s="1" t="str">
        <f t="shared" si="59"/>
        <v>Slow Delivery</v>
      </c>
    </row>
    <row r="762" spans="1:23" x14ac:dyDescent="0.25">
      <c r="A762" s="1">
        <v>5401</v>
      </c>
      <c r="B762" s="2" t="s">
        <v>3840</v>
      </c>
      <c r="C762" s="2">
        <v>43364</v>
      </c>
      <c r="D762" s="2">
        <v>43366</v>
      </c>
      <c r="E762" s="1">
        <f t="shared" si="56"/>
        <v>2018</v>
      </c>
      <c r="F762" s="2" t="str">
        <f t="shared" si="57"/>
        <v>Sep</v>
      </c>
      <c r="G762" s="1">
        <f t="shared" si="58"/>
        <v>9</v>
      </c>
      <c r="H762" s="1">
        <f t="shared" si="55"/>
        <v>2</v>
      </c>
      <c r="I762" s="1" t="s">
        <v>38</v>
      </c>
      <c r="J762" s="1" t="s">
        <v>3841</v>
      </c>
      <c r="K762" s="1" t="s">
        <v>3842</v>
      </c>
      <c r="L762" s="1" t="s">
        <v>28</v>
      </c>
      <c r="M762" s="1" t="s">
        <v>29</v>
      </c>
      <c r="N762" s="1" t="s">
        <v>488</v>
      </c>
      <c r="O762" s="1" t="s">
        <v>424</v>
      </c>
      <c r="P762" s="1">
        <v>98103</v>
      </c>
      <c r="Q762" s="1" t="s">
        <v>107</v>
      </c>
      <c r="R762" s="1" t="s">
        <v>3843</v>
      </c>
      <c r="S762" s="1" t="s">
        <v>64</v>
      </c>
      <c r="T762" s="1" t="s">
        <v>65</v>
      </c>
      <c r="U762" s="1" t="s">
        <v>3844</v>
      </c>
      <c r="V762" s="3">
        <v>71.98</v>
      </c>
      <c r="W762" s="1" t="str">
        <f t="shared" si="59"/>
        <v>Fast Delivery</v>
      </c>
    </row>
    <row r="763" spans="1:23" x14ac:dyDescent="0.25">
      <c r="A763" s="1">
        <v>7815</v>
      </c>
      <c r="B763" s="2" t="s">
        <v>3845</v>
      </c>
      <c r="C763" s="2">
        <v>43259</v>
      </c>
      <c r="D763" s="2">
        <v>43261</v>
      </c>
      <c r="E763" s="1">
        <f t="shared" si="56"/>
        <v>2018</v>
      </c>
      <c r="F763" s="2" t="str">
        <f t="shared" si="57"/>
        <v>Jun</v>
      </c>
      <c r="G763" s="1">
        <f t="shared" si="58"/>
        <v>6</v>
      </c>
      <c r="H763" s="1">
        <f t="shared" si="55"/>
        <v>2</v>
      </c>
      <c r="I763" s="1" t="s">
        <v>38</v>
      </c>
      <c r="J763" s="1" t="s">
        <v>3846</v>
      </c>
      <c r="K763" s="1" t="s">
        <v>3847</v>
      </c>
      <c r="L763" s="1" t="s">
        <v>131</v>
      </c>
      <c r="M763" s="1" t="s">
        <v>29</v>
      </c>
      <c r="N763" s="1" t="s">
        <v>132</v>
      </c>
      <c r="O763" s="1" t="s">
        <v>106</v>
      </c>
      <c r="P763" s="1">
        <v>90049</v>
      </c>
      <c r="Q763" s="1" t="s">
        <v>107</v>
      </c>
      <c r="R763" s="1" t="s">
        <v>3848</v>
      </c>
      <c r="S763" s="1" t="s">
        <v>45</v>
      </c>
      <c r="T763" s="1" t="s">
        <v>413</v>
      </c>
      <c r="U763" s="1" t="s">
        <v>3849</v>
      </c>
      <c r="V763" s="3">
        <v>1497.6659999999999</v>
      </c>
      <c r="W763" s="1" t="str">
        <f t="shared" si="59"/>
        <v>Fast Delivery</v>
      </c>
    </row>
    <row r="764" spans="1:23" x14ac:dyDescent="0.25">
      <c r="A764" s="1">
        <v>4230</v>
      </c>
      <c r="B764" s="2" t="s">
        <v>3850</v>
      </c>
      <c r="C764" s="2">
        <v>43286</v>
      </c>
      <c r="D764" s="2">
        <v>43291</v>
      </c>
      <c r="E764" s="1">
        <f t="shared" si="56"/>
        <v>2018</v>
      </c>
      <c r="F764" s="2" t="str">
        <f t="shared" si="57"/>
        <v>Jul</v>
      </c>
      <c r="G764" s="1">
        <f t="shared" si="58"/>
        <v>7</v>
      </c>
      <c r="H764" s="1">
        <f t="shared" si="55"/>
        <v>5</v>
      </c>
      <c r="I764" s="1" t="s">
        <v>25</v>
      </c>
      <c r="J764" s="1" t="s">
        <v>3851</v>
      </c>
      <c r="K764" s="1" t="s">
        <v>3852</v>
      </c>
      <c r="L764" s="1" t="s">
        <v>51</v>
      </c>
      <c r="M764" s="1" t="s">
        <v>29</v>
      </c>
      <c r="N764" s="1" t="s">
        <v>750</v>
      </c>
      <c r="O764" s="1" t="s">
        <v>31</v>
      </c>
      <c r="P764" s="1">
        <v>75220</v>
      </c>
      <c r="Q764" s="1" t="s">
        <v>32</v>
      </c>
      <c r="R764" s="1" t="s">
        <v>3485</v>
      </c>
      <c r="S764" s="1" t="s">
        <v>45</v>
      </c>
      <c r="T764" s="1" t="s">
        <v>46</v>
      </c>
      <c r="U764" s="1" t="s">
        <v>3486</v>
      </c>
      <c r="V764" s="3">
        <v>332.02800000000002</v>
      </c>
      <c r="W764" s="1" t="str">
        <f t="shared" si="59"/>
        <v>Slow Delivery</v>
      </c>
    </row>
    <row r="765" spans="1:23" x14ac:dyDescent="0.25">
      <c r="A765" s="1">
        <v>9467</v>
      </c>
      <c r="B765" s="2" t="s">
        <v>3853</v>
      </c>
      <c r="C765" s="2">
        <v>43409</v>
      </c>
      <c r="D765" s="2">
        <v>43414</v>
      </c>
      <c r="E765" s="1">
        <f t="shared" si="56"/>
        <v>2018</v>
      </c>
      <c r="F765" s="2" t="str">
        <f t="shared" si="57"/>
        <v>Nov</v>
      </c>
      <c r="G765" s="1">
        <f t="shared" si="58"/>
        <v>11</v>
      </c>
      <c r="H765" s="1">
        <f t="shared" si="55"/>
        <v>5</v>
      </c>
      <c r="I765" s="1" t="s">
        <v>83</v>
      </c>
      <c r="J765" s="1" t="s">
        <v>3854</v>
      </c>
      <c r="K765" s="1" t="s">
        <v>3855</v>
      </c>
      <c r="L765" s="1" t="s">
        <v>28</v>
      </c>
      <c r="M765" s="1" t="s">
        <v>29</v>
      </c>
      <c r="N765" s="1" t="s">
        <v>114</v>
      </c>
      <c r="O765" s="1" t="s">
        <v>115</v>
      </c>
      <c r="P765" s="1">
        <v>10024</v>
      </c>
      <c r="Q765" s="1" t="s">
        <v>43</v>
      </c>
      <c r="R765" s="1" t="s">
        <v>3856</v>
      </c>
      <c r="S765" s="1" t="s">
        <v>34</v>
      </c>
      <c r="T765" s="1" t="s">
        <v>109</v>
      </c>
      <c r="U765" s="1" t="s">
        <v>3857</v>
      </c>
      <c r="V765" s="3">
        <v>164.68799999999999</v>
      </c>
      <c r="W765" s="1" t="str">
        <f t="shared" si="59"/>
        <v>Slow Delivery</v>
      </c>
    </row>
    <row r="766" spans="1:23" x14ac:dyDescent="0.25">
      <c r="A766" s="1">
        <v>419</v>
      </c>
      <c r="B766" s="2" t="s">
        <v>3858</v>
      </c>
      <c r="C766" s="2">
        <v>43410</v>
      </c>
      <c r="D766" s="2">
        <v>43414</v>
      </c>
      <c r="E766" s="1">
        <f t="shared" si="56"/>
        <v>2018</v>
      </c>
      <c r="F766" s="2" t="str">
        <f t="shared" si="57"/>
        <v>Nov</v>
      </c>
      <c r="G766" s="1">
        <f t="shared" si="58"/>
        <v>11</v>
      </c>
      <c r="H766" s="1">
        <f t="shared" si="55"/>
        <v>4</v>
      </c>
      <c r="I766" s="1" t="s">
        <v>25</v>
      </c>
      <c r="J766" s="1" t="s">
        <v>3859</v>
      </c>
      <c r="K766" s="1" t="s">
        <v>3860</v>
      </c>
      <c r="L766" s="1" t="s">
        <v>51</v>
      </c>
      <c r="M766" s="1" t="s">
        <v>29</v>
      </c>
      <c r="N766" s="1" t="s">
        <v>164</v>
      </c>
      <c r="O766" s="1" t="s">
        <v>165</v>
      </c>
      <c r="P766" s="1">
        <v>40475</v>
      </c>
      <c r="Q766" s="1" t="s">
        <v>54</v>
      </c>
      <c r="R766" s="1" t="s">
        <v>3861</v>
      </c>
      <c r="S766" s="1" t="s">
        <v>34</v>
      </c>
      <c r="T766" s="1" t="s">
        <v>174</v>
      </c>
      <c r="U766" s="1" t="s">
        <v>3862</v>
      </c>
      <c r="V766" s="3">
        <v>5.78</v>
      </c>
      <c r="W766" s="1" t="str">
        <f t="shared" si="59"/>
        <v>Slow Delivery</v>
      </c>
    </row>
    <row r="767" spans="1:23" x14ac:dyDescent="0.25">
      <c r="A767" s="1">
        <v>7099</v>
      </c>
      <c r="B767" s="2" t="s">
        <v>3863</v>
      </c>
      <c r="C767" s="2">
        <v>43410</v>
      </c>
      <c r="D767" s="2">
        <v>43414</v>
      </c>
      <c r="E767" s="1">
        <f t="shared" si="56"/>
        <v>2018</v>
      </c>
      <c r="F767" s="2" t="str">
        <f t="shared" si="57"/>
        <v>Nov</v>
      </c>
      <c r="G767" s="1">
        <f t="shared" si="58"/>
        <v>11</v>
      </c>
      <c r="H767" s="1">
        <f t="shared" si="55"/>
        <v>4</v>
      </c>
      <c r="I767" s="1" t="s">
        <v>25</v>
      </c>
      <c r="J767" s="1" t="s">
        <v>3864</v>
      </c>
      <c r="K767" s="1" t="s">
        <v>3865</v>
      </c>
      <c r="L767" s="1" t="s">
        <v>28</v>
      </c>
      <c r="M767" s="1" t="s">
        <v>29</v>
      </c>
      <c r="N767" s="1" t="s">
        <v>114</v>
      </c>
      <c r="O767" s="1" t="s">
        <v>115</v>
      </c>
      <c r="P767" s="1">
        <v>10011</v>
      </c>
      <c r="Q767" s="1" t="s">
        <v>43</v>
      </c>
      <c r="R767" s="1" t="s">
        <v>3866</v>
      </c>
      <c r="S767" s="1" t="s">
        <v>34</v>
      </c>
      <c r="T767" s="1" t="s">
        <v>174</v>
      </c>
      <c r="U767" s="1" t="s">
        <v>3867</v>
      </c>
      <c r="V767" s="3">
        <v>318.95999999999998</v>
      </c>
      <c r="W767" s="1" t="str">
        <f t="shared" si="59"/>
        <v>Slow Delivery</v>
      </c>
    </row>
    <row r="768" spans="1:23" x14ac:dyDescent="0.25">
      <c r="A768" s="1">
        <v>6962</v>
      </c>
      <c r="B768" s="2" t="s">
        <v>3868</v>
      </c>
      <c r="C768" s="2">
        <v>43414</v>
      </c>
      <c r="D768" s="2">
        <v>43414</v>
      </c>
      <c r="E768" s="1">
        <f t="shared" si="56"/>
        <v>2018</v>
      </c>
      <c r="F768" s="2" t="str">
        <f t="shared" si="57"/>
        <v>Nov</v>
      </c>
      <c r="G768" s="1">
        <f t="shared" si="58"/>
        <v>11</v>
      </c>
      <c r="H768" s="1">
        <f t="shared" si="55"/>
        <v>0</v>
      </c>
      <c r="I768" s="1" t="s">
        <v>68</v>
      </c>
      <c r="J768" s="1" t="s">
        <v>3869</v>
      </c>
      <c r="K768" s="1" t="s">
        <v>3870</v>
      </c>
      <c r="L768" s="1" t="s">
        <v>131</v>
      </c>
      <c r="M768" s="1" t="s">
        <v>29</v>
      </c>
      <c r="N768" s="1" t="s">
        <v>2198</v>
      </c>
      <c r="O768" s="1" t="s">
        <v>106</v>
      </c>
      <c r="P768" s="1">
        <v>92503</v>
      </c>
      <c r="Q768" s="1" t="s">
        <v>107</v>
      </c>
      <c r="R768" s="1" t="s">
        <v>3871</v>
      </c>
      <c r="S768" s="1" t="s">
        <v>34</v>
      </c>
      <c r="T768" s="1" t="s">
        <v>35</v>
      </c>
      <c r="U768" s="1" t="s">
        <v>3872</v>
      </c>
      <c r="V768" s="3">
        <v>7.8</v>
      </c>
      <c r="W768" s="1" t="str">
        <f t="shared" si="59"/>
        <v>Fast Delivery</v>
      </c>
    </row>
    <row r="769" spans="1:23" x14ac:dyDescent="0.25">
      <c r="A769" s="1">
        <v>2762</v>
      </c>
      <c r="B769" s="2" t="s">
        <v>3873</v>
      </c>
      <c r="C769" s="2">
        <v>43385</v>
      </c>
      <c r="D769" s="2">
        <v>43387</v>
      </c>
      <c r="E769" s="1">
        <f t="shared" si="56"/>
        <v>2018</v>
      </c>
      <c r="F769" s="2" t="str">
        <f t="shared" si="57"/>
        <v>Oct</v>
      </c>
      <c r="G769" s="1">
        <f t="shared" si="58"/>
        <v>10</v>
      </c>
      <c r="H769" s="1">
        <f t="shared" si="55"/>
        <v>2</v>
      </c>
      <c r="I769" s="1" t="s">
        <v>38</v>
      </c>
      <c r="J769" s="1" t="s">
        <v>3874</v>
      </c>
      <c r="K769" s="1" t="s">
        <v>3875</v>
      </c>
      <c r="L769" s="1" t="s">
        <v>131</v>
      </c>
      <c r="M769" s="1" t="s">
        <v>29</v>
      </c>
      <c r="N769" s="1" t="s">
        <v>105</v>
      </c>
      <c r="O769" s="1" t="s">
        <v>106</v>
      </c>
      <c r="P769" s="1">
        <v>94110</v>
      </c>
      <c r="Q769" s="1" t="s">
        <v>107</v>
      </c>
      <c r="R769" s="1" t="s">
        <v>3876</v>
      </c>
      <c r="S769" s="1" t="s">
        <v>64</v>
      </c>
      <c r="T769" s="1" t="s">
        <v>65</v>
      </c>
      <c r="U769" s="1" t="s">
        <v>3877</v>
      </c>
      <c r="V769" s="3">
        <v>0.99</v>
      </c>
      <c r="W769" s="1" t="str">
        <f t="shared" si="59"/>
        <v>Fast Delivery</v>
      </c>
    </row>
    <row r="770" spans="1:23" x14ac:dyDescent="0.25">
      <c r="A770" s="1">
        <v>888</v>
      </c>
      <c r="B770" s="2" t="s">
        <v>3878</v>
      </c>
      <c r="C770" s="2">
        <v>43387</v>
      </c>
      <c r="D770" s="2">
        <v>43392</v>
      </c>
      <c r="E770" s="1">
        <f t="shared" si="56"/>
        <v>2018</v>
      </c>
      <c r="F770" s="2" t="str">
        <f t="shared" si="57"/>
        <v>Oct</v>
      </c>
      <c r="G770" s="1">
        <f t="shared" si="58"/>
        <v>10</v>
      </c>
      <c r="H770" s="1">
        <f t="shared" ref="H770:H794" si="60">D770-C770</f>
        <v>5</v>
      </c>
      <c r="I770" s="1" t="s">
        <v>25</v>
      </c>
      <c r="J770" s="1" t="s">
        <v>3879</v>
      </c>
      <c r="K770" s="1" t="s">
        <v>3880</v>
      </c>
      <c r="L770" s="1" t="s">
        <v>131</v>
      </c>
      <c r="M770" s="1" t="s">
        <v>29</v>
      </c>
      <c r="N770" s="1" t="s">
        <v>86</v>
      </c>
      <c r="O770" s="1" t="s">
        <v>794</v>
      </c>
      <c r="P770" s="1">
        <v>21044</v>
      </c>
      <c r="Q770" s="1" t="s">
        <v>43</v>
      </c>
      <c r="R770" s="1" t="s">
        <v>1665</v>
      </c>
      <c r="S770" s="1" t="s">
        <v>34</v>
      </c>
      <c r="T770" s="1" t="s">
        <v>109</v>
      </c>
      <c r="U770" s="1" t="s">
        <v>1666</v>
      </c>
      <c r="V770" s="3">
        <v>37.659999999999997</v>
      </c>
      <c r="W770" s="1" t="str">
        <f t="shared" si="59"/>
        <v>Slow Delivery</v>
      </c>
    </row>
    <row r="771" spans="1:23" x14ac:dyDescent="0.25">
      <c r="A771" s="1">
        <v>3057</v>
      </c>
      <c r="B771" s="2" t="s">
        <v>3881</v>
      </c>
      <c r="C771" s="2">
        <v>43392</v>
      </c>
      <c r="D771" s="2">
        <v>43397</v>
      </c>
      <c r="E771" s="1">
        <f t="shared" ref="E771:E794" si="61">YEAR(C771)</f>
        <v>2018</v>
      </c>
      <c r="F771" s="2" t="str">
        <f t="shared" ref="F771:F794" si="62">TEXT(C771,"mmm")</f>
        <v>Oct</v>
      </c>
      <c r="G771" s="1">
        <f t="shared" ref="G771:G794" si="63">MONTH(C771)</f>
        <v>10</v>
      </c>
      <c r="H771" s="1">
        <f t="shared" si="60"/>
        <v>5</v>
      </c>
      <c r="I771" s="1" t="s">
        <v>83</v>
      </c>
      <c r="J771" s="1" t="s">
        <v>3882</v>
      </c>
      <c r="K771" s="1" t="s">
        <v>3883</v>
      </c>
      <c r="L771" s="1" t="s">
        <v>51</v>
      </c>
      <c r="M771" s="1" t="s">
        <v>29</v>
      </c>
      <c r="N771" s="1" t="s">
        <v>105</v>
      </c>
      <c r="O771" s="1" t="s">
        <v>106</v>
      </c>
      <c r="P771" s="1">
        <v>94110</v>
      </c>
      <c r="Q771" s="1" t="s">
        <v>107</v>
      </c>
      <c r="R771" s="1" t="s">
        <v>3884</v>
      </c>
      <c r="S771" s="1" t="s">
        <v>34</v>
      </c>
      <c r="T771" s="1" t="s">
        <v>426</v>
      </c>
      <c r="U771" s="1" t="s">
        <v>3885</v>
      </c>
      <c r="V771" s="3">
        <v>8.9600000000000009</v>
      </c>
      <c r="W771" s="1" t="str">
        <f t="shared" ref="W771:W794" si="64">IF(H771&lt;=3,"Fast Delivery","Slow Delivery")</f>
        <v>Slow Delivery</v>
      </c>
    </row>
    <row r="772" spans="1:23" x14ac:dyDescent="0.25">
      <c r="A772" s="1">
        <v>527</v>
      </c>
      <c r="B772" s="2" t="s">
        <v>3886</v>
      </c>
      <c r="C772" s="2">
        <v>43394</v>
      </c>
      <c r="D772" s="2">
        <v>43399</v>
      </c>
      <c r="E772" s="1">
        <f t="shared" si="61"/>
        <v>2018</v>
      </c>
      <c r="F772" s="2" t="str">
        <f t="shared" si="62"/>
        <v>Oct</v>
      </c>
      <c r="G772" s="1">
        <f t="shared" si="63"/>
        <v>10</v>
      </c>
      <c r="H772" s="1">
        <f t="shared" si="60"/>
        <v>5</v>
      </c>
      <c r="I772" s="1" t="s">
        <v>25</v>
      </c>
      <c r="J772" s="1" t="s">
        <v>3887</v>
      </c>
      <c r="K772" s="1" t="s">
        <v>3888</v>
      </c>
      <c r="L772" s="1" t="s">
        <v>131</v>
      </c>
      <c r="M772" s="1" t="s">
        <v>29</v>
      </c>
      <c r="N772" s="1" t="s">
        <v>189</v>
      </c>
      <c r="O772" s="1" t="s">
        <v>190</v>
      </c>
      <c r="P772" s="1">
        <v>33801</v>
      </c>
      <c r="Q772" s="1" t="s">
        <v>54</v>
      </c>
      <c r="R772" s="1" t="s">
        <v>3889</v>
      </c>
      <c r="S772" s="1" t="s">
        <v>45</v>
      </c>
      <c r="T772" s="1" t="s">
        <v>89</v>
      </c>
      <c r="U772" s="1" t="s">
        <v>3890</v>
      </c>
      <c r="V772" s="3">
        <v>683.952</v>
      </c>
      <c r="W772" s="1" t="str">
        <f t="shared" si="64"/>
        <v>Slow Delivery</v>
      </c>
    </row>
    <row r="773" spans="1:23" x14ac:dyDescent="0.25">
      <c r="A773" s="1">
        <v>1261</v>
      </c>
      <c r="B773" s="2" t="s">
        <v>3891</v>
      </c>
      <c r="C773" s="2">
        <v>43396</v>
      </c>
      <c r="D773" s="2">
        <v>43400</v>
      </c>
      <c r="E773" s="1">
        <f t="shared" si="61"/>
        <v>2018</v>
      </c>
      <c r="F773" s="2" t="str">
        <f t="shared" si="62"/>
        <v>Oct</v>
      </c>
      <c r="G773" s="1">
        <f t="shared" si="63"/>
        <v>10</v>
      </c>
      <c r="H773" s="1">
        <f t="shared" si="60"/>
        <v>4</v>
      </c>
      <c r="I773" s="1" t="s">
        <v>25</v>
      </c>
      <c r="J773" s="1" t="s">
        <v>3892</v>
      </c>
      <c r="K773" s="1" t="s">
        <v>3893</v>
      </c>
      <c r="L773" s="1" t="s">
        <v>28</v>
      </c>
      <c r="M773" s="1" t="s">
        <v>29</v>
      </c>
      <c r="N773" s="1" t="s">
        <v>782</v>
      </c>
      <c r="O773" s="1" t="s">
        <v>190</v>
      </c>
      <c r="P773" s="1">
        <v>32216</v>
      </c>
      <c r="Q773" s="1" t="s">
        <v>54</v>
      </c>
      <c r="R773" s="1" t="s">
        <v>309</v>
      </c>
      <c r="S773" s="1" t="s">
        <v>64</v>
      </c>
      <c r="T773" s="1" t="s">
        <v>159</v>
      </c>
      <c r="U773" s="1" t="s">
        <v>310</v>
      </c>
      <c r="V773" s="3">
        <v>863.88</v>
      </c>
      <c r="W773" s="1" t="str">
        <f t="shared" si="64"/>
        <v>Slow Delivery</v>
      </c>
    </row>
    <row r="774" spans="1:23" x14ac:dyDescent="0.25">
      <c r="A774" s="1">
        <v>3735</v>
      </c>
      <c r="B774" s="2" t="s">
        <v>3894</v>
      </c>
      <c r="C774" s="2">
        <v>43165</v>
      </c>
      <c r="D774" s="2">
        <v>43170</v>
      </c>
      <c r="E774" s="1">
        <f t="shared" si="61"/>
        <v>2018</v>
      </c>
      <c r="F774" s="2" t="str">
        <f t="shared" si="62"/>
        <v>Mar</v>
      </c>
      <c r="G774" s="1">
        <f t="shared" si="63"/>
        <v>3</v>
      </c>
      <c r="H774" s="1">
        <f t="shared" si="60"/>
        <v>5</v>
      </c>
      <c r="I774" s="1" t="s">
        <v>83</v>
      </c>
      <c r="J774" s="1" t="s">
        <v>3895</v>
      </c>
      <c r="K774" s="1" t="s">
        <v>3896</v>
      </c>
      <c r="L774" s="1" t="s">
        <v>28</v>
      </c>
      <c r="M774" s="1" t="s">
        <v>29</v>
      </c>
      <c r="N774" s="1" t="s">
        <v>114</v>
      </c>
      <c r="O774" s="1" t="s">
        <v>115</v>
      </c>
      <c r="P774" s="1">
        <v>10011</v>
      </c>
      <c r="Q774" s="1" t="s">
        <v>43</v>
      </c>
      <c r="R774" s="1" t="s">
        <v>3897</v>
      </c>
      <c r="S774" s="1" t="s">
        <v>34</v>
      </c>
      <c r="T774" s="1" t="s">
        <v>174</v>
      </c>
      <c r="U774" s="1" t="s">
        <v>3898</v>
      </c>
      <c r="V774" s="3">
        <v>26.38</v>
      </c>
      <c r="W774" s="1" t="str">
        <f t="shared" si="64"/>
        <v>Slow Delivery</v>
      </c>
    </row>
    <row r="775" spans="1:23" x14ac:dyDescent="0.25">
      <c r="A775" s="1">
        <v>965</v>
      </c>
      <c r="B775" s="2" t="s">
        <v>3899</v>
      </c>
      <c r="C775" s="2">
        <v>43199</v>
      </c>
      <c r="D775" s="2">
        <v>43201</v>
      </c>
      <c r="E775" s="1">
        <f t="shared" si="61"/>
        <v>2018</v>
      </c>
      <c r="F775" s="2" t="str">
        <f t="shared" si="62"/>
        <v>Apr</v>
      </c>
      <c r="G775" s="1">
        <f t="shared" si="63"/>
        <v>4</v>
      </c>
      <c r="H775" s="1">
        <f t="shared" si="60"/>
        <v>2</v>
      </c>
      <c r="I775" s="1" t="s">
        <v>38</v>
      </c>
      <c r="J775" s="1" t="s">
        <v>3900</v>
      </c>
      <c r="K775" s="1" t="s">
        <v>3901</v>
      </c>
      <c r="L775" s="1" t="s">
        <v>131</v>
      </c>
      <c r="M775" s="1" t="s">
        <v>29</v>
      </c>
      <c r="N775" s="1" t="s">
        <v>114</v>
      </c>
      <c r="O775" s="1" t="s">
        <v>115</v>
      </c>
      <c r="P775" s="1">
        <v>10011</v>
      </c>
      <c r="Q775" s="1" t="s">
        <v>43</v>
      </c>
      <c r="R775" s="1" t="s">
        <v>3902</v>
      </c>
      <c r="S775" s="1" t="s">
        <v>34</v>
      </c>
      <c r="T775" s="1" t="s">
        <v>56</v>
      </c>
      <c r="U775" s="1" t="s">
        <v>3903</v>
      </c>
      <c r="V775" s="3">
        <v>9.82</v>
      </c>
      <c r="W775" s="1" t="str">
        <f t="shared" si="64"/>
        <v>Fast Delivery</v>
      </c>
    </row>
    <row r="776" spans="1:23" x14ac:dyDescent="0.25">
      <c r="A776" s="1">
        <v>5530</v>
      </c>
      <c r="B776" s="2" t="s">
        <v>3904</v>
      </c>
      <c r="C776" s="2">
        <v>43318</v>
      </c>
      <c r="D776" s="2">
        <v>43323</v>
      </c>
      <c r="E776" s="1">
        <f t="shared" si="61"/>
        <v>2018</v>
      </c>
      <c r="F776" s="2" t="str">
        <f t="shared" si="62"/>
        <v>Aug</v>
      </c>
      <c r="G776" s="1">
        <f t="shared" si="63"/>
        <v>8</v>
      </c>
      <c r="H776" s="1">
        <f t="shared" si="60"/>
        <v>5</v>
      </c>
      <c r="I776" s="1" t="s">
        <v>25</v>
      </c>
      <c r="J776" s="1" t="s">
        <v>3905</v>
      </c>
      <c r="K776" s="1" t="s">
        <v>3906</v>
      </c>
      <c r="L776" s="1" t="s">
        <v>51</v>
      </c>
      <c r="M776" s="1" t="s">
        <v>29</v>
      </c>
      <c r="N776" s="1" t="s">
        <v>3907</v>
      </c>
      <c r="O776" s="1" t="s">
        <v>31</v>
      </c>
      <c r="P776" s="1">
        <v>75104</v>
      </c>
      <c r="Q776" s="1" t="s">
        <v>32</v>
      </c>
      <c r="R776" s="1" t="s">
        <v>3908</v>
      </c>
      <c r="S776" s="1" t="s">
        <v>34</v>
      </c>
      <c r="T776" s="1" t="s">
        <v>174</v>
      </c>
      <c r="U776" s="1" t="s">
        <v>3909</v>
      </c>
      <c r="V776" s="3">
        <v>115.29600000000001</v>
      </c>
      <c r="W776" s="1" t="str">
        <f t="shared" si="64"/>
        <v>Slow Delivery</v>
      </c>
    </row>
    <row r="777" spans="1:23" x14ac:dyDescent="0.25">
      <c r="A777" s="1">
        <v>5653</v>
      </c>
      <c r="B777" s="2" t="s">
        <v>3910</v>
      </c>
      <c r="C777" s="2">
        <v>43379</v>
      </c>
      <c r="D777" s="2">
        <v>43384</v>
      </c>
      <c r="E777" s="1">
        <f t="shared" si="61"/>
        <v>2018</v>
      </c>
      <c r="F777" s="2" t="str">
        <f t="shared" si="62"/>
        <v>Oct</v>
      </c>
      <c r="G777" s="1">
        <f t="shared" si="63"/>
        <v>10</v>
      </c>
      <c r="H777" s="1">
        <f t="shared" si="60"/>
        <v>5</v>
      </c>
      <c r="I777" s="1" t="s">
        <v>25</v>
      </c>
      <c r="J777" s="1" t="s">
        <v>3911</v>
      </c>
      <c r="K777" s="1" t="s">
        <v>3912</v>
      </c>
      <c r="L777" s="1" t="s">
        <v>51</v>
      </c>
      <c r="M777" s="1" t="s">
        <v>29</v>
      </c>
      <c r="N777" s="1" t="s">
        <v>114</v>
      </c>
      <c r="O777" s="1" t="s">
        <v>115</v>
      </c>
      <c r="P777" s="1">
        <v>10009</v>
      </c>
      <c r="Q777" s="1" t="s">
        <v>43</v>
      </c>
      <c r="R777" s="1" t="s">
        <v>1199</v>
      </c>
      <c r="S777" s="1" t="s">
        <v>34</v>
      </c>
      <c r="T777" s="1" t="s">
        <v>174</v>
      </c>
      <c r="U777" s="1" t="s">
        <v>1200</v>
      </c>
      <c r="V777" s="3">
        <v>40.99</v>
      </c>
      <c r="W777" s="1" t="str">
        <f t="shared" si="64"/>
        <v>Slow Delivery</v>
      </c>
    </row>
    <row r="778" spans="1:23" x14ac:dyDescent="0.25">
      <c r="A778" s="1">
        <v>3675</v>
      </c>
      <c r="B778" s="2" t="s">
        <v>3913</v>
      </c>
      <c r="C778" s="2">
        <v>43410</v>
      </c>
      <c r="D778" s="2">
        <v>43415</v>
      </c>
      <c r="E778" s="1">
        <f t="shared" si="61"/>
        <v>2018</v>
      </c>
      <c r="F778" s="2" t="str">
        <f t="shared" si="62"/>
        <v>Nov</v>
      </c>
      <c r="G778" s="1">
        <f t="shared" si="63"/>
        <v>11</v>
      </c>
      <c r="H778" s="1">
        <f t="shared" si="60"/>
        <v>5</v>
      </c>
      <c r="I778" s="1" t="s">
        <v>25</v>
      </c>
      <c r="J778" s="1" t="s">
        <v>3914</v>
      </c>
      <c r="K778" s="1" t="s">
        <v>3915</v>
      </c>
      <c r="L778" s="1" t="s">
        <v>28</v>
      </c>
      <c r="M778" s="1" t="s">
        <v>29</v>
      </c>
      <c r="N778" s="1" t="s">
        <v>410</v>
      </c>
      <c r="O778" s="1" t="s">
        <v>411</v>
      </c>
      <c r="P778" s="1">
        <v>19143</v>
      </c>
      <c r="Q778" s="1" t="s">
        <v>43</v>
      </c>
      <c r="R778" s="1" t="s">
        <v>3916</v>
      </c>
      <c r="S778" s="1" t="s">
        <v>45</v>
      </c>
      <c r="T778" s="1" t="s">
        <v>89</v>
      </c>
      <c r="U778" s="1" t="s">
        <v>3917</v>
      </c>
      <c r="V778" s="3">
        <v>127.372</v>
      </c>
      <c r="W778" s="1" t="str">
        <f t="shared" si="64"/>
        <v>Slow Delivery</v>
      </c>
    </row>
    <row r="779" spans="1:23" x14ac:dyDescent="0.25">
      <c r="A779" s="1">
        <v>1364</v>
      </c>
      <c r="B779" s="2" t="s">
        <v>3918</v>
      </c>
      <c r="C779" s="2">
        <v>43414</v>
      </c>
      <c r="D779" s="2">
        <v>43415</v>
      </c>
      <c r="E779" s="1">
        <f t="shared" si="61"/>
        <v>2018</v>
      </c>
      <c r="F779" s="2" t="str">
        <f t="shared" si="62"/>
        <v>Nov</v>
      </c>
      <c r="G779" s="1">
        <f t="shared" si="63"/>
        <v>11</v>
      </c>
      <c r="H779" s="1">
        <f t="shared" si="60"/>
        <v>1</v>
      </c>
      <c r="I779" s="1" t="s">
        <v>38</v>
      </c>
      <c r="J779" s="1" t="s">
        <v>3919</v>
      </c>
      <c r="K779" s="1" t="s">
        <v>3920</v>
      </c>
      <c r="L779" s="1" t="s">
        <v>51</v>
      </c>
      <c r="M779" s="1" t="s">
        <v>29</v>
      </c>
      <c r="N779" s="1" t="s">
        <v>2586</v>
      </c>
      <c r="O779" s="1" t="s">
        <v>229</v>
      </c>
      <c r="P779" s="1">
        <v>85705</v>
      </c>
      <c r="Q779" s="1" t="s">
        <v>107</v>
      </c>
      <c r="R779" s="1" t="s">
        <v>3349</v>
      </c>
      <c r="S779" s="1" t="s">
        <v>34</v>
      </c>
      <c r="T779" s="1" t="s">
        <v>109</v>
      </c>
      <c r="U779" s="1" t="s">
        <v>3350</v>
      </c>
      <c r="V779" s="3">
        <v>38.387999999999998</v>
      </c>
      <c r="W779" s="1" t="str">
        <f t="shared" si="64"/>
        <v>Fast Delivery</v>
      </c>
    </row>
    <row r="780" spans="1:23" x14ac:dyDescent="0.25">
      <c r="A780" s="1">
        <v>4358</v>
      </c>
      <c r="B780" s="2" t="s">
        <v>3921</v>
      </c>
      <c r="C780" s="2">
        <v>43445</v>
      </c>
      <c r="D780" s="2">
        <v>43445</v>
      </c>
      <c r="E780" s="1">
        <f t="shared" si="61"/>
        <v>2018</v>
      </c>
      <c r="F780" s="2" t="str">
        <f t="shared" si="62"/>
        <v>Dec</v>
      </c>
      <c r="G780" s="1">
        <f t="shared" si="63"/>
        <v>12</v>
      </c>
      <c r="H780" s="1">
        <f t="shared" si="60"/>
        <v>0</v>
      </c>
      <c r="I780" s="1" t="s">
        <v>68</v>
      </c>
      <c r="J780" s="1" t="s">
        <v>3922</v>
      </c>
      <c r="K780" s="1" t="s">
        <v>3923</v>
      </c>
      <c r="L780" s="1" t="s">
        <v>28</v>
      </c>
      <c r="M780" s="1" t="s">
        <v>29</v>
      </c>
      <c r="N780" s="1" t="s">
        <v>715</v>
      </c>
      <c r="O780" s="1" t="s">
        <v>222</v>
      </c>
      <c r="P780" s="1">
        <v>60505</v>
      </c>
      <c r="Q780" s="1" t="s">
        <v>32</v>
      </c>
      <c r="R780" s="1" t="s">
        <v>2210</v>
      </c>
      <c r="S780" s="1" t="s">
        <v>34</v>
      </c>
      <c r="T780" s="1" t="s">
        <v>174</v>
      </c>
      <c r="U780" s="1" t="s">
        <v>2211</v>
      </c>
      <c r="V780" s="3">
        <v>10.368</v>
      </c>
      <c r="W780" s="1" t="str">
        <f t="shared" si="64"/>
        <v>Fast Delivery</v>
      </c>
    </row>
    <row r="781" spans="1:23" x14ac:dyDescent="0.25">
      <c r="A781" s="1">
        <v>3299</v>
      </c>
      <c r="B781" s="2" t="s">
        <v>3924</v>
      </c>
      <c r="C781" s="2">
        <v>43420</v>
      </c>
      <c r="D781" s="2">
        <v>43420</v>
      </c>
      <c r="E781" s="1">
        <f t="shared" si="61"/>
        <v>2018</v>
      </c>
      <c r="F781" s="2" t="str">
        <f t="shared" si="62"/>
        <v>Nov</v>
      </c>
      <c r="G781" s="1">
        <f t="shared" si="63"/>
        <v>11</v>
      </c>
      <c r="H781" s="1">
        <f t="shared" si="60"/>
        <v>0</v>
      </c>
      <c r="I781" s="1" t="s">
        <v>68</v>
      </c>
      <c r="J781" s="1" t="s">
        <v>3925</v>
      </c>
      <c r="K781" s="1" t="s">
        <v>3926</v>
      </c>
      <c r="L781" s="1" t="s">
        <v>51</v>
      </c>
      <c r="M781" s="1" t="s">
        <v>29</v>
      </c>
      <c r="N781" s="1" t="s">
        <v>105</v>
      </c>
      <c r="O781" s="1" t="s">
        <v>106</v>
      </c>
      <c r="P781" s="1">
        <v>94122</v>
      </c>
      <c r="Q781" s="1" t="s">
        <v>107</v>
      </c>
      <c r="R781" s="1" t="s">
        <v>3695</v>
      </c>
      <c r="S781" s="1" t="s">
        <v>64</v>
      </c>
      <c r="T781" s="1" t="s">
        <v>733</v>
      </c>
      <c r="U781" s="1" t="s">
        <v>3696</v>
      </c>
      <c r="V781" s="3">
        <v>1919.9760000000001</v>
      </c>
      <c r="W781" s="1" t="str">
        <f t="shared" si="64"/>
        <v>Fast Delivery</v>
      </c>
    </row>
    <row r="782" spans="1:23" x14ac:dyDescent="0.25">
      <c r="A782" s="1">
        <v>7769</v>
      </c>
      <c r="B782" s="2" t="s">
        <v>3927</v>
      </c>
      <c r="C782" s="2">
        <v>43416</v>
      </c>
      <c r="D782" s="2">
        <v>43421</v>
      </c>
      <c r="E782" s="1">
        <f t="shared" si="61"/>
        <v>2018</v>
      </c>
      <c r="F782" s="2" t="str">
        <f t="shared" si="62"/>
        <v>Nov</v>
      </c>
      <c r="G782" s="1">
        <f t="shared" si="63"/>
        <v>11</v>
      </c>
      <c r="H782" s="1">
        <f t="shared" si="60"/>
        <v>5</v>
      </c>
      <c r="I782" s="1" t="s">
        <v>25</v>
      </c>
      <c r="J782" s="1" t="s">
        <v>3928</v>
      </c>
      <c r="K782" s="1" t="s">
        <v>3929</v>
      </c>
      <c r="L782" s="1" t="s">
        <v>28</v>
      </c>
      <c r="M782" s="1" t="s">
        <v>29</v>
      </c>
      <c r="N782" s="1" t="s">
        <v>2288</v>
      </c>
      <c r="O782" s="1" t="s">
        <v>190</v>
      </c>
      <c r="P782" s="1">
        <v>32303</v>
      </c>
      <c r="Q782" s="1" t="s">
        <v>54</v>
      </c>
      <c r="R782" s="1" t="s">
        <v>3930</v>
      </c>
      <c r="S782" s="1" t="s">
        <v>34</v>
      </c>
      <c r="T782" s="1" t="s">
        <v>174</v>
      </c>
      <c r="U782" s="1" t="s">
        <v>3931</v>
      </c>
      <c r="V782" s="3">
        <v>26.72</v>
      </c>
      <c r="W782" s="1" t="str">
        <f t="shared" si="64"/>
        <v>Slow Delivery</v>
      </c>
    </row>
    <row r="783" spans="1:23" x14ac:dyDescent="0.25">
      <c r="A783" s="1">
        <v>4776</v>
      </c>
      <c r="B783" s="2" t="s">
        <v>3932</v>
      </c>
      <c r="C783" s="2">
        <v>43420</v>
      </c>
      <c r="D783" s="2">
        <v>43425</v>
      </c>
      <c r="E783" s="1">
        <f t="shared" si="61"/>
        <v>2018</v>
      </c>
      <c r="F783" s="2" t="str">
        <f t="shared" si="62"/>
        <v>Nov</v>
      </c>
      <c r="G783" s="1">
        <f t="shared" si="63"/>
        <v>11</v>
      </c>
      <c r="H783" s="1">
        <f t="shared" si="60"/>
        <v>5</v>
      </c>
      <c r="I783" s="1" t="s">
        <v>25</v>
      </c>
      <c r="J783" s="1" t="s">
        <v>3933</v>
      </c>
      <c r="K783" s="1" t="s">
        <v>3934</v>
      </c>
      <c r="L783" s="1" t="s">
        <v>131</v>
      </c>
      <c r="M783" s="1" t="s">
        <v>29</v>
      </c>
      <c r="N783" s="1" t="s">
        <v>339</v>
      </c>
      <c r="O783" s="1" t="s">
        <v>106</v>
      </c>
      <c r="P783" s="1">
        <v>92025</v>
      </c>
      <c r="Q783" s="1" t="s">
        <v>107</v>
      </c>
      <c r="R783" s="1" t="s">
        <v>3935</v>
      </c>
      <c r="S783" s="1" t="s">
        <v>34</v>
      </c>
      <c r="T783" s="1" t="s">
        <v>35</v>
      </c>
      <c r="U783" s="1" t="s">
        <v>3936</v>
      </c>
      <c r="V783" s="3">
        <v>23.36</v>
      </c>
      <c r="W783" s="1" t="str">
        <f t="shared" si="64"/>
        <v>Slow Delivery</v>
      </c>
    </row>
    <row r="784" spans="1:23" x14ac:dyDescent="0.25">
      <c r="A784" s="1">
        <v>4389</v>
      </c>
      <c r="B784" s="2" t="s">
        <v>3937</v>
      </c>
      <c r="C784" s="2">
        <v>43424</v>
      </c>
      <c r="D784" s="2">
        <v>43426</v>
      </c>
      <c r="E784" s="1">
        <f t="shared" si="61"/>
        <v>2018</v>
      </c>
      <c r="F784" s="2" t="str">
        <f t="shared" si="62"/>
        <v>Nov</v>
      </c>
      <c r="G784" s="1">
        <f t="shared" si="63"/>
        <v>11</v>
      </c>
      <c r="H784" s="1">
        <f t="shared" si="60"/>
        <v>2</v>
      </c>
      <c r="I784" s="1" t="s">
        <v>38</v>
      </c>
      <c r="J784" s="1" t="s">
        <v>3938</v>
      </c>
      <c r="K784" s="1" t="s">
        <v>3939</v>
      </c>
      <c r="L784" s="1" t="s">
        <v>28</v>
      </c>
      <c r="M784" s="1" t="s">
        <v>29</v>
      </c>
      <c r="N784" s="1" t="s">
        <v>114</v>
      </c>
      <c r="O784" s="1" t="s">
        <v>115</v>
      </c>
      <c r="P784" s="1">
        <v>10035</v>
      </c>
      <c r="Q784" s="1" t="s">
        <v>43</v>
      </c>
      <c r="R784" s="1" t="s">
        <v>3930</v>
      </c>
      <c r="S784" s="1" t="s">
        <v>34</v>
      </c>
      <c r="T784" s="1" t="s">
        <v>174</v>
      </c>
      <c r="U784" s="1" t="s">
        <v>3931</v>
      </c>
      <c r="V784" s="3">
        <v>46.76</v>
      </c>
      <c r="W784" s="1" t="str">
        <f t="shared" si="64"/>
        <v>Fast Delivery</v>
      </c>
    </row>
    <row r="785" spans="1:23" x14ac:dyDescent="0.25">
      <c r="A785" s="1">
        <v>5594</v>
      </c>
      <c r="B785" s="2" t="s">
        <v>3940</v>
      </c>
      <c r="C785" s="2">
        <v>43423</v>
      </c>
      <c r="D785" s="2">
        <v>43429</v>
      </c>
      <c r="E785" s="1">
        <f t="shared" si="61"/>
        <v>2018</v>
      </c>
      <c r="F785" s="2" t="str">
        <f t="shared" si="62"/>
        <v>Nov</v>
      </c>
      <c r="G785" s="1">
        <f t="shared" si="63"/>
        <v>11</v>
      </c>
      <c r="H785" s="1">
        <f t="shared" si="60"/>
        <v>6</v>
      </c>
      <c r="I785" s="1" t="s">
        <v>25</v>
      </c>
      <c r="J785" s="1" t="s">
        <v>3941</v>
      </c>
      <c r="K785" s="1" t="s">
        <v>3942</v>
      </c>
      <c r="L785" s="1" t="s">
        <v>28</v>
      </c>
      <c r="M785" s="1" t="s">
        <v>29</v>
      </c>
      <c r="N785" s="1" t="s">
        <v>2763</v>
      </c>
      <c r="O785" s="1" t="s">
        <v>72</v>
      </c>
      <c r="P785" s="1">
        <v>44105</v>
      </c>
      <c r="Q785" s="1" t="s">
        <v>43</v>
      </c>
      <c r="R785" s="1" t="s">
        <v>3943</v>
      </c>
      <c r="S785" s="1" t="s">
        <v>34</v>
      </c>
      <c r="T785" s="1" t="s">
        <v>109</v>
      </c>
      <c r="U785" s="1" t="s">
        <v>3944</v>
      </c>
      <c r="V785" s="3">
        <v>59.912999999999997</v>
      </c>
      <c r="W785" s="1" t="str">
        <f t="shared" si="64"/>
        <v>Slow Delivery</v>
      </c>
    </row>
    <row r="786" spans="1:23" x14ac:dyDescent="0.25">
      <c r="A786" s="1">
        <v>5371</v>
      </c>
      <c r="B786" s="2" t="s">
        <v>3945</v>
      </c>
      <c r="C786" s="2">
        <v>43198</v>
      </c>
      <c r="D786" s="2">
        <v>43202</v>
      </c>
      <c r="E786" s="1">
        <f t="shared" si="61"/>
        <v>2018</v>
      </c>
      <c r="F786" s="2" t="str">
        <f t="shared" si="62"/>
        <v>Apr</v>
      </c>
      <c r="G786" s="1">
        <f t="shared" si="63"/>
        <v>4</v>
      </c>
      <c r="H786" s="1">
        <f t="shared" si="60"/>
        <v>4</v>
      </c>
      <c r="I786" s="1" t="s">
        <v>25</v>
      </c>
      <c r="J786" s="1" t="s">
        <v>3946</v>
      </c>
      <c r="K786" s="1" t="s">
        <v>3947</v>
      </c>
      <c r="L786" s="1" t="s">
        <v>51</v>
      </c>
      <c r="M786" s="1" t="s">
        <v>29</v>
      </c>
      <c r="N786" s="1" t="s">
        <v>3948</v>
      </c>
      <c r="O786" s="1" t="s">
        <v>172</v>
      </c>
      <c r="P786" s="1">
        <v>48237</v>
      </c>
      <c r="Q786" s="1" t="s">
        <v>32</v>
      </c>
      <c r="R786" s="1" t="s">
        <v>3949</v>
      </c>
      <c r="S786" s="1" t="s">
        <v>45</v>
      </c>
      <c r="T786" s="1" t="s">
        <v>46</v>
      </c>
      <c r="U786" s="1" t="s">
        <v>3950</v>
      </c>
      <c r="V786" s="3">
        <v>273.95999999999998</v>
      </c>
      <c r="W786" s="1" t="str">
        <f t="shared" si="64"/>
        <v>Slow Delivery</v>
      </c>
    </row>
    <row r="787" spans="1:23" x14ac:dyDescent="0.25">
      <c r="A787" s="1">
        <v>347</v>
      </c>
      <c r="B787" s="2" t="s">
        <v>3951</v>
      </c>
      <c r="C787" s="2">
        <v>43289</v>
      </c>
      <c r="D787" s="2">
        <v>43293</v>
      </c>
      <c r="E787" s="1">
        <f t="shared" si="61"/>
        <v>2018</v>
      </c>
      <c r="F787" s="2" t="str">
        <f t="shared" si="62"/>
        <v>Jul</v>
      </c>
      <c r="G787" s="1">
        <f t="shared" si="63"/>
        <v>7</v>
      </c>
      <c r="H787" s="1">
        <f t="shared" si="60"/>
        <v>4</v>
      </c>
      <c r="I787" s="1" t="s">
        <v>25</v>
      </c>
      <c r="J787" s="1" t="s">
        <v>3952</v>
      </c>
      <c r="K787" s="1" t="s">
        <v>3953</v>
      </c>
      <c r="L787" s="1" t="s">
        <v>28</v>
      </c>
      <c r="M787" s="1" t="s">
        <v>29</v>
      </c>
      <c r="N787" s="1" t="s">
        <v>156</v>
      </c>
      <c r="O787" s="1" t="s">
        <v>157</v>
      </c>
      <c r="P787" s="1">
        <v>1852</v>
      </c>
      <c r="Q787" s="1" t="s">
        <v>43</v>
      </c>
      <c r="R787" s="1" t="s">
        <v>3954</v>
      </c>
      <c r="S787" s="1" t="s">
        <v>34</v>
      </c>
      <c r="T787" s="1" t="s">
        <v>35</v>
      </c>
      <c r="U787" s="1" t="s">
        <v>3955</v>
      </c>
      <c r="V787" s="3">
        <v>7.56</v>
      </c>
      <c r="W787" s="1" t="str">
        <f t="shared" si="64"/>
        <v>Slow Delivery</v>
      </c>
    </row>
    <row r="788" spans="1:23" x14ac:dyDescent="0.25">
      <c r="A788" s="1">
        <v>8405</v>
      </c>
      <c r="B788" s="2" t="s">
        <v>3956</v>
      </c>
      <c r="C788" s="2">
        <v>43289</v>
      </c>
      <c r="D788" s="2">
        <v>43293</v>
      </c>
      <c r="E788" s="1">
        <f t="shared" si="61"/>
        <v>2018</v>
      </c>
      <c r="F788" s="2" t="str">
        <f t="shared" si="62"/>
        <v>Jul</v>
      </c>
      <c r="G788" s="1">
        <f t="shared" si="63"/>
        <v>7</v>
      </c>
      <c r="H788" s="1">
        <f t="shared" si="60"/>
        <v>4</v>
      </c>
      <c r="I788" s="1" t="s">
        <v>25</v>
      </c>
      <c r="J788" s="1" t="s">
        <v>3957</v>
      </c>
      <c r="K788" s="1" t="s">
        <v>3958</v>
      </c>
      <c r="L788" s="1" t="s">
        <v>51</v>
      </c>
      <c r="M788" s="1" t="s">
        <v>29</v>
      </c>
      <c r="N788" s="1" t="s">
        <v>855</v>
      </c>
      <c r="O788" s="1" t="s">
        <v>42</v>
      </c>
      <c r="P788" s="1">
        <v>19711</v>
      </c>
      <c r="Q788" s="1" t="s">
        <v>43</v>
      </c>
      <c r="R788" s="1" t="s">
        <v>3959</v>
      </c>
      <c r="S788" s="1" t="s">
        <v>45</v>
      </c>
      <c r="T788" s="1" t="s">
        <v>46</v>
      </c>
      <c r="U788" s="1" t="s">
        <v>3960</v>
      </c>
      <c r="V788" s="3">
        <v>83.92</v>
      </c>
      <c r="W788" s="1" t="str">
        <f t="shared" si="64"/>
        <v>Slow Delivery</v>
      </c>
    </row>
    <row r="789" spans="1:23" x14ac:dyDescent="0.25">
      <c r="A789" s="1">
        <v>3574</v>
      </c>
      <c r="B789" s="2" t="s">
        <v>3961</v>
      </c>
      <c r="C789" s="2">
        <v>43319</v>
      </c>
      <c r="D789" s="2">
        <v>43324</v>
      </c>
      <c r="E789" s="1">
        <f t="shared" si="61"/>
        <v>2018</v>
      </c>
      <c r="F789" s="2" t="str">
        <f t="shared" si="62"/>
        <v>Aug</v>
      </c>
      <c r="G789" s="1">
        <f t="shared" si="63"/>
        <v>8</v>
      </c>
      <c r="H789" s="1">
        <f t="shared" si="60"/>
        <v>5</v>
      </c>
      <c r="I789" s="1" t="s">
        <v>25</v>
      </c>
      <c r="J789" s="1" t="s">
        <v>3962</v>
      </c>
      <c r="K789" s="1" t="s">
        <v>3963</v>
      </c>
      <c r="L789" s="1" t="s">
        <v>28</v>
      </c>
      <c r="M789" s="1" t="s">
        <v>29</v>
      </c>
      <c r="N789" s="1" t="s">
        <v>381</v>
      </c>
      <c r="O789" s="1" t="s">
        <v>115</v>
      </c>
      <c r="P789" s="1">
        <v>11561</v>
      </c>
      <c r="Q789" s="1" t="s">
        <v>43</v>
      </c>
      <c r="R789" s="1" t="s">
        <v>3964</v>
      </c>
      <c r="S789" s="1" t="s">
        <v>34</v>
      </c>
      <c r="T789" s="1" t="s">
        <v>35</v>
      </c>
      <c r="U789" s="1" t="s">
        <v>3965</v>
      </c>
      <c r="V789" s="3">
        <v>11.68</v>
      </c>
      <c r="W789" s="1" t="str">
        <f t="shared" si="64"/>
        <v>Slow Delivery</v>
      </c>
    </row>
    <row r="790" spans="1:23" x14ac:dyDescent="0.25">
      <c r="A790" s="1">
        <v>4182</v>
      </c>
      <c r="B790" s="2" t="s">
        <v>3966</v>
      </c>
      <c r="C790" s="2">
        <v>43379</v>
      </c>
      <c r="D790" s="2">
        <v>43385</v>
      </c>
      <c r="E790" s="1">
        <f t="shared" si="61"/>
        <v>2018</v>
      </c>
      <c r="F790" s="2" t="str">
        <f t="shared" si="62"/>
        <v>Oct</v>
      </c>
      <c r="G790" s="1">
        <f t="shared" si="63"/>
        <v>10</v>
      </c>
      <c r="H790" s="1">
        <f t="shared" si="60"/>
        <v>6</v>
      </c>
      <c r="I790" s="1" t="s">
        <v>25</v>
      </c>
      <c r="J790" s="1" t="s">
        <v>3967</v>
      </c>
      <c r="K790" s="1" t="s">
        <v>3968</v>
      </c>
      <c r="L790" s="1" t="s">
        <v>131</v>
      </c>
      <c r="M790" s="1" t="s">
        <v>29</v>
      </c>
      <c r="N790" s="1" t="s">
        <v>114</v>
      </c>
      <c r="O790" s="1" t="s">
        <v>115</v>
      </c>
      <c r="P790" s="1">
        <v>10035</v>
      </c>
      <c r="Q790" s="1" t="s">
        <v>43</v>
      </c>
      <c r="R790" s="1" t="s">
        <v>3969</v>
      </c>
      <c r="S790" s="1" t="s">
        <v>64</v>
      </c>
      <c r="T790" s="1" t="s">
        <v>65</v>
      </c>
      <c r="U790" s="1" t="s">
        <v>3970</v>
      </c>
      <c r="V790" s="3">
        <v>319.95999999999998</v>
      </c>
      <c r="W790" s="1" t="str">
        <f t="shared" si="64"/>
        <v>Slow Delivery</v>
      </c>
    </row>
    <row r="791" spans="1:23" x14ac:dyDescent="0.25">
      <c r="A791" s="1">
        <v>96</v>
      </c>
      <c r="B791" s="2" t="s">
        <v>3971</v>
      </c>
      <c r="C791" s="2">
        <v>43410</v>
      </c>
      <c r="D791" s="2">
        <v>43416</v>
      </c>
      <c r="E791" s="1">
        <f t="shared" si="61"/>
        <v>2018</v>
      </c>
      <c r="F791" s="2" t="str">
        <f t="shared" si="62"/>
        <v>Nov</v>
      </c>
      <c r="G791" s="1">
        <f t="shared" si="63"/>
        <v>11</v>
      </c>
      <c r="H791" s="1">
        <f t="shared" si="60"/>
        <v>6</v>
      </c>
      <c r="I791" s="1" t="s">
        <v>25</v>
      </c>
      <c r="J791" s="1" t="s">
        <v>3972</v>
      </c>
      <c r="K791" s="1" t="s">
        <v>3973</v>
      </c>
      <c r="L791" s="1" t="s">
        <v>131</v>
      </c>
      <c r="M791" s="1" t="s">
        <v>29</v>
      </c>
      <c r="N791" s="1" t="s">
        <v>369</v>
      </c>
      <c r="O791" s="1" t="s">
        <v>370</v>
      </c>
      <c r="P791" s="1">
        <v>97206</v>
      </c>
      <c r="Q791" s="1" t="s">
        <v>107</v>
      </c>
      <c r="R791" s="1" t="s">
        <v>3974</v>
      </c>
      <c r="S791" s="1" t="s">
        <v>34</v>
      </c>
      <c r="T791" s="1" t="s">
        <v>109</v>
      </c>
      <c r="U791" s="1" t="s">
        <v>3975</v>
      </c>
      <c r="V791" s="3">
        <v>5.6820000000000004</v>
      </c>
      <c r="W791" s="1" t="str">
        <f t="shared" si="64"/>
        <v>Slow Delivery</v>
      </c>
    </row>
    <row r="792" spans="1:23" x14ac:dyDescent="0.25">
      <c r="A792" s="1">
        <v>9482</v>
      </c>
      <c r="B792" s="2" t="s">
        <v>3976</v>
      </c>
      <c r="C792" s="2">
        <v>43410</v>
      </c>
      <c r="D792" s="2">
        <v>43416</v>
      </c>
      <c r="E792" s="1">
        <f t="shared" si="61"/>
        <v>2018</v>
      </c>
      <c r="F792" s="2" t="str">
        <f t="shared" si="62"/>
        <v>Nov</v>
      </c>
      <c r="G792" s="1">
        <f t="shared" si="63"/>
        <v>11</v>
      </c>
      <c r="H792" s="1">
        <f t="shared" si="60"/>
        <v>6</v>
      </c>
      <c r="I792" s="1" t="s">
        <v>25</v>
      </c>
      <c r="J792" s="1" t="s">
        <v>3977</v>
      </c>
      <c r="K792" s="1" t="s">
        <v>3978</v>
      </c>
      <c r="L792" s="1" t="s">
        <v>28</v>
      </c>
      <c r="M792" s="1" t="s">
        <v>29</v>
      </c>
      <c r="N792" s="1" t="s">
        <v>750</v>
      </c>
      <c r="O792" s="1" t="s">
        <v>31</v>
      </c>
      <c r="P792" s="1">
        <v>75220</v>
      </c>
      <c r="Q792" s="1" t="s">
        <v>32</v>
      </c>
      <c r="R792" s="1" t="s">
        <v>3979</v>
      </c>
      <c r="S792" s="1" t="s">
        <v>34</v>
      </c>
      <c r="T792" s="1" t="s">
        <v>270</v>
      </c>
      <c r="U792" s="1" t="s">
        <v>3980</v>
      </c>
      <c r="V792" s="3">
        <v>18.16</v>
      </c>
      <c r="W792" s="1" t="str">
        <f t="shared" si="64"/>
        <v>Slow Delivery</v>
      </c>
    </row>
    <row r="793" spans="1:23" x14ac:dyDescent="0.25">
      <c r="A793" s="1">
        <v>1866</v>
      </c>
      <c r="B793" s="2" t="s">
        <v>3981</v>
      </c>
      <c r="C793" s="2">
        <v>43416</v>
      </c>
      <c r="D793" s="2">
        <v>43416</v>
      </c>
      <c r="E793" s="1">
        <f t="shared" si="61"/>
        <v>2018</v>
      </c>
      <c r="F793" s="2" t="str">
        <f t="shared" si="62"/>
        <v>Nov</v>
      </c>
      <c r="G793" s="1">
        <f t="shared" si="63"/>
        <v>11</v>
      </c>
      <c r="H793" s="1">
        <f t="shared" si="60"/>
        <v>0</v>
      </c>
      <c r="I793" s="1" t="s">
        <v>68</v>
      </c>
      <c r="J793" s="1" t="s">
        <v>3982</v>
      </c>
      <c r="K793" s="1" t="s">
        <v>3983</v>
      </c>
      <c r="L793" s="1" t="s">
        <v>51</v>
      </c>
      <c r="M793" s="1" t="s">
        <v>29</v>
      </c>
      <c r="N793" s="1" t="s">
        <v>855</v>
      </c>
      <c r="O793" s="1" t="s">
        <v>72</v>
      </c>
      <c r="P793" s="1">
        <v>43055</v>
      </c>
      <c r="Q793" s="1" t="s">
        <v>43</v>
      </c>
      <c r="R793" s="1" t="s">
        <v>3984</v>
      </c>
      <c r="S793" s="1" t="s">
        <v>64</v>
      </c>
      <c r="T793" s="1" t="s">
        <v>159</v>
      </c>
      <c r="U793" s="1" t="s">
        <v>3985</v>
      </c>
      <c r="V793" s="3">
        <v>370.78199999999998</v>
      </c>
      <c r="W793" s="1" t="str">
        <f t="shared" si="64"/>
        <v>Fast Delivery</v>
      </c>
    </row>
    <row r="794" spans="1:23" x14ac:dyDescent="0.25">
      <c r="A794" s="1">
        <v>2728</v>
      </c>
      <c r="B794" s="2" t="s">
        <v>3986</v>
      </c>
      <c r="C794" s="2">
        <v>43456</v>
      </c>
      <c r="D794" s="2">
        <v>43458</v>
      </c>
      <c r="E794" s="1">
        <f t="shared" si="61"/>
        <v>2018</v>
      </c>
      <c r="F794" s="2" t="str">
        <f t="shared" si="62"/>
        <v>Dec</v>
      </c>
      <c r="G794" s="1">
        <f t="shared" si="63"/>
        <v>12</v>
      </c>
      <c r="H794" s="1">
        <f t="shared" si="60"/>
        <v>2</v>
      </c>
      <c r="I794" s="1" t="s">
        <v>38</v>
      </c>
      <c r="J794" s="1" t="s">
        <v>3987</v>
      </c>
      <c r="K794" s="1" t="s">
        <v>3988</v>
      </c>
      <c r="L794" s="1" t="s">
        <v>28</v>
      </c>
      <c r="M794" s="1" t="s">
        <v>29</v>
      </c>
      <c r="N794" s="1" t="s">
        <v>1658</v>
      </c>
      <c r="O794" s="1" t="s">
        <v>72</v>
      </c>
      <c r="P794" s="1">
        <v>43615</v>
      </c>
      <c r="Q794" s="1" t="s">
        <v>43</v>
      </c>
      <c r="R794" s="1" t="s">
        <v>3989</v>
      </c>
      <c r="S794" s="1" t="s">
        <v>34</v>
      </c>
      <c r="T794" s="1" t="s">
        <v>109</v>
      </c>
      <c r="U794" s="1" t="s">
        <v>3990</v>
      </c>
      <c r="V794" s="3">
        <v>1.641</v>
      </c>
      <c r="W794" s="1" t="str">
        <f t="shared" si="64"/>
        <v>Fast Delivery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Kumar Pandey</dc:creator>
  <cp:lastModifiedBy>Aarya Kumar Pandey</cp:lastModifiedBy>
  <dcterms:created xsi:type="dcterms:W3CDTF">2026-06-02T08:07:41Z</dcterms:created>
  <dcterms:modified xsi:type="dcterms:W3CDTF">2026-06-02T08:11:14Z</dcterms:modified>
</cp:coreProperties>
</file>