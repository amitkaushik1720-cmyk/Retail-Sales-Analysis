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https://d.docs.live.net/cbd1fc2e1ce1c7fc/Documents/"/>
    </mc:Choice>
  </mc:AlternateContent>
  <xr:revisionPtr revIDLastSave="2" documentId="8_{34565F97-9D98-492D-B467-F3626A3ACB86}" xr6:coauthVersionLast="47" xr6:coauthVersionMax="47" xr10:uidLastSave="{1E7A0BEB-D009-4F60-A9A6-60D34FFFA1FE}"/>
  <bookViews>
    <workbookView xWindow="3240" yWindow="3015" windowWidth="15375" windowHeight="7785" activeTab="2" xr2:uid="{00000000-000D-0000-FFFF-FFFF00000000}"/>
  </bookViews>
  <sheets>
    <sheet name="Sheet2" sheetId="3" r:id="rId1"/>
    <sheet name="Sales" sheetId="1" r:id="rId2"/>
    <sheet name="Dashboard" sheetId="5" r:id="rId3"/>
  </sheets>
  <definedNames>
    <definedName name="_xlnm._FilterDatabase" localSheetId="1" hidden="1">Sales!$F$1:$F$796</definedName>
    <definedName name="_xlchart.v5.0" hidden="1">Sheet2!$AD$5</definedName>
    <definedName name="_xlchart.v5.1" hidden="1">Sheet2!$AD$6:$AD$15</definedName>
    <definedName name="_xlchart.v5.10" hidden="1">Sheet2!$AH$5</definedName>
    <definedName name="_xlchart.v5.11" hidden="1">Sheet2!$AH$6:$AH$15</definedName>
    <definedName name="_xlchart.v5.2" hidden="1">Sheet2!$AE$5</definedName>
    <definedName name="_xlchart.v5.3" hidden="1">Sheet2!$AE$6:$AE$15</definedName>
    <definedName name="_xlchart.v5.4" hidden="1">Sheet2!$AG$5</definedName>
    <definedName name="_xlchart.v5.5" hidden="1">Sheet2!$AG$6:$AG$15</definedName>
    <definedName name="_xlchart.v5.6" hidden="1">Sheet2!$AH$5</definedName>
    <definedName name="_xlchart.v5.7" hidden="1">Sheet2!$AH$6:$AH$15</definedName>
    <definedName name="_xlchart.v5.8" hidden="1">Sheet2!$AG$5</definedName>
    <definedName name="_xlchart.v5.9" hidden="1">Sheet2!$AG$6:$AG$15</definedName>
    <definedName name="Slicer_Category">#N/A</definedName>
    <definedName name="Slicer_Month">#N/A</definedName>
    <definedName name="Slicer_Region">#N/A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1" l="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3" i="1"/>
  <c r="G4" i="1"/>
  <c r="G5" i="1"/>
  <c r="G6" i="1"/>
  <c r="G7" i="1"/>
  <c r="G8" i="1"/>
  <c r="G9" i="1"/>
  <c r="G10" i="1"/>
  <c r="G11" i="1"/>
  <c r="G12" i="1"/>
  <c r="G13" i="1"/>
  <c r="G14"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2" i="1"/>
  <c r="H13" i="1"/>
  <c r="W13"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2" i="1"/>
  <c r="H3" i="1"/>
  <c r="W3" i="1" s="1"/>
  <c r="H4" i="1"/>
  <c r="W4" i="1" s="1"/>
  <c r="H5" i="1"/>
  <c r="W5" i="1" s="1"/>
  <c r="H6" i="1"/>
  <c r="W6" i="1" s="1"/>
  <c r="H7" i="1"/>
  <c r="W7" i="1" s="1"/>
  <c r="H8" i="1"/>
  <c r="W8" i="1" s="1"/>
  <c r="H9" i="1"/>
  <c r="W9" i="1" s="1"/>
  <c r="H10" i="1"/>
  <c r="W10" i="1" s="1"/>
  <c r="H11" i="1"/>
  <c r="W11" i="1" s="1"/>
  <c r="H12" i="1"/>
  <c r="W12" i="1" s="1"/>
  <c r="H14" i="1"/>
  <c r="W14" i="1" s="1"/>
  <c r="H15" i="1"/>
  <c r="W15" i="1" s="1"/>
  <c r="H16" i="1"/>
  <c r="W16" i="1" s="1"/>
  <c r="H17" i="1"/>
  <c r="W17" i="1" s="1"/>
  <c r="H18" i="1"/>
  <c r="W18" i="1" s="1"/>
  <c r="H19" i="1"/>
  <c r="W19" i="1" s="1"/>
  <c r="H20" i="1"/>
  <c r="W20" i="1" s="1"/>
  <c r="H21" i="1"/>
  <c r="W21" i="1" s="1"/>
  <c r="H22" i="1"/>
  <c r="W22" i="1" s="1"/>
  <c r="H23" i="1"/>
  <c r="W23" i="1" s="1"/>
  <c r="H24" i="1"/>
  <c r="W24" i="1" s="1"/>
  <c r="H25" i="1"/>
  <c r="W25" i="1" s="1"/>
  <c r="H26" i="1"/>
  <c r="W26" i="1" s="1"/>
  <c r="H27" i="1"/>
  <c r="W27" i="1" s="1"/>
  <c r="H28" i="1"/>
  <c r="W28" i="1" s="1"/>
  <c r="H29" i="1"/>
  <c r="W29" i="1" s="1"/>
  <c r="H30" i="1"/>
  <c r="W30" i="1" s="1"/>
  <c r="H31" i="1"/>
  <c r="W31" i="1" s="1"/>
  <c r="H32" i="1"/>
  <c r="W32" i="1" s="1"/>
  <c r="H33" i="1"/>
  <c r="W33" i="1" s="1"/>
  <c r="H34" i="1"/>
  <c r="W34" i="1" s="1"/>
  <c r="H35" i="1"/>
  <c r="W35" i="1" s="1"/>
  <c r="H36" i="1"/>
  <c r="W36" i="1" s="1"/>
  <c r="H37" i="1"/>
  <c r="W37" i="1" s="1"/>
  <c r="H38" i="1"/>
  <c r="W38" i="1" s="1"/>
  <c r="H39" i="1"/>
  <c r="W39" i="1" s="1"/>
  <c r="H40" i="1"/>
  <c r="W40" i="1" s="1"/>
  <c r="H41" i="1"/>
  <c r="W41" i="1" s="1"/>
  <c r="H42" i="1"/>
  <c r="W42" i="1" s="1"/>
  <c r="H43" i="1"/>
  <c r="W43" i="1" s="1"/>
  <c r="H44" i="1"/>
  <c r="W44" i="1" s="1"/>
  <c r="H45" i="1"/>
  <c r="W45" i="1" s="1"/>
  <c r="H46" i="1"/>
  <c r="W46" i="1" s="1"/>
  <c r="H47" i="1"/>
  <c r="W47" i="1" s="1"/>
  <c r="H48" i="1"/>
  <c r="W48" i="1" s="1"/>
  <c r="H49" i="1"/>
  <c r="W49" i="1" s="1"/>
  <c r="H50" i="1"/>
  <c r="W50" i="1" s="1"/>
  <c r="H51" i="1"/>
  <c r="W51" i="1" s="1"/>
  <c r="H52" i="1"/>
  <c r="W52" i="1" s="1"/>
  <c r="H53" i="1"/>
  <c r="W53" i="1" s="1"/>
  <c r="H54" i="1"/>
  <c r="W54" i="1" s="1"/>
  <c r="H55" i="1"/>
  <c r="W55" i="1" s="1"/>
  <c r="H56" i="1"/>
  <c r="W56" i="1" s="1"/>
  <c r="H57" i="1"/>
  <c r="W57" i="1" s="1"/>
  <c r="H58" i="1"/>
  <c r="W58" i="1" s="1"/>
  <c r="H59" i="1"/>
  <c r="W59" i="1" s="1"/>
  <c r="H60" i="1"/>
  <c r="W60" i="1" s="1"/>
  <c r="H61" i="1"/>
  <c r="W61" i="1" s="1"/>
  <c r="H62" i="1"/>
  <c r="W62" i="1" s="1"/>
  <c r="H63" i="1"/>
  <c r="W63" i="1" s="1"/>
  <c r="H64" i="1"/>
  <c r="W64" i="1" s="1"/>
  <c r="H65" i="1"/>
  <c r="W65" i="1" s="1"/>
  <c r="H66" i="1"/>
  <c r="W66" i="1" s="1"/>
  <c r="H67" i="1"/>
  <c r="W67" i="1" s="1"/>
  <c r="H68" i="1"/>
  <c r="W68" i="1" s="1"/>
  <c r="H69" i="1"/>
  <c r="W69" i="1" s="1"/>
  <c r="H70" i="1"/>
  <c r="W70" i="1" s="1"/>
  <c r="H71" i="1"/>
  <c r="W71" i="1" s="1"/>
  <c r="H72" i="1"/>
  <c r="W72" i="1" s="1"/>
  <c r="H73" i="1"/>
  <c r="W73" i="1" s="1"/>
  <c r="H74" i="1"/>
  <c r="W74" i="1" s="1"/>
  <c r="H75" i="1"/>
  <c r="W75" i="1" s="1"/>
  <c r="H76" i="1"/>
  <c r="W76" i="1" s="1"/>
  <c r="H77" i="1"/>
  <c r="W77" i="1" s="1"/>
  <c r="H78" i="1"/>
  <c r="W78" i="1" s="1"/>
  <c r="H79" i="1"/>
  <c r="W79" i="1" s="1"/>
  <c r="H80" i="1"/>
  <c r="W80" i="1" s="1"/>
  <c r="H81" i="1"/>
  <c r="W81" i="1" s="1"/>
  <c r="H82" i="1"/>
  <c r="W82" i="1" s="1"/>
  <c r="H83" i="1"/>
  <c r="W83" i="1" s="1"/>
  <c r="H84" i="1"/>
  <c r="W84" i="1" s="1"/>
  <c r="H85" i="1"/>
  <c r="W85" i="1" s="1"/>
  <c r="H86" i="1"/>
  <c r="W86" i="1" s="1"/>
  <c r="H87" i="1"/>
  <c r="W87" i="1" s="1"/>
  <c r="H88" i="1"/>
  <c r="W88" i="1" s="1"/>
  <c r="H89" i="1"/>
  <c r="W89" i="1" s="1"/>
  <c r="H90" i="1"/>
  <c r="W90" i="1" s="1"/>
  <c r="H91" i="1"/>
  <c r="W91" i="1" s="1"/>
  <c r="H92" i="1"/>
  <c r="W92" i="1" s="1"/>
  <c r="H93" i="1"/>
  <c r="W93" i="1" s="1"/>
  <c r="H94" i="1"/>
  <c r="W94" i="1" s="1"/>
  <c r="H95" i="1"/>
  <c r="W95" i="1" s="1"/>
  <c r="H96" i="1"/>
  <c r="W96" i="1" s="1"/>
  <c r="H97" i="1"/>
  <c r="W97" i="1" s="1"/>
  <c r="H98" i="1"/>
  <c r="W98" i="1" s="1"/>
  <c r="H99" i="1"/>
  <c r="W99" i="1" s="1"/>
  <c r="H100" i="1"/>
  <c r="W100" i="1" s="1"/>
  <c r="H101" i="1"/>
  <c r="W101" i="1" s="1"/>
  <c r="H102" i="1"/>
  <c r="W102" i="1" s="1"/>
  <c r="H103" i="1"/>
  <c r="W103" i="1" s="1"/>
  <c r="H104" i="1"/>
  <c r="W104" i="1" s="1"/>
  <c r="H105" i="1"/>
  <c r="W105" i="1" s="1"/>
  <c r="H106" i="1"/>
  <c r="W106" i="1" s="1"/>
  <c r="H107" i="1"/>
  <c r="W107" i="1" s="1"/>
  <c r="H108" i="1"/>
  <c r="W108" i="1" s="1"/>
  <c r="H109" i="1"/>
  <c r="W109" i="1" s="1"/>
  <c r="H110" i="1"/>
  <c r="W110" i="1" s="1"/>
  <c r="H111" i="1"/>
  <c r="W111" i="1" s="1"/>
  <c r="H112" i="1"/>
  <c r="W112" i="1" s="1"/>
  <c r="H113" i="1"/>
  <c r="W113" i="1" s="1"/>
  <c r="H114" i="1"/>
  <c r="W114" i="1" s="1"/>
  <c r="H115" i="1"/>
  <c r="W115" i="1" s="1"/>
  <c r="H116" i="1"/>
  <c r="W116" i="1" s="1"/>
  <c r="H117" i="1"/>
  <c r="W117" i="1" s="1"/>
  <c r="H118" i="1"/>
  <c r="W118" i="1" s="1"/>
  <c r="H119" i="1"/>
  <c r="W119" i="1" s="1"/>
  <c r="H120" i="1"/>
  <c r="W120" i="1" s="1"/>
  <c r="H121" i="1"/>
  <c r="W121" i="1" s="1"/>
  <c r="H122" i="1"/>
  <c r="W122" i="1" s="1"/>
  <c r="H123" i="1"/>
  <c r="W123" i="1" s="1"/>
  <c r="H124" i="1"/>
  <c r="W124" i="1" s="1"/>
  <c r="H125" i="1"/>
  <c r="W125" i="1" s="1"/>
  <c r="H126" i="1"/>
  <c r="W126" i="1" s="1"/>
  <c r="H127" i="1"/>
  <c r="W127" i="1" s="1"/>
  <c r="H128" i="1"/>
  <c r="W128" i="1" s="1"/>
  <c r="H129" i="1"/>
  <c r="W129" i="1" s="1"/>
  <c r="H130" i="1"/>
  <c r="W130" i="1" s="1"/>
  <c r="H131" i="1"/>
  <c r="W131" i="1" s="1"/>
  <c r="H132" i="1"/>
  <c r="W132" i="1" s="1"/>
  <c r="H133" i="1"/>
  <c r="W133" i="1" s="1"/>
  <c r="H134" i="1"/>
  <c r="W134" i="1" s="1"/>
  <c r="H135" i="1"/>
  <c r="W135" i="1" s="1"/>
  <c r="H136" i="1"/>
  <c r="W136" i="1" s="1"/>
  <c r="H137" i="1"/>
  <c r="W137" i="1" s="1"/>
  <c r="H138" i="1"/>
  <c r="W138" i="1" s="1"/>
  <c r="H139" i="1"/>
  <c r="W139" i="1" s="1"/>
  <c r="H140" i="1"/>
  <c r="W140" i="1" s="1"/>
  <c r="H141" i="1"/>
  <c r="W141" i="1" s="1"/>
  <c r="H142" i="1"/>
  <c r="W142" i="1" s="1"/>
  <c r="H143" i="1"/>
  <c r="W143" i="1" s="1"/>
  <c r="H144" i="1"/>
  <c r="W144" i="1" s="1"/>
  <c r="H145" i="1"/>
  <c r="W145" i="1" s="1"/>
  <c r="H146" i="1"/>
  <c r="W146" i="1" s="1"/>
  <c r="H147" i="1"/>
  <c r="W147" i="1" s="1"/>
  <c r="H148" i="1"/>
  <c r="W148" i="1" s="1"/>
  <c r="H149" i="1"/>
  <c r="W149" i="1" s="1"/>
  <c r="H150" i="1"/>
  <c r="W150" i="1" s="1"/>
  <c r="H151" i="1"/>
  <c r="W151" i="1" s="1"/>
  <c r="H152" i="1"/>
  <c r="W152" i="1" s="1"/>
  <c r="H153" i="1"/>
  <c r="W153" i="1" s="1"/>
  <c r="H154" i="1"/>
  <c r="W154" i="1" s="1"/>
  <c r="H155" i="1"/>
  <c r="W155" i="1" s="1"/>
  <c r="H156" i="1"/>
  <c r="W156" i="1" s="1"/>
  <c r="H157" i="1"/>
  <c r="W157" i="1" s="1"/>
  <c r="H158" i="1"/>
  <c r="W158" i="1" s="1"/>
  <c r="H159" i="1"/>
  <c r="W159" i="1" s="1"/>
  <c r="H160" i="1"/>
  <c r="W160" i="1" s="1"/>
  <c r="H161" i="1"/>
  <c r="W161" i="1" s="1"/>
  <c r="H162" i="1"/>
  <c r="W162" i="1" s="1"/>
  <c r="H163" i="1"/>
  <c r="W163" i="1" s="1"/>
  <c r="H164" i="1"/>
  <c r="W164" i="1" s="1"/>
  <c r="H165" i="1"/>
  <c r="W165" i="1" s="1"/>
  <c r="H166" i="1"/>
  <c r="W166" i="1" s="1"/>
  <c r="H167" i="1"/>
  <c r="W167" i="1" s="1"/>
  <c r="H168" i="1"/>
  <c r="W168" i="1" s="1"/>
  <c r="H169" i="1"/>
  <c r="W169" i="1" s="1"/>
  <c r="H170" i="1"/>
  <c r="W170" i="1" s="1"/>
  <c r="H171" i="1"/>
  <c r="W171" i="1" s="1"/>
  <c r="H172" i="1"/>
  <c r="W172" i="1" s="1"/>
  <c r="H173" i="1"/>
  <c r="W173" i="1" s="1"/>
  <c r="H174" i="1"/>
  <c r="W174" i="1" s="1"/>
  <c r="H175" i="1"/>
  <c r="W175" i="1" s="1"/>
  <c r="H176" i="1"/>
  <c r="W176" i="1" s="1"/>
  <c r="H177" i="1"/>
  <c r="W177" i="1" s="1"/>
  <c r="H178" i="1"/>
  <c r="W178" i="1" s="1"/>
  <c r="H179" i="1"/>
  <c r="W179" i="1" s="1"/>
  <c r="H180" i="1"/>
  <c r="W180" i="1" s="1"/>
  <c r="H181" i="1"/>
  <c r="W181" i="1" s="1"/>
  <c r="H182" i="1"/>
  <c r="W182" i="1" s="1"/>
  <c r="H183" i="1"/>
  <c r="W183" i="1" s="1"/>
  <c r="H184" i="1"/>
  <c r="W184" i="1" s="1"/>
  <c r="H185" i="1"/>
  <c r="W185" i="1" s="1"/>
  <c r="H186" i="1"/>
  <c r="W186" i="1" s="1"/>
  <c r="H187" i="1"/>
  <c r="W187" i="1" s="1"/>
  <c r="H188" i="1"/>
  <c r="W188" i="1" s="1"/>
  <c r="H189" i="1"/>
  <c r="W189" i="1" s="1"/>
  <c r="H190" i="1"/>
  <c r="W190" i="1" s="1"/>
  <c r="H191" i="1"/>
  <c r="W191" i="1" s="1"/>
  <c r="H192" i="1"/>
  <c r="W192" i="1" s="1"/>
  <c r="H193" i="1"/>
  <c r="W193" i="1" s="1"/>
  <c r="H194" i="1"/>
  <c r="W194" i="1" s="1"/>
  <c r="H195" i="1"/>
  <c r="W195" i="1" s="1"/>
  <c r="H196" i="1"/>
  <c r="W196" i="1" s="1"/>
  <c r="H197" i="1"/>
  <c r="W197" i="1" s="1"/>
  <c r="H198" i="1"/>
  <c r="W198" i="1" s="1"/>
  <c r="H199" i="1"/>
  <c r="W199" i="1" s="1"/>
  <c r="H200" i="1"/>
  <c r="W200" i="1" s="1"/>
  <c r="H201" i="1"/>
  <c r="W201" i="1" s="1"/>
  <c r="H202" i="1"/>
  <c r="W202" i="1" s="1"/>
  <c r="H203" i="1"/>
  <c r="W203" i="1" s="1"/>
  <c r="H204" i="1"/>
  <c r="W204" i="1" s="1"/>
  <c r="H205" i="1"/>
  <c r="W205" i="1" s="1"/>
  <c r="H206" i="1"/>
  <c r="W206" i="1" s="1"/>
  <c r="H207" i="1"/>
  <c r="W207" i="1" s="1"/>
  <c r="H208" i="1"/>
  <c r="W208" i="1" s="1"/>
  <c r="H209" i="1"/>
  <c r="W209" i="1" s="1"/>
  <c r="H210" i="1"/>
  <c r="W210" i="1" s="1"/>
  <c r="H211" i="1"/>
  <c r="W211" i="1" s="1"/>
  <c r="H212" i="1"/>
  <c r="W212" i="1" s="1"/>
  <c r="H213" i="1"/>
  <c r="W213" i="1" s="1"/>
  <c r="H214" i="1"/>
  <c r="W214" i="1" s="1"/>
  <c r="H215" i="1"/>
  <c r="W215" i="1" s="1"/>
  <c r="H216" i="1"/>
  <c r="W216" i="1" s="1"/>
  <c r="H217" i="1"/>
  <c r="W217" i="1" s="1"/>
  <c r="H218" i="1"/>
  <c r="W218" i="1" s="1"/>
  <c r="H219" i="1"/>
  <c r="W219" i="1" s="1"/>
  <c r="H220" i="1"/>
  <c r="W220" i="1" s="1"/>
  <c r="H221" i="1"/>
  <c r="W221" i="1" s="1"/>
  <c r="H222" i="1"/>
  <c r="W222" i="1" s="1"/>
  <c r="H223" i="1"/>
  <c r="W223" i="1" s="1"/>
  <c r="H224" i="1"/>
  <c r="W224" i="1" s="1"/>
  <c r="H225" i="1"/>
  <c r="W225" i="1" s="1"/>
  <c r="H226" i="1"/>
  <c r="W226" i="1" s="1"/>
  <c r="H227" i="1"/>
  <c r="W227" i="1" s="1"/>
  <c r="H228" i="1"/>
  <c r="W228" i="1" s="1"/>
  <c r="H229" i="1"/>
  <c r="W229" i="1" s="1"/>
  <c r="H230" i="1"/>
  <c r="W230" i="1" s="1"/>
  <c r="H231" i="1"/>
  <c r="W231" i="1" s="1"/>
  <c r="H232" i="1"/>
  <c r="W232" i="1" s="1"/>
  <c r="H233" i="1"/>
  <c r="W233" i="1" s="1"/>
  <c r="H234" i="1"/>
  <c r="W234" i="1" s="1"/>
  <c r="H235" i="1"/>
  <c r="W235" i="1" s="1"/>
  <c r="H236" i="1"/>
  <c r="W236" i="1" s="1"/>
  <c r="H237" i="1"/>
  <c r="W237" i="1" s="1"/>
  <c r="H238" i="1"/>
  <c r="W238" i="1" s="1"/>
  <c r="H239" i="1"/>
  <c r="W239" i="1" s="1"/>
  <c r="H240" i="1"/>
  <c r="W240" i="1" s="1"/>
  <c r="H241" i="1"/>
  <c r="W241" i="1" s="1"/>
  <c r="H242" i="1"/>
  <c r="W242" i="1" s="1"/>
  <c r="H243" i="1"/>
  <c r="W243" i="1" s="1"/>
  <c r="H244" i="1"/>
  <c r="W244" i="1" s="1"/>
  <c r="H245" i="1"/>
  <c r="W245" i="1" s="1"/>
  <c r="H246" i="1"/>
  <c r="W246" i="1" s="1"/>
  <c r="H247" i="1"/>
  <c r="W247" i="1" s="1"/>
  <c r="H248" i="1"/>
  <c r="W248" i="1" s="1"/>
  <c r="H249" i="1"/>
  <c r="W249" i="1" s="1"/>
  <c r="H250" i="1"/>
  <c r="W250" i="1" s="1"/>
  <c r="H251" i="1"/>
  <c r="W251" i="1" s="1"/>
  <c r="H252" i="1"/>
  <c r="W252" i="1" s="1"/>
  <c r="H253" i="1"/>
  <c r="W253" i="1" s="1"/>
  <c r="H254" i="1"/>
  <c r="W254" i="1" s="1"/>
  <c r="H255" i="1"/>
  <c r="W255" i="1" s="1"/>
  <c r="H256" i="1"/>
  <c r="W256" i="1" s="1"/>
  <c r="H257" i="1"/>
  <c r="W257" i="1" s="1"/>
  <c r="H258" i="1"/>
  <c r="W258" i="1" s="1"/>
  <c r="H259" i="1"/>
  <c r="W259" i="1" s="1"/>
  <c r="H260" i="1"/>
  <c r="W260" i="1" s="1"/>
  <c r="H261" i="1"/>
  <c r="W261" i="1" s="1"/>
  <c r="H262" i="1"/>
  <c r="W262" i="1" s="1"/>
  <c r="H263" i="1"/>
  <c r="W263" i="1" s="1"/>
  <c r="H264" i="1"/>
  <c r="W264" i="1" s="1"/>
  <c r="H265" i="1"/>
  <c r="W265" i="1" s="1"/>
  <c r="H266" i="1"/>
  <c r="W266" i="1" s="1"/>
  <c r="H267" i="1"/>
  <c r="W267" i="1" s="1"/>
  <c r="H268" i="1"/>
  <c r="W268" i="1" s="1"/>
  <c r="H269" i="1"/>
  <c r="W269" i="1" s="1"/>
  <c r="H270" i="1"/>
  <c r="W270" i="1" s="1"/>
  <c r="H271" i="1"/>
  <c r="W271" i="1" s="1"/>
  <c r="H272" i="1"/>
  <c r="W272" i="1" s="1"/>
  <c r="H273" i="1"/>
  <c r="W273" i="1" s="1"/>
  <c r="H274" i="1"/>
  <c r="W274" i="1" s="1"/>
  <c r="H275" i="1"/>
  <c r="W275" i="1" s="1"/>
  <c r="H276" i="1"/>
  <c r="W276" i="1" s="1"/>
  <c r="H277" i="1"/>
  <c r="W277" i="1" s="1"/>
  <c r="H278" i="1"/>
  <c r="W278" i="1" s="1"/>
  <c r="H279" i="1"/>
  <c r="W279" i="1" s="1"/>
  <c r="H280" i="1"/>
  <c r="W280" i="1" s="1"/>
  <c r="H281" i="1"/>
  <c r="W281" i="1" s="1"/>
  <c r="H282" i="1"/>
  <c r="W282" i="1" s="1"/>
  <c r="H283" i="1"/>
  <c r="W283" i="1" s="1"/>
  <c r="H284" i="1"/>
  <c r="W284" i="1" s="1"/>
  <c r="H285" i="1"/>
  <c r="W285" i="1" s="1"/>
  <c r="H286" i="1"/>
  <c r="W286" i="1" s="1"/>
  <c r="H287" i="1"/>
  <c r="W287" i="1" s="1"/>
  <c r="H288" i="1"/>
  <c r="W288" i="1" s="1"/>
  <c r="H289" i="1"/>
  <c r="W289" i="1" s="1"/>
  <c r="H290" i="1"/>
  <c r="W290" i="1" s="1"/>
  <c r="H291" i="1"/>
  <c r="W291" i="1" s="1"/>
  <c r="H292" i="1"/>
  <c r="W292" i="1" s="1"/>
  <c r="H293" i="1"/>
  <c r="W293" i="1" s="1"/>
  <c r="H294" i="1"/>
  <c r="W294" i="1" s="1"/>
  <c r="H295" i="1"/>
  <c r="W295" i="1" s="1"/>
  <c r="H296" i="1"/>
  <c r="W296" i="1" s="1"/>
  <c r="H297" i="1"/>
  <c r="W297" i="1" s="1"/>
  <c r="H298" i="1"/>
  <c r="W298" i="1" s="1"/>
  <c r="H299" i="1"/>
  <c r="W299" i="1" s="1"/>
  <c r="H300" i="1"/>
  <c r="W300" i="1" s="1"/>
  <c r="H301" i="1"/>
  <c r="W301" i="1" s="1"/>
  <c r="H302" i="1"/>
  <c r="W302" i="1" s="1"/>
  <c r="H303" i="1"/>
  <c r="W303" i="1" s="1"/>
  <c r="H304" i="1"/>
  <c r="W304" i="1" s="1"/>
  <c r="H305" i="1"/>
  <c r="W305" i="1" s="1"/>
  <c r="H306" i="1"/>
  <c r="W306" i="1" s="1"/>
  <c r="H307" i="1"/>
  <c r="W307" i="1" s="1"/>
  <c r="H308" i="1"/>
  <c r="W308" i="1" s="1"/>
  <c r="H309" i="1"/>
  <c r="W309" i="1" s="1"/>
  <c r="H310" i="1"/>
  <c r="W310" i="1" s="1"/>
  <c r="H311" i="1"/>
  <c r="W311" i="1" s="1"/>
  <c r="H312" i="1"/>
  <c r="W312" i="1" s="1"/>
  <c r="H313" i="1"/>
  <c r="W313" i="1" s="1"/>
  <c r="H314" i="1"/>
  <c r="W314" i="1" s="1"/>
  <c r="H315" i="1"/>
  <c r="W315" i="1" s="1"/>
  <c r="H316" i="1"/>
  <c r="W316" i="1" s="1"/>
  <c r="H317" i="1"/>
  <c r="W317" i="1" s="1"/>
  <c r="H318" i="1"/>
  <c r="W318" i="1" s="1"/>
  <c r="H319" i="1"/>
  <c r="W319" i="1" s="1"/>
  <c r="H320" i="1"/>
  <c r="W320" i="1" s="1"/>
  <c r="H321" i="1"/>
  <c r="W321" i="1" s="1"/>
  <c r="H322" i="1"/>
  <c r="W322" i="1" s="1"/>
  <c r="H323" i="1"/>
  <c r="W323" i="1" s="1"/>
  <c r="H324" i="1"/>
  <c r="W324" i="1" s="1"/>
  <c r="H325" i="1"/>
  <c r="W325" i="1" s="1"/>
  <c r="H326" i="1"/>
  <c r="W326" i="1" s="1"/>
  <c r="H327" i="1"/>
  <c r="W327" i="1" s="1"/>
  <c r="H328" i="1"/>
  <c r="W328" i="1" s="1"/>
  <c r="H329" i="1"/>
  <c r="W329" i="1" s="1"/>
  <c r="H330" i="1"/>
  <c r="W330" i="1" s="1"/>
  <c r="H331" i="1"/>
  <c r="W331" i="1" s="1"/>
  <c r="H332" i="1"/>
  <c r="W332" i="1" s="1"/>
  <c r="H333" i="1"/>
  <c r="W333" i="1" s="1"/>
  <c r="H334" i="1"/>
  <c r="W334" i="1" s="1"/>
  <c r="H335" i="1"/>
  <c r="W335" i="1" s="1"/>
  <c r="H336" i="1"/>
  <c r="W336" i="1" s="1"/>
  <c r="H337" i="1"/>
  <c r="W337" i="1" s="1"/>
  <c r="H338" i="1"/>
  <c r="W338" i="1" s="1"/>
  <c r="H339" i="1"/>
  <c r="W339" i="1" s="1"/>
  <c r="H340" i="1"/>
  <c r="W340" i="1" s="1"/>
  <c r="H341" i="1"/>
  <c r="W341" i="1" s="1"/>
  <c r="H342" i="1"/>
  <c r="W342" i="1" s="1"/>
  <c r="H343" i="1"/>
  <c r="W343" i="1" s="1"/>
  <c r="H344" i="1"/>
  <c r="W344" i="1" s="1"/>
  <c r="H345" i="1"/>
  <c r="W345" i="1" s="1"/>
  <c r="H346" i="1"/>
  <c r="W346" i="1" s="1"/>
  <c r="H347" i="1"/>
  <c r="W347" i="1" s="1"/>
  <c r="H348" i="1"/>
  <c r="W348" i="1" s="1"/>
  <c r="H349" i="1"/>
  <c r="W349" i="1" s="1"/>
  <c r="H350" i="1"/>
  <c r="W350" i="1" s="1"/>
  <c r="H351" i="1"/>
  <c r="W351" i="1" s="1"/>
  <c r="H352" i="1"/>
  <c r="W352" i="1" s="1"/>
  <c r="H353" i="1"/>
  <c r="W353" i="1" s="1"/>
  <c r="H354" i="1"/>
  <c r="W354" i="1" s="1"/>
  <c r="H355" i="1"/>
  <c r="W355" i="1" s="1"/>
  <c r="H356" i="1"/>
  <c r="W356" i="1" s="1"/>
  <c r="H357" i="1"/>
  <c r="W357" i="1" s="1"/>
  <c r="H358" i="1"/>
  <c r="W358" i="1" s="1"/>
  <c r="H359" i="1"/>
  <c r="W359" i="1" s="1"/>
  <c r="H360" i="1"/>
  <c r="W360" i="1" s="1"/>
  <c r="H361" i="1"/>
  <c r="W361" i="1" s="1"/>
  <c r="H362" i="1"/>
  <c r="W362" i="1" s="1"/>
  <c r="H363" i="1"/>
  <c r="W363" i="1" s="1"/>
  <c r="H364" i="1"/>
  <c r="W364" i="1" s="1"/>
  <c r="H365" i="1"/>
  <c r="W365" i="1" s="1"/>
  <c r="H366" i="1"/>
  <c r="W366" i="1" s="1"/>
  <c r="H367" i="1"/>
  <c r="W367" i="1" s="1"/>
  <c r="H368" i="1"/>
  <c r="W368" i="1" s="1"/>
  <c r="H369" i="1"/>
  <c r="W369" i="1" s="1"/>
  <c r="H370" i="1"/>
  <c r="W370" i="1" s="1"/>
  <c r="H371" i="1"/>
  <c r="W371" i="1" s="1"/>
  <c r="H372" i="1"/>
  <c r="W372" i="1" s="1"/>
  <c r="H373" i="1"/>
  <c r="W373" i="1" s="1"/>
  <c r="H374" i="1"/>
  <c r="W374" i="1" s="1"/>
  <c r="H375" i="1"/>
  <c r="W375" i="1" s="1"/>
  <c r="H376" i="1"/>
  <c r="W376" i="1" s="1"/>
  <c r="H377" i="1"/>
  <c r="W377" i="1" s="1"/>
  <c r="H378" i="1"/>
  <c r="W378" i="1" s="1"/>
  <c r="H379" i="1"/>
  <c r="W379" i="1" s="1"/>
  <c r="H380" i="1"/>
  <c r="W380" i="1" s="1"/>
  <c r="H381" i="1"/>
  <c r="W381" i="1" s="1"/>
  <c r="H382" i="1"/>
  <c r="W382" i="1" s="1"/>
  <c r="H383" i="1"/>
  <c r="W383" i="1" s="1"/>
  <c r="H384" i="1"/>
  <c r="W384" i="1" s="1"/>
  <c r="H385" i="1"/>
  <c r="W385" i="1" s="1"/>
  <c r="H386" i="1"/>
  <c r="W386" i="1" s="1"/>
  <c r="H387" i="1"/>
  <c r="W387" i="1" s="1"/>
  <c r="H388" i="1"/>
  <c r="W388" i="1" s="1"/>
  <c r="H389" i="1"/>
  <c r="W389" i="1" s="1"/>
  <c r="H390" i="1"/>
  <c r="W390" i="1" s="1"/>
  <c r="H391" i="1"/>
  <c r="W391" i="1" s="1"/>
  <c r="H392" i="1"/>
  <c r="W392" i="1" s="1"/>
  <c r="H393" i="1"/>
  <c r="W393" i="1" s="1"/>
  <c r="H394" i="1"/>
  <c r="W394" i="1" s="1"/>
  <c r="H395" i="1"/>
  <c r="W395" i="1" s="1"/>
  <c r="H396" i="1"/>
  <c r="W396" i="1" s="1"/>
  <c r="H397" i="1"/>
  <c r="W397" i="1" s="1"/>
  <c r="H398" i="1"/>
  <c r="W398" i="1" s="1"/>
  <c r="H399" i="1"/>
  <c r="W399" i="1" s="1"/>
  <c r="H400" i="1"/>
  <c r="W400" i="1" s="1"/>
  <c r="H401" i="1"/>
  <c r="W401" i="1" s="1"/>
  <c r="H402" i="1"/>
  <c r="W402" i="1" s="1"/>
  <c r="H403" i="1"/>
  <c r="W403" i="1" s="1"/>
  <c r="H404" i="1"/>
  <c r="W404" i="1" s="1"/>
  <c r="H405" i="1"/>
  <c r="W405" i="1" s="1"/>
  <c r="H406" i="1"/>
  <c r="W406" i="1" s="1"/>
  <c r="H407" i="1"/>
  <c r="W407" i="1" s="1"/>
  <c r="H408" i="1"/>
  <c r="W408" i="1" s="1"/>
  <c r="H409" i="1"/>
  <c r="W409" i="1" s="1"/>
  <c r="H410" i="1"/>
  <c r="W410" i="1" s="1"/>
  <c r="H411" i="1"/>
  <c r="W411" i="1" s="1"/>
  <c r="H412" i="1"/>
  <c r="W412" i="1" s="1"/>
  <c r="H413" i="1"/>
  <c r="W413" i="1" s="1"/>
  <c r="H414" i="1"/>
  <c r="W414" i="1" s="1"/>
  <c r="H415" i="1"/>
  <c r="W415" i="1" s="1"/>
  <c r="H416" i="1"/>
  <c r="W416" i="1" s="1"/>
  <c r="H417" i="1"/>
  <c r="W417" i="1" s="1"/>
  <c r="H418" i="1"/>
  <c r="W418" i="1" s="1"/>
  <c r="H419" i="1"/>
  <c r="W419" i="1" s="1"/>
  <c r="H420" i="1"/>
  <c r="W420" i="1" s="1"/>
  <c r="H421" i="1"/>
  <c r="W421" i="1" s="1"/>
  <c r="H422" i="1"/>
  <c r="W422" i="1" s="1"/>
  <c r="H423" i="1"/>
  <c r="W423" i="1" s="1"/>
  <c r="H424" i="1"/>
  <c r="W424" i="1" s="1"/>
  <c r="H425" i="1"/>
  <c r="W425" i="1" s="1"/>
  <c r="H426" i="1"/>
  <c r="W426" i="1" s="1"/>
  <c r="H427" i="1"/>
  <c r="W427" i="1" s="1"/>
  <c r="H428" i="1"/>
  <c r="W428" i="1" s="1"/>
  <c r="H429" i="1"/>
  <c r="W429" i="1" s="1"/>
  <c r="H430" i="1"/>
  <c r="W430" i="1" s="1"/>
  <c r="H431" i="1"/>
  <c r="W431" i="1" s="1"/>
  <c r="H432" i="1"/>
  <c r="W432" i="1" s="1"/>
  <c r="H433" i="1"/>
  <c r="W433" i="1" s="1"/>
  <c r="H434" i="1"/>
  <c r="W434" i="1" s="1"/>
  <c r="H435" i="1"/>
  <c r="W435" i="1" s="1"/>
  <c r="H436" i="1"/>
  <c r="W436" i="1" s="1"/>
  <c r="H437" i="1"/>
  <c r="W437" i="1" s="1"/>
  <c r="H438" i="1"/>
  <c r="W438" i="1" s="1"/>
  <c r="H439" i="1"/>
  <c r="W439" i="1" s="1"/>
  <c r="H440" i="1"/>
  <c r="W440" i="1" s="1"/>
  <c r="H441" i="1"/>
  <c r="W441" i="1" s="1"/>
  <c r="H442" i="1"/>
  <c r="W442" i="1" s="1"/>
  <c r="H443" i="1"/>
  <c r="W443" i="1" s="1"/>
  <c r="H444" i="1"/>
  <c r="W444" i="1" s="1"/>
  <c r="H445" i="1"/>
  <c r="W445" i="1" s="1"/>
  <c r="H446" i="1"/>
  <c r="W446" i="1" s="1"/>
  <c r="H447" i="1"/>
  <c r="W447" i="1" s="1"/>
  <c r="H448" i="1"/>
  <c r="W448" i="1" s="1"/>
  <c r="H449" i="1"/>
  <c r="W449" i="1" s="1"/>
  <c r="H450" i="1"/>
  <c r="W450" i="1" s="1"/>
  <c r="H451" i="1"/>
  <c r="W451" i="1" s="1"/>
  <c r="H452" i="1"/>
  <c r="W452" i="1" s="1"/>
  <c r="H453" i="1"/>
  <c r="W453" i="1" s="1"/>
  <c r="H454" i="1"/>
  <c r="W454" i="1" s="1"/>
  <c r="H455" i="1"/>
  <c r="W455" i="1" s="1"/>
  <c r="H456" i="1"/>
  <c r="W456" i="1" s="1"/>
  <c r="H457" i="1"/>
  <c r="W457" i="1" s="1"/>
  <c r="H458" i="1"/>
  <c r="W458" i="1" s="1"/>
  <c r="H459" i="1"/>
  <c r="W459" i="1" s="1"/>
  <c r="H460" i="1"/>
  <c r="W460" i="1" s="1"/>
  <c r="H461" i="1"/>
  <c r="W461" i="1" s="1"/>
  <c r="H462" i="1"/>
  <c r="W462" i="1" s="1"/>
  <c r="H463" i="1"/>
  <c r="W463" i="1" s="1"/>
  <c r="H464" i="1"/>
  <c r="W464" i="1" s="1"/>
  <c r="H465" i="1"/>
  <c r="W465" i="1" s="1"/>
  <c r="H466" i="1"/>
  <c r="W466" i="1" s="1"/>
  <c r="H467" i="1"/>
  <c r="W467" i="1" s="1"/>
  <c r="H468" i="1"/>
  <c r="W468" i="1" s="1"/>
  <c r="H469" i="1"/>
  <c r="W469" i="1" s="1"/>
  <c r="H470" i="1"/>
  <c r="W470" i="1" s="1"/>
  <c r="H471" i="1"/>
  <c r="W471" i="1" s="1"/>
  <c r="H472" i="1"/>
  <c r="W472" i="1" s="1"/>
  <c r="H473" i="1"/>
  <c r="W473" i="1" s="1"/>
  <c r="H474" i="1"/>
  <c r="W474" i="1" s="1"/>
  <c r="H475" i="1"/>
  <c r="W475" i="1" s="1"/>
  <c r="H476" i="1"/>
  <c r="W476" i="1" s="1"/>
  <c r="H477" i="1"/>
  <c r="W477" i="1" s="1"/>
  <c r="H478" i="1"/>
  <c r="W478" i="1" s="1"/>
  <c r="H479" i="1"/>
  <c r="W479" i="1" s="1"/>
  <c r="H480" i="1"/>
  <c r="W480" i="1" s="1"/>
  <c r="H481" i="1"/>
  <c r="W481" i="1" s="1"/>
  <c r="H482" i="1"/>
  <c r="W482" i="1" s="1"/>
  <c r="H483" i="1"/>
  <c r="W483" i="1" s="1"/>
  <c r="H484" i="1"/>
  <c r="W484" i="1" s="1"/>
  <c r="H485" i="1"/>
  <c r="W485" i="1" s="1"/>
  <c r="H486" i="1"/>
  <c r="W486" i="1" s="1"/>
  <c r="H487" i="1"/>
  <c r="W487" i="1" s="1"/>
  <c r="H488" i="1"/>
  <c r="W488" i="1" s="1"/>
  <c r="H489" i="1"/>
  <c r="W489" i="1" s="1"/>
  <c r="H490" i="1"/>
  <c r="W490" i="1" s="1"/>
  <c r="H491" i="1"/>
  <c r="W491" i="1" s="1"/>
  <c r="H492" i="1"/>
  <c r="W492" i="1" s="1"/>
  <c r="H493" i="1"/>
  <c r="W493" i="1" s="1"/>
  <c r="H494" i="1"/>
  <c r="W494" i="1" s="1"/>
  <c r="H495" i="1"/>
  <c r="W495" i="1" s="1"/>
  <c r="H496" i="1"/>
  <c r="W496" i="1" s="1"/>
  <c r="H497" i="1"/>
  <c r="W497" i="1" s="1"/>
  <c r="H498" i="1"/>
  <c r="W498" i="1" s="1"/>
  <c r="H499" i="1"/>
  <c r="W499" i="1" s="1"/>
  <c r="H500" i="1"/>
  <c r="W500" i="1" s="1"/>
  <c r="H501" i="1"/>
  <c r="W501" i="1" s="1"/>
  <c r="H502" i="1"/>
  <c r="W502" i="1" s="1"/>
  <c r="H503" i="1"/>
  <c r="W503" i="1" s="1"/>
  <c r="H504" i="1"/>
  <c r="W504" i="1" s="1"/>
  <c r="H505" i="1"/>
  <c r="W505" i="1" s="1"/>
  <c r="H506" i="1"/>
  <c r="W506" i="1" s="1"/>
  <c r="H507" i="1"/>
  <c r="W507" i="1" s="1"/>
  <c r="H508" i="1"/>
  <c r="W508" i="1" s="1"/>
  <c r="H509" i="1"/>
  <c r="W509" i="1" s="1"/>
  <c r="H510" i="1"/>
  <c r="W510" i="1" s="1"/>
  <c r="H511" i="1"/>
  <c r="W511" i="1" s="1"/>
  <c r="H512" i="1"/>
  <c r="W512" i="1" s="1"/>
  <c r="H513" i="1"/>
  <c r="W513" i="1" s="1"/>
  <c r="H514" i="1"/>
  <c r="W514" i="1" s="1"/>
  <c r="H515" i="1"/>
  <c r="W515" i="1" s="1"/>
  <c r="H516" i="1"/>
  <c r="W516" i="1" s="1"/>
  <c r="H517" i="1"/>
  <c r="W517" i="1" s="1"/>
  <c r="H518" i="1"/>
  <c r="W518" i="1" s="1"/>
  <c r="H519" i="1"/>
  <c r="W519" i="1" s="1"/>
  <c r="H520" i="1"/>
  <c r="W520" i="1" s="1"/>
  <c r="H521" i="1"/>
  <c r="W521" i="1" s="1"/>
  <c r="H522" i="1"/>
  <c r="W522" i="1" s="1"/>
  <c r="H523" i="1"/>
  <c r="W523" i="1" s="1"/>
  <c r="H524" i="1"/>
  <c r="W524" i="1" s="1"/>
  <c r="H525" i="1"/>
  <c r="W525" i="1" s="1"/>
  <c r="H526" i="1"/>
  <c r="W526" i="1" s="1"/>
  <c r="H527" i="1"/>
  <c r="W527" i="1" s="1"/>
  <c r="H528" i="1"/>
  <c r="W528" i="1" s="1"/>
  <c r="H529" i="1"/>
  <c r="W529" i="1" s="1"/>
  <c r="H530" i="1"/>
  <c r="W530" i="1" s="1"/>
  <c r="H531" i="1"/>
  <c r="W531" i="1" s="1"/>
  <c r="H532" i="1"/>
  <c r="W532" i="1" s="1"/>
  <c r="H533" i="1"/>
  <c r="W533" i="1" s="1"/>
  <c r="H534" i="1"/>
  <c r="W534" i="1" s="1"/>
  <c r="H535" i="1"/>
  <c r="W535" i="1" s="1"/>
  <c r="H536" i="1"/>
  <c r="W536" i="1" s="1"/>
  <c r="H537" i="1"/>
  <c r="W537" i="1" s="1"/>
  <c r="H538" i="1"/>
  <c r="W538" i="1" s="1"/>
  <c r="H539" i="1"/>
  <c r="W539" i="1" s="1"/>
  <c r="H540" i="1"/>
  <c r="W540" i="1" s="1"/>
  <c r="H541" i="1"/>
  <c r="W541" i="1" s="1"/>
  <c r="H542" i="1"/>
  <c r="W542" i="1" s="1"/>
  <c r="H543" i="1"/>
  <c r="W543" i="1" s="1"/>
  <c r="H544" i="1"/>
  <c r="W544" i="1" s="1"/>
  <c r="H545" i="1"/>
  <c r="W545" i="1" s="1"/>
  <c r="H546" i="1"/>
  <c r="W546" i="1" s="1"/>
  <c r="H547" i="1"/>
  <c r="W547" i="1" s="1"/>
  <c r="H548" i="1"/>
  <c r="W548" i="1" s="1"/>
  <c r="H549" i="1"/>
  <c r="W549" i="1" s="1"/>
  <c r="H550" i="1"/>
  <c r="W550" i="1" s="1"/>
  <c r="H551" i="1"/>
  <c r="W551" i="1" s="1"/>
  <c r="H552" i="1"/>
  <c r="W552" i="1" s="1"/>
  <c r="H553" i="1"/>
  <c r="W553" i="1" s="1"/>
  <c r="H554" i="1"/>
  <c r="W554" i="1" s="1"/>
  <c r="H555" i="1"/>
  <c r="W555" i="1" s="1"/>
  <c r="H556" i="1"/>
  <c r="W556" i="1" s="1"/>
  <c r="H557" i="1"/>
  <c r="W557" i="1" s="1"/>
  <c r="H558" i="1"/>
  <c r="W558" i="1" s="1"/>
  <c r="H559" i="1"/>
  <c r="W559" i="1" s="1"/>
  <c r="H560" i="1"/>
  <c r="W560" i="1" s="1"/>
  <c r="H561" i="1"/>
  <c r="W561" i="1" s="1"/>
  <c r="H562" i="1"/>
  <c r="W562" i="1" s="1"/>
  <c r="H563" i="1"/>
  <c r="W563" i="1" s="1"/>
  <c r="H564" i="1"/>
  <c r="W564" i="1" s="1"/>
  <c r="H565" i="1"/>
  <c r="W565" i="1" s="1"/>
  <c r="H566" i="1"/>
  <c r="W566" i="1" s="1"/>
  <c r="H567" i="1"/>
  <c r="W567" i="1" s="1"/>
  <c r="H568" i="1"/>
  <c r="W568" i="1" s="1"/>
  <c r="H569" i="1"/>
  <c r="W569" i="1" s="1"/>
  <c r="H570" i="1"/>
  <c r="W570" i="1" s="1"/>
  <c r="H571" i="1"/>
  <c r="W571" i="1" s="1"/>
  <c r="H572" i="1"/>
  <c r="W572" i="1" s="1"/>
  <c r="H573" i="1"/>
  <c r="W573" i="1" s="1"/>
  <c r="H574" i="1"/>
  <c r="W574" i="1" s="1"/>
  <c r="H575" i="1"/>
  <c r="W575" i="1" s="1"/>
  <c r="H576" i="1"/>
  <c r="W576" i="1" s="1"/>
  <c r="H577" i="1"/>
  <c r="W577" i="1" s="1"/>
  <c r="H578" i="1"/>
  <c r="W578" i="1" s="1"/>
  <c r="H579" i="1"/>
  <c r="W579" i="1" s="1"/>
  <c r="H580" i="1"/>
  <c r="W580" i="1" s="1"/>
  <c r="H581" i="1"/>
  <c r="W581" i="1" s="1"/>
  <c r="H582" i="1"/>
  <c r="W582" i="1" s="1"/>
  <c r="H583" i="1"/>
  <c r="W583" i="1" s="1"/>
  <c r="H584" i="1"/>
  <c r="W584" i="1" s="1"/>
  <c r="H585" i="1"/>
  <c r="W585" i="1" s="1"/>
  <c r="H586" i="1"/>
  <c r="W586" i="1" s="1"/>
  <c r="H587" i="1"/>
  <c r="W587" i="1" s="1"/>
  <c r="H588" i="1"/>
  <c r="W588" i="1" s="1"/>
  <c r="H589" i="1"/>
  <c r="W589" i="1" s="1"/>
  <c r="H590" i="1"/>
  <c r="W590" i="1" s="1"/>
  <c r="H591" i="1"/>
  <c r="W591" i="1" s="1"/>
  <c r="H592" i="1"/>
  <c r="W592" i="1" s="1"/>
  <c r="H593" i="1"/>
  <c r="W593" i="1" s="1"/>
  <c r="H594" i="1"/>
  <c r="W594" i="1" s="1"/>
  <c r="H595" i="1"/>
  <c r="W595" i="1" s="1"/>
  <c r="H596" i="1"/>
  <c r="W596" i="1" s="1"/>
  <c r="H597" i="1"/>
  <c r="W597" i="1" s="1"/>
  <c r="H598" i="1"/>
  <c r="W598" i="1" s="1"/>
  <c r="H599" i="1"/>
  <c r="W599" i="1" s="1"/>
  <c r="H600" i="1"/>
  <c r="W600" i="1" s="1"/>
  <c r="H601" i="1"/>
  <c r="W601" i="1" s="1"/>
  <c r="H602" i="1"/>
  <c r="W602" i="1" s="1"/>
  <c r="H603" i="1"/>
  <c r="W603" i="1" s="1"/>
  <c r="H604" i="1"/>
  <c r="W604" i="1" s="1"/>
  <c r="H605" i="1"/>
  <c r="W605" i="1" s="1"/>
  <c r="H606" i="1"/>
  <c r="W606" i="1" s="1"/>
  <c r="H607" i="1"/>
  <c r="W607" i="1" s="1"/>
  <c r="H608" i="1"/>
  <c r="W608" i="1" s="1"/>
  <c r="H609" i="1"/>
  <c r="W609" i="1" s="1"/>
  <c r="H610" i="1"/>
  <c r="W610" i="1" s="1"/>
  <c r="H611" i="1"/>
  <c r="W611" i="1" s="1"/>
  <c r="H612" i="1"/>
  <c r="W612" i="1" s="1"/>
  <c r="H613" i="1"/>
  <c r="W613" i="1" s="1"/>
  <c r="H614" i="1"/>
  <c r="W614" i="1" s="1"/>
  <c r="H615" i="1"/>
  <c r="W615" i="1" s="1"/>
  <c r="H616" i="1"/>
  <c r="W616" i="1" s="1"/>
  <c r="H617" i="1"/>
  <c r="W617" i="1" s="1"/>
  <c r="H618" i="1"/>
  <c r="W618" i="1" s="1"/>
  <c r="H619" i="1"/>
  <c r="W619" i="1" s="1"/>
  <c r="H620" i="1"/>
  <c r="W620" i="1" s="1"/>
  <c r="H621" i="1"/>
  <c r="W621" i="1" s="1"/>
  <c r="H622" i="1"/>
  <c r="W622" i="1" s="1"/>
  <c r="H623" i="1"/>
  <c r="W623" i="1" s="1"/>
  <c r="H624" i="1"/>
  <c r="W624" i="1" s="1"/>
  <c r="H625" i="1"/>
  <c r="W625" i="1" s="1"/>
  <c r="H626" i="1"/>
  <c r="W626" i="1" s="1"/>
  <c r="H627" i="1"/>
  <c r="W627" i="1" s="1"/>
  <c r="H628" i="1"/>
  <c r="W628" i="1" s="1"/>
  <c r="H629" i="1"/>
  <c r="W629" i="1" s="1"/>
  <c r="H630" i="1"/>
  <c r="W630" i="1" s="1"/>
  <c r="H631" i="1"/>
  <c r="W631" i="1" s="1"/>
  <c r="H632" i="1"/>
  <c r="W632" i="1" s="1"/>
  <c r="H633" i="1"/>
  <c r="W633" i="1" s="1"/>
  <c r="H634" i="1"/>
  <c r="W634" i="1" s="1"/>
  <c r="H635" i="1"/>
  <c r="W635" i="1" s="1"/>
  <c r="H636" i="1"/>
  <c r="W636" i="1" s="1"/>
  <c r="H637" i="1"/>
  <c r="W637" i="1" s="1"/>
  <c r="H638" i="1"/>
  <c r="W638" i="1" s="1"/>
  <c r="H639" i="1"/>
  <c r="W639" i="1" s="1"/>
  <c r="H640" i="1"/>
  <c r="W640" i="1" s="1"/>
  <c r="H641" i="1"/>
  <c r="W641" i="1" s="1"/>
  <c r="H642" i="1"/>
  <c r="W642" i="1" s="1"/>
  <c r="H643" i="1"/>
  <c r="W643" i="1" s="1"/>
  <c r="H644" i="1"/>
  <c r="W644" i="1" s="1"/>
  <c r="H645" i="1"/>
  <c r="W645" i="1" s="1"/>
  <c r="H646" i="1"/>
  <c r="W646" i="1" s="1"/>
  <c r="H647" i="1"/>
  <c r="W647" i="1" s="1"/>
  <c r="H648" i="1"/>
  <c r="W648" i="1" s="1"/>
  <c r="H649" i="1"/>
  <c r="W649" i="1" s="1"/>
  <c r="H650" i="1"/>
  <c r="W650" i="1" s="1"/>
  <c r="H651" i="1"/>
  <c r="W651" i="1" s="1"/>
  <c r="H652" i="1"/>
  <c r="W652" i="1" s="1"/>
  <c r="H653" i="1"/>
  <c r="W653" i="1" s="1"/>
  <c r="H654" i="1"/>
  <c r="W654" i="1" s="1"/>
  <c r="H655" i="1"/>
  <c r="W655" i="1" s="1"/>
  <c r="H656" i="1"/>
  <c r="W656" i="1" s="1"/>
  <c r="H657" i="1"/>
  <c r="W657" i="1" s="1"/>
  <c r="H658" i="1"/>
  <c r="W658" i="1" s="1"/>
  <c r="H659" i="1"/>
  <c r="W659" i="1" s="1"/>
  <c r="H660" i="1"/>
  <c r="W660" i="1" s="1"/>
  <c r="H661" i="1"/>
  <c r="W661" i="1" s="1"/>
  <c r="H662" i="1"/>
  <c r="W662" i="1" s="1"/>
  <c r="H663" i="1"/>
  <c r="W663" i="1" s="1"/>
  <c r="H664" i="1"/>
  <c r="W664" i="1" s="1"/>
  <c r="H665" i="1"/>
  <c r="W665" i="1" s="1"/>
  <c r="H666" i="1"/>
  <c r="W666" i="1" s="1"/>
  <c r="H667" i="1"/>
  <c r="W667" i="1" s="1"/>
  <c r="H668" i="1"/>
  <c r="W668" i="1" s="1"/>
  <c r="H669" i="1"/>
  <c r="W669" i="1" s="1"/>
  <c r="H670" i="1"/>
  <c r="W670" i="1" s="1"/>
  <c r="H671" i="1"/>
  <c r="W671" i="1" s="1"/>
  <c r="H672" i="1"/>
  <c r="W672" i="1" s="1"/>
  <c r="H673" i="1"/>
  <c r="W673" i="1" s="1"/>
  <c r="H674" i="1"/>
  <c r="W674" i="1" s="1"/>
  <c r="H675" i="1"/>
  <c r="W675" i="1" s="1"/>
  <c r="H676" i="1"/>
  <c r="W676" i="1" s="1"/>
  <c r="H677" i="1"/>
  <c r="W677" i="1" s="1"/>
  <c r="H678" i="1"/>
  <c r="W678" i="1" s="1"/>
  <c r="H679" i="1"/>
  <c r="W679" i="1" s="1"/>
  <c r="H680" i="1"/>
  <c r="W680" i="1" s="1"/>
  <c r="H681" i="1"/>
  <c r="W681" i="1" s="1"/>
  <c r="H682" i="1"/>
  <c r="W682" i="1" s="1"/>
  <c r="H683" i="1"/>
  <c r="W683" i="1" s="1"/>
  <c r="H684" i="1"/>
  <c r="W684" i="1" s="1"/>
  <c r="H685" i="1"/>
  <c r="W685" i="1" s="1"/>
  <c r="H686" i="1"/>
  <c r="W686" i="1" s="1"/>
  <c r="H687" i="1"/>
  <c r="W687" i="1" s="1"/>
  <c r="H688" i="1"/>
  <c r="W688" i="1" s="1"/>
  <c r="H689" i="1"/>
  <c r="W689" i="1" s="1"/>
  <c r="H690" i="1"/>
  <c r="W690" i="1" s="1"/>
  <c r="H691" i="1"/>
  <c r="W691" i="1" s="1"/>
  <c r="H692" i="1"/>
  <c r="W692" i="1" s="1"/>
  <c r="H693" i="1"/>
  <c r="W693" i="1" s="1"/>
  <c r="H694" i="1"/>
  <c r="W694" i="1" s="1"/>
  <c r="H695" i="1"/>
  <c r="W695" i="1" s="1"/>
  <c r="H696" i="1"/>
  <c r="W696" i="1" s="1"/>
  <c r="H697" i="1"/>
  <c r="W697" i="1" s="1"/>
  <c r="H698" i="1"/>
  <c r="W698" i="1" s="1"/>
  <c r="H699" i="1"/>
  <c r="W699" i="1" s="1"/>
  <c r="H700" i="1"/>
  <c r="W700" i="1" s="1"/>
  <c r="H701" i="1"/>
  <c r="W701" i="1" s="1"/>
  <c r="H702" i="1"/>
  <c r="W702" i="1" s="1"/>
  <c r="H703" i="1"/>
  <c r="W703" i="1" s="1"/>
  <c r="H704" i="1"/>
  <c r="W704" i="1" s="1"/>
  <c r="H705" i="1"/>
  <c r="W705" i="1" s="1"/>
  <c r="H706" i="1"/>
  <c r="W706" i="1" s="1"/>
  <c r="H707" i="1"/>
  <c r="W707" i="1" s="1"/>
  <c r="H708" i="1"/>
  <c r="W708" i="1" s="1"/>
  <c r="H709" i="1"/>
  <c r="W709" i="1" s="1"/>
  <c r="H710" i="1"/>
  <c r="W710" i="1" s="1"/>
  <c r="H711" i="1"/>
  <c r="W711" i="1" s="1"/>
  <c r="H712" i="1"/>
  <c r="W712" i="1" s="1"/>
  <c r="H713" i="1"/>
  <c r="W713" i="1" s="1"/>
  <c r="H714" i="1"/>
  <c r="W714" i="1" s="1"/>
  <c r="H715" i="1"/>
  <c r="W715" i="1" s="1"/>
  <c r="H716" i="1"/>
  <c r="W716" i="1" s="1"/>
  <c r="H717" i="1"/>
  <c r="W717" i="1" s="1"/>
  <c r="H718" i="1"/>
  <c r="W718" i="1" s="1"/>
  <c r="H719" i="1"/>
  <c r="W719" i="1" s="1"/>
  <c r="H720" i="1"/>
  <c r="W720" i="1" s="1"/>
  <c r="H721" i="1"/>
  <c r="W721" i="1" s="1"/>
  <c r="H722" i="1"/>
  <c r="W722" i="1" s="1"/>
  <c r="H723" i="1"/>
  <c r="W723" i="1" s="1"/>
  <c r="H724" i="1"/>
  <c r="W724" i="1" s="1"/>
  <c r="H725" i="1"/>
  <c r="W725" i="1" s="1"/>
  <c r="H726" i="1"/>
  <c r="W726" i="1" s="1"/>
  <c r="H727" i="1"/>
  <c r="W727" i="1" s="1"/>
  <c r="H728" i="1"/>
  <c r="W728" i="1" s="1"/>
  <c r="H729" i="1"/>
  <c r="W729" i="1" s="1"/>
  <c r="H730" i="1"/>
  <c r="W730" i="1" s="1"/>
  <c r="H731" i="1"/>
  <c r="W731" i="1" s="1"/>
  <c r="H732" i="1"/>
  <c r="W732" i="1" s="1"/>
  <c r="H733" i="1"/>
  <c r="W733" i="1" s="1"/>
  <c r="H734" i="1"/>
  <c r="W734" i="1" s="1"/>
  <c r="H735" i="1"/>
  <c r="W735" i="1" s="1"/>
  <c r="H736" i="1"/>
  <c r="W736" i="1" s="1"/>
  <c r="H737" i="1"/>
  <c r="W737" i="1" s="1"/>
  <c r="H738" i="1"/>
  <c r="W738" i="1" s="1"/>
  <c r="H739" i="1"/>
  <c r="W739" i="1" s="1"/>
  <c r="H740" i="1"/>
  <c r="W740" i="1" s="1"/>
  <c r="H741" i="1"/>
  <c r="W741" i="1" s="1"/>
  <c r="H742" i="1"/>
  <c r="W742" i="1" s="1"/>
  <c r="H743" i="1"/>
  <c r="W743" i="1" s="1"/>
  <c r="H744" i="1"/>
  <c r="W744" i="1" s="1"/>
  <c r="H745" i="1"/>
  <c r="W745" i="1" s="1"/>
  <c r="H746" i="1"/>
  <c r="W746" i="1" s="1"/>
  <c r="H747" i="1"/>
  <c r="W747" i="1" s="1"/>
  <c r="H748" i="1"/>
  <c r="W748" i="1" s="1"/>
  <c r="H749" i="1"/>
  <c r="W749" i="1" s="1"/>
  <c r="H750" i="1"/>
  <c r="W750" i="1" s="1"/>
  <c r="H751" i="1"/>
  <c r="W751" i="1" s="1"/>
  <c r="H752" i="1"/>
  <c r="W752" i="1" s="1"/>
  <c r="H753" i="1"/>
  <c r="W753" i="1" s="1"/>
  <c r="H754" i="1"/>
  <c r="W754" i="1" s="1"/>
  <c r="H755" i="1"/>
  <c r="W755" i="1" s="1"/>
  <c r="H756" i="1"/>
  <c r="W756" i="1" s="1"/>
  <c r="H757" i="1"/>
  <c r="W757" i="1" s="1"/>
  <c r="H758" i="1"/>
  <c r="W758" i="1" s="1"/>
  <c r="H759" i="1"/>
  <c r="W759" i="1" s="1"/>
  <c r="H760" i="1"/>
  <c r="W760" i="1" s="1"/>
  <c r="H761" i="1"/>
  <c r="W761" i="1" s="1"/>
  <c r="H762" i="1"/>
  <c r="W762" i="1" s="1"/>
  <c r="H763" i="1"/>
  <c r="W763" i="1" s="1"/>
  <c r="H764" i="1"/>
  <c r="W764" i="1" s="1"/>
  <c r="H765" i="1"/>
  <c r="W765" i="1" s="1"/>
  <c r="H766" i="1"/>
  <c r="W766" i="1" s="1"/>
  <c r="H767" i="1"/>
  <c r="W767" i="1" s="1"/>
  <c r="H768" i="1"/>
  <c r="W768" i="1" s="1"/>
  <c r="H769" i="1"/>
  <c r="W769" i="1" s="1"/>
  <c r="H770" i="1"/>
  <c r="W770" i="1" s="1"/>
  <c r="H771" i="1"/>
  <c r="W771" i="1" s="1"/>
  <c r="H772" i="1"/>
  <c r="W772" i="1" s="1"/>
  <c r="H773" i="1"/>
  <c r="W773" i="1" s="1"/>
  <c r="H774" i="1"/>
  <c r="W774" i="1" s="1"/>
  <c r="H775" i="1"/>
  <c r="W775" i="1" s="1"/>
  <c r="H776" i="1"/>
  <c r="W776" i="1" s="1"/>
  <c r="H777" i="1"/>
  <c r="W777" i="1" s="1"/>
  <c r="H778" i="1"/>
  <c r="W778" i="1" s="1"/>
  <c r="H779" i="1"/>
  <c r="W779" i="1" s="1"/>
  <c r="H780" i="1"/>
  <c r="W780" i="1" s="1"/>
  <c r="H781" i="1"/>
  <c r="W781" i="1" s="1"/>
  <c r="H782" i="1"/>
  <c r="W782" i="1" s="1"/>
  <c r="H783" i="1"/>
  <c r="W783" i="1" s="1"/>
  <c r="H784" i="1"/>
  <c r="W784" i="1" s="1"/>
  <c r="H785" i="1"/>
  <c r="W785" i="1" s="1"/>
  <c r="H786" i="1"/>
  <c r="W786" i="1" s="1"/>
  <c r="H787" i="1"/>
  <c r="W787" i="1" s="1"/>
  <c r="H788" i="1"/>
  <c r="W788" i="1" s="1"/>
  <c r="H789" i="1"/>
  <c r="W789" i="1" s="1"/>
  <c r="H790" i="1"/>
  <c r="W790" i="1" s="1"/>
  <c r="H791" i="1"/>
  <c r="W791" i="1" s="1"/>
  <c r="H792" i="1"/>
  <c r="W792" i="1" s="1"/>
  <c r="H793" i="1"/>
  <c r="W793" i="1" s="1"/>
  <c r="H794" i="1"/>
  <c r="W794" i="1" s="1"/>
  <c r="H2" i="1"/>
  <c r="W2" i="1" s="1"/>
  <c r="AE13" i="3"/>
  <c r="A2" i="3"/>
  <c r="E2" i="3"/>
  <c r="AH11" i="3"/>
  <c r="AH8" i="3"/>
  <c r="AH6" i="3"/>
  <c r="AH7" i="3"/>
  <c r="AE7" i="3"/>
  <c r="I4" i="3"/>
  <c r="AE15" i="3"/>
  <c r="AH15" i="3"/>
  <c r="AE10" i="3"/>
  <c r="AH14" i="3"/>
  <c r="AH9" i="3"/>
  <c r="C2" i="3"/>
  <c r="AE9" i="3"/>
  <c r="AH10" i="3"/>
  <c r="AH13" i="3"/>
  <c r="AE12" i="3"/>
  <c r="G2" i="3"/>
  <c r="AH12" i="3"/>
  <c r="AE14" i="3"/>
  <c r="AE8" i="3"/>
  <c r="D28" i="3"/>
  <c r="AE11" i="3"/>
  <c r="AE6" i="3"/>
</calcChain>
</file>

<file path=xl/sharedStrings.xml><?xml version="1.0" encoding="utf-8"?>
<sst xmlns="http://schemas.openxmlformats.org/spreadsheetml/2006/main" count="10418" uniqueCount="4006">
  <si>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</si>
  <si>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</si>
  <si>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</si>
  <si>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</si>
  <si>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</si>
  <si>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</si>
  <si>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</si>
  <si>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</si>
  <si>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</si>
  <si>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</si>
  <si>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</si>
  <si>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</si>
  <si>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</si>
  <si>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</si>
  <si>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</si>
  <si>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</si>
  <si>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</si>
  <si>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</si>
  <si>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CA-2015-140795</t>
  </si>
  <si>
    <t>First Class</t>
  </si>
  <si>
    <t>BD-11500</t>
  </si>
  <si>
    <t>Bradley Drucker</t>
  </si>
  <si>
    <t>Consumer</t>
  </si>
  <si>
    <t>United States</t>
  </si>
  <si>
    <t>Green Bay</t>
  </si>
  <si>
    <t>Wisconsin</t>
  </si>
  <si>
    <t>Central</t>
  </si>
  <si>
    <t>TEC-AC-10001432</t>
  </si>
  <si>
    <t>Technology</t>
  </si>
  <si>
    <t>Accessories</t>
  </si>
  <si>
    <t>Enermax Aurora Lite Keyboard</t>
  </si>
  <si>
    <t>CA-2015-104269</t>
  </si>
  <si>
    <t>Second Class</t>
  </si>
  <si>
    <t>DB-13060</t>
  </si>
  <si>
    <t>Dave Brooks</t>
  </si>
  <si>
    <t>Seattle</t>
  </si>
  <si>
    <t>Washington</t>
  </si>
  <si>
    <t>West</t>
  </si>
  <si>
    <t>FUR-CH-10004063</t>
  </si>
  <si>
    <t>Furniture</t>
  </si>
  <si>
    <t>Chairs</t>
  </si>
  <si>
    <t>Global Deluxe High-Back Manager's Chair</t>
  </si>
  <si>
    <t>US-2015-143707</t>
  </si>
  <si>
    <t>Standard Class</t>
  </si>
  <si>
    <t>HR-14770</t>
  </si>
  <si>
    <t>Hallie Redmond</t>
  </si>
  <si>
    <t>Home Office</t>
  </si>
  <si>
    <t>New York City</t>
  </si>
  <si>
    <t>New York</t>
  </si>
  <si>
    <t>East</t>
  </si>
  <si>
    <t>TEC-PH-10003655</t>
  </si>
  <si>
    <t>Phones</t>
  </si>
  <si>
    <t>Sannysis Cute Owl Design Soft Skin Case Cover for Samsung Galaxy S4</t>
  </si>
  <si>
    <t>CA-2015-113880</t>
  </si>
  <si>
    <t>VF-21715</t>
  </si>
  <si>
    <t>Vicky Freymann</t>
  </si>
  <si>
    <t>Elmhurst</t>
  </si>
  <si>
    <t>Illinois</t>
  </si>
  <si>
    <t>FUR-CH-10000863</t>
  </si>
  <si>
    <t>Novimex Swivel Fabric Task Chair</t>
  </si>
  <si>
    <t>CA-2015-131009</t>
  </si>
  <si>
    <t>SC-20380</t>
  </si>
  <si>
    <t>Shahid Collister</t>
  </si>
  <si>
    <t>El Paso</t>
  </si>
  <si>
    <t>Texas</t>
  </si>
  <si>
    <t>OFF-FA-10004395</t>
  </si>
  <si>
    <t>Office Supplies</t>
  </si>
  <si>
    <t>Fasteners</t>
  </si>
  <si>
    <t>Plymouth Boxed Rubber Bands by Plymouth</t>
  </si>
  <si>
    <t>CA-2015-168312</t>
  </si>
  <si>
    <t>GW-14605</t>
  </si>
  <si>
    <t>Giulietta Weimer</t>
  </si>
  <si>
    <t>Houston</t>
  </si>
  <si>
    <t>OFF-ST-10003692</t>
  </si>
  <si>
    <t>Storage</t>
  </si>
  <si>
    <t>Recycled Steel Personal File for Hanging File Folders</t>
  </si>
  <si>
    <t>US-2015-157021</t>
  </si>
  <si>
    <t>KM-16720</t>
  </si>
  <si>
    <t>Kunst Miller</t>
  </si>
  <si>
    <t>Vallejo</t>
  </si>
  <si>
    <t>California</t>
  </si>
  <si>
    <t>OFF-LA-10002312</t>
  </si>
  <si>
    <t>Labels</t>
  </si>
  <si>
    <t>Avery 490</t>
  </si>
  <si>
    <t>CA-2015-138359</t>
  </si>
  <si>
    <t>KH-16330</t>
  </si>
  <si>
    <t>Katharine Harms</t>
  </si>
  <si>
    <t>Corporate</t>
  </si>
  <si>
    <t>Revere</t>
  </si>
  <si>
    <t>Massachusetts</t>
  </si>
  <si>
    <t>OFF-ST-10000636</t>
  </si>
  <si>
    <t>Rogers Profile Extra Capacity Storage Tub</t>
  </si>
  <si>
    <t>CA-2015-131926</t>
  </si>
  <si>
    <t>DW-13480</t>
  </si>
  <si>
    <t>Dianna Wilson</t>
  </si>
  <si>
    <t>Lakeville</t>
  </si>
  <si>
    <t>Minnesota</t>
  </si>
  <si>
    <t>CA-2015-111003</t>
  </si>
  <si>
    <t>CR-12625</t>
  </si>
  <si>
    <t>Corey Roper</t>
  </si>
  <si>
    <t>Lakewood</t>
  </si>
  <si>
    <t>New Jersey</t>
  </si>
  <si>
    <t>OFF-BI-10001072</t>
  </si>
  <si>
    <t>Binders</t>
  </si>
  <si>
    <t>GBC Clear Cover, 8-1/2 x 11, unpunched, 25 covers per pack</t>
  </si>
  <si>
    <t>US-2015-165659</t>
  </si>
  <si>
    <t>LT-17110</t>
  </si>
  <si>
    <t>Liz Thompson</t>
  </si>
  <si>
    <t>Little Rock</t>
  </si>
  <si>
    <t>Arkansas</t>
  </si>
  <si>
    <t>South</t>
  </si>
  <si>
    <t>FUR-FU-10001935</t>
  </si>
  <si>
    <t>Furnishings</t>
  </si>
  <si>
    <t>3M Hangers With Command Adhesive</t>
  </si>
  <si>
    <t>US-2015-157070</t>
  </si>
  <si>
    <t>QJ-19255</t>
  </si>
  <si>
    <t>Quincy Jones</t>
  </si>
  <si>
    <t>Detroit</t>
  </si>
  <si>
    <t>Michigan</t>
  </si>
  <si>
    <t>OFF-BI-10001765</t>
  </si>
  <si>
    <t>Wilson Jones Heavy-Duty Casebound Ring Binders with Metal Hinges</t>
  </si>
  <si>
    <t>CA-2015-153150</t>
  </si>
  <si>
    <t>Dl-13600</t>
  </si>
  <si>
    <t>Dorris liebe</t>
  </si>
  <si>
    <t>OFF-BI-10003355</t>
  </si>
  <si>
    <t>Cardinal Holdit Business Card Pockets</t>
  </si>
  <si>
    <t>CA-2015-160773</t>
  </si>
  <si>
    <t>LW-16825</t>
  </si>
  <si>
    <t>Laurel Workman</t>
  </si>
  <si>
    <t>Deltona</t>
  </si>
  <si>
    <t>Florida</t>
  </si>
  <si>
    <t>TEC-PH-10004586</t>
  </si>
  <si>
    <t>Wilson SignalBoost 841262 DB PRO Amplifier Kit</t>
  </si>
  <si>
    <t>CA-2015-117345</t>
  </si>
  <si>
    <t>BF-10975</t>
  </si>
  <si>
    <t>Barbara Fisher</t>
  </si>
  <si>
    <t>Charlotte</t>
  </si>
  <si>
    <t>North Carolina</t>
  </si>
  <si>
    <t>OFF-LA-10000240</t>
  </si>
  <si>
    <t>Self-Adhesive Address Labels for Typewriters by Universal</t>
  </si>
  <si>
    <t>CA-2015-152296</t>
  </si>
  <si>
    <t>IL-15100</t>
  </si>
  <si>
    <t>Ivan Liston</t>
  </si>
  <si>
    <t>San Francisco</t>
  </si>
  <si>
    <t>OFF-BI-10004506</t>
  </si>
  <si>
    <t>Wilson Jones data.warehouse D-Ring Binders with DublLock</t>
  </si>
  <si>
    <t>CA-2015-162684</t>
  </si>
  <si>
    <t>AS-10630</t>
  </si>
  <si>
    <t>Ann Steele</t>
  </si>
  <si>
    <t>Philadelphia</t>
  </si>
  <si>
    <t>Pennsylvania</t>
  </si>
  <si>
    <t>OFF-FA-10000992</t>
  </si>
  <si>
    <t>Acco Clips to Go Binder Clips, 24 Clips in Two Sizes</t>
  </si>
  <si>
    <t>CA-2015-126522</t>
  </si>
  <si>
    <t>LT-16765</t>
  </si>
  <si>
    <t>Larry Tron</t>
  </si>
  <si>
    <t>Escondido</t>
  </si>
  <si>
    <t>OFF-AR-10004042</t>
  </si>
  <si>
    <t>Art</t>
  </si>
  <si>
    <t>BOSTON Model 1800 Electric Pencil Sharpeners, Putty/Woodgrain</t>
  </si>
  <si>
    <t>CA-2015-165428</t>
  </si>
  <si>
    <t>JL-15130</t>
  </si>
  <si>
    <t>Jack Lebron</t>
  </si>
  <si>
    <t>OFF-BI-10002949</t>
  </si>
  <si>
    <t>Prestige Round Ring Binders</t>
  </si>
  <si>
    <t>CA-2015-109855</t>
  </si>
  <si>
    <t>LH-16900</t>
  </si>
  <si>
    <t>Lena Hernandez</t>
  </si>
  <si>
    <t>OFF-BI-10004716</t>
  </si>
  <si>
    <t>Wilson Jones Hanging Recycled Pressboard Data Binders</t>
  </si>
  <si>
    <t>US-2015-132745</t>
  </si>
  <si>
    <t>NF-18475</t>
  </si>
  <si>
    <t>Neil FranzÃ¶sisch</t>
  </si>
  <si>
    <t>Reno</t>
  </si>
  <si>
    <t>Nevada</t>
  </si>
  <si>
    <t>OFF-FA-10000254</t>
  </si>
  <si>
    <t>Sterling Rubber Bands by Alliance</t>
  </si>
  <si>
    <t>CA-2015-134313</t>
  </si>
  <si>
    <t>RA-19915</t>
  </si>
  <si>
    <t>Russell Applegate</t>
  </si>
  <si>
    <t>Denver</t>
  </si>
  <si>
    <t>Colorado</t>
  </si>
  <si>
    <t>OFF-AR-10001897</t>
  </si>
  <si>
    <t>Model L Table or Wall-Mount Pencil Sharpener</t>
  </si>
  <si>
    <t>CA-2015-148915</t>
  </si>
  <si>
    <t>ND-18370</t>
  </si>
  <si>
    <t>Natalie DeCherney</t>
  </si>
  <si>
    <t>Portland</t>
  </si>
  <si>
    <t>Oregon</t>
  </si>
  <si>
    <t>OFF-ST-10001128</t>
  </si>
  <si>
    <t>Carina Mini System Audio Rack, Model AR050B</t>
  </si>
  <si>
    <t>CA-2015-102673</t>
  </si>
  <si>
    <t>KH-16630</t>
  </si>
  <si>
    <t>Ken Heidel</t>
  </si>
  <si>
    <t>OFF-FA-10003021</t>
  </si>
  <si>
    <t>Staples</t>
  </si>
  <si>
    <t>CA-2015-126907</t>
  </si>
  <si>
    <t>SM-20950</t>
  </si>
  <si>
    <t>Suzanne McNair</t>
  </si>
  <si>
    <t>Chicago</t>
  </si>
  <si>
    <t>OFF-PA-10000533</t>
  </si>
  <si>
    <t>Paper</t>
  </si>
  <si>
    <t>Southworth Parchment Paper &amp; Envelopes</t>
  </si>
  <si>
    <t>CA-2015-152562</t>
  </si>
  <si>
    <t>JO-15145</t>
  </si>
  <si>
    <t>Jack O'Briant</t>
  </si>
  <si>
    <t>Richmond</t>
  </si>
  <si>
    <t>Kentucky</t>
  </si>
  <si>
    <t>OFF-ST-10000464</t>
  </si>
  <si>
    <t>Multi-Use Personal File Cart and Caster Set, Three Stacking Bins</t>
  </si>
  <si>
    <t>CA-2015-168305</t>
  </si>
  <si>
    <t>PL-18925</t>
  </si>
  <si>
    <t>Paul Lucas</t>
  </si>
  <si>
    <t>Los Angeles</t>
  </si>
  <si>
    <t>OFF-LA-10003498</t>
  </si>
  <si>
    <t>Avery 475</t>
  </si>
  <si>
    <t>US-2015-137155</t>
  </si>
  <si>
    <t>DL-12925</t>
  </si>
  <si>
    <t>Daniel Lacy</t>
  </si>
  <si>
    <t>Long Beach</t>
  </si>
  <si>
    <t>OFF-AP-10002518</t>
  </si>
  <si>
    <t>Appliances</t>
  </si>
  <si>
    <t>Kensington 7 Outlet MasterPiece Power Center</t>
  </si>
  <si>
    <t>CA-2015-139423</t>
  </si>
  <si>
    <t>DG-13300</t>
  </si>
  <si>
    <t>Deirdre Greer</t>
  </si>
  <si>
    <t>Orange</t>
  </si>
  <si>
    <t>OFF-AP-10004708</t>
  </si>
  <si>
    <t>Fellowes Superior 10 Outlet Split Surge Protector</t>
  </si>
  <si>
    <t>CA-2015-120474</t>
  </si>
  <si>
    <t>RP-19390</t>
  </si>
  <si>
    <t>Resi PÃ¶lking</t>
  </si>
  <si>
    <t>Madison</t>
  </si>
  <si>
    <t>FUR-CH-10001854</t>
  </si>
  <si>
    <t>Office Star - Professional Matrix Back Chair with 2-to-1 Synchro Tilt and Mesh Fabric Seat</t>
  </si>
  <si>
    <t>CA-2015-131051</t>
  </si>
  <si>
    <t>TR-21325</t>
  </si>
  <si>
    <t>Toby Ritter</t>
  </si>
  <si>
    <t>FUR-FU-10001861</t>
  </si>
  <si>
    <t>Floodlight Indoor Halogen Bulbs, 1 Bulb per Pack, 60 Watts</t>
  </si>
  <si>
    <t>CA-2015-131527</t>
  </si>
  <si>
    <t>TB-21280</t>
  </si>
  <si>
    <t>Toby Braunhardt</t>
  </si>
  <si>
    <t>Jacksonville</t>
  </si>
  <si>
    <t>TEC-PH-10001644</t>
  </si>
  <si>
    <t>BlueLounge Milo Smartphone Stand, White/Metallic</t>
  </si>
  <si>
    <t>CA-2015-150798</t>
  </si>
  <si>
    <t>JK-15730</t>
  </si>
  <si>
    <t>Joe Kamberova</t>
  </si>
  <si>
    <t>Columbus</t>
  </si>
  <si>
    <t>Ohio</t>
  </si>
  <si>
    <t>TEC-CO-10001571</t>
  </si>
  <si>
    <t>Copiers</t>
  </si>
  <si>
    <t>Sharp 1540cs Digital Laser Copier</t>
  </si>
  <si>
    <t>US-2015-161613</t>
  </si>
  <si>
    <t>MC-17605</t>
  </si>
  <si>
    <t>Matt Connell</t>
  </si>
  <si>
    <t>FUR-CH-10003746</t>
  </si>
  <si>
    <t>Hon 4070 Series Pagoda Round Back Stacking Chairs</t>
  </si>
  <si>
    <t>CA-2015-143210</t>
  </si>
  <si>
    <t>AA-10645</t>
  </si>
  <si>
    <t>Anna Andreadi</t>
  </si>
  <si>
    <t>Lowell</t>
  </si>
  <si>
    <t>TEC-PH-10004434</t>
  </si>
  <si>
    <t>Cisco IPÂ PhoneÂ 7961G VoIPÂ phoneÂ - Dark gray</t>
  </si>
  <si>
    <t>CA-2015-139857</t>
  </si>
  <si>
    <t>CD-12790</t>
  </si>
  <si>
    <t>Cynthia Delaney</t>
  </si>
  <si>
    <t>San Diego</t>
  </si>
  <si>
    <t>OFF-FA-10001843</t>
  </si>
  <si>
    <t>CA-2015-123400</t>
  </si>
  <si>
    <t>EB-13930</t>
  </si>
  <si>
    <t>Eric Barreto</t>
  </si>
  <si>
    <t>Saint Petersburg</t>
  </si>
  <si>
    <t>OFF-BI-10000666</t>
  </si>
  <si>
    <t>Surelock Post Binders</t>
  </si>
  <si>
    <t>CA-2015-107524</t>
  </si>
  <si>
    <t>KN-16705</t>
  </si>
  <si>
    <t>Kristina Nunn</t>
  </si>
  <si>
    <t>OFF-EN-10001990</t>
  </si>
  <si>
    <t>Envelopes</t>
  </si>
  <si>
    <t>Staple envelope</t>
  </si>
  <si>
    <t>CA-2015-164315</t>
  </si>
  <si>
    <t>RD-19585</t>
  </si>
  <si>
    <t>Rob Dowd</t>
  </si>
  <si>
    <t>Athens</t>
  </si>
  <si>
    <t>Georgia</t>
  </si>
  <si>
    <t>OFF-PA-10004248</t>
  </si>
  <si>
    <t>Xerox 1990</t>
  </si>
  <si>
    <t>US-2015-157847</t>
  </si>
  <si>
    <t>SC-20020</t>
  </si>
  <si>
    <t>Sam Craven</t>
  </si>
  <si>
    <t>OFF-PA-10002986</t>
  </si>
  <si>
    <t>Xerox 1898</t>
  </si>
  <si>
    <t>CA-2015-160276</t>
  </si>
  <si>
    <t>AH-10690</t>
  </si>
  <si>
    <t>Anna HÃ¤berlin</t>
  </si>
  <si>
    <t>Virginia Beach</t>
  </si>
  <si>
    <t>Virginia</t>
  </si>
  <si>
    <t>FUR-FU-10003192</t>
  </si>
  <si>
    <t>Luxo Adjustable Task Clamp Lamp</t>
  </si>
  <si>
    <t>CA-2015-115056</t>
  </si>
  <si>
    <t>Same Day</t>
  </si>
  <si>
    <t>AR-10510</t>
  </si>
  <si>
    <t>Andrew Roberts</t>
  </si>
  <si>
    <t>OFF-AP-10003971</t>
  </si>
  <si>
    <t>Belkin 6 Outlet Metallic Surge Strip</t>
  </si>
  <si>
    <t>CA-2015-124618</t>
  </si>
  <si>
    <t>CS-11860</t>
  </si>
  <si>
    <t>Cari Schnelling</t>
  </si>
  <si>
    <t>Lakeland</t>
  </si>
  <si>
    <t>TEC-CO-10004202</t>
  </si>
  <si>
    <t>Brother DCP1000 Digital 3 in 1 Multifunction Machine</t>
  </si>
  <si>
    <t>CA-2015-104472</t>
  </si>
  <si>
    <t>CK-12325</t>
  </si>
  <si>
    <t>Christine Kargatis</t>
  </si>
  <si>
    <t>Orem</t>
  </si>
  <si>
    <t>Utah</t>
  </si>
  <si>
    <t>OFF-BI-10001658</t>
  </si>
  <si>
    <t>GBC Standard Therm-A-Bind Covers</t>
  </si>
  <si>
    <t>CA-2015-100895</t>
  </si>
  <si>
    <t>SV-20785</t>
  </si>
  <si>
    <t>Stewart Visinsky</t>
  </si>
  <si>
    <t>Roswell</t>
  </si>
  <si>
    <t>OFF-AR-10004511</t>
  </si>
  <si>
    <t>Sanford Colorific Scented Colored Pencils, 12/Pack</t>
  </si>
  <si>
    <t>CA-2015-107594</t>
  </si>
  <si>
    <t>EH-13945</t>
  </si>
  <si>
    <t>Eric Hoffmann</t>
  </si>
  <si>
    <t>Plainfield</t>
  </si>
  <si>
    <t>TEC-PH-10002923</t>
  </si>
  <si>
    <t>Logitech B530 USBÂ HeadsetÂ -Â headsetÂ - Full size, Binaural</t>
  </si>
  <si>
    <t>US-2015-106299</t>
  </si>
  <si>
    <t>NZ-18565</t>
  </si>
  <si>
    <t>Nick Zandusky</t>
  </si>
  <si>
    <t>Springfield</t>
  </si>
  <si>
    <t>Missouri</t>
  </si>
  <si>
    <t>OFF-BI-10001758</t>
  </si>
  <si>
    <t>Wilson Jones 14 Line Acrylic Coated Pressboard Data Binders</t>
  </si>
  <si>
    <t>CA-2015-157721</t>
  </si>
  <si>
    <t>JM-16195</t>
  </si>
  <si>
    <t>Justin MacKendrick</t>
  </si>
  <si>
    <t>Watertown</t>
  </si>
  <si>
    <t>OFF-AP-10001303</t>
  </si>
  <si>
    <t>Holmes Cool Mist Humidifier for the Whole House with 8-Gallon Output per Day, Extended Life Filter</t>
  </si>
  <si>
    <t>CA-2015-127936</t>
  </si>
  <si>
    <t>CL-12565</t>
  </si>
  <si>
    <t>Clay Ludtke</t>
  </si>
  <si>
    <t>OFF-AR-10002445</t>
  </si>
  <si>
    <t>SANFORD Major Accent Highlighters</t>
  </si>
  <si>
    <t>US-2015-138828</t>
  </si>
  <si>
    <t>KD-16345</t>
  </si>
  <si>
    <t>Katherine Ducich</t>
  </si>
  <si>
    <t>OFF-AR-10000658</t>
  </si>
  <si>
    <t>Newell 324</t>
  </si>
  <si>
    <t>CA-2015-151792</t>
  </si>
  <si>
    <t>CV-12295</t>
  </si>
  <si>
    <t>Christina VanderZanden</t>
  </si>
  <si>
    <t>TEC-AC-10001606</t>
  </si>
  <si>
    <t>Logitech Wireless Performance Mouse MX for PC and Mac</t>
  </si>
  <si>
    <t>CA-2015-158281</t>
  </si>
  <si>
    <t>AG-10525</t>
  </si>
  <si>
    <t>Andy Gerbode</t>
  </si>
  <si>
    <t>TEC-MA-10002210</t>
  </si>
  <si>
    <t>Machines</t>
  </si>
  <si>
    <t>Epson TM-T88V Direct Thermal Printer - Monochrome - Desktop</t>
  </si>
  <si>
    <t>CA-2015-152268</t>
  </si>
  <si>
    <t>SC-20095</t>
  </si>
  <si>
    <t>Sanjit Chand</t>
  </si>
  <si>
    <t>Fayetteville</t>
  </si>
  <si>
    <t>OFF-BI-10001359</t>
  </si>
  <si>
    <t>GBC DocuBind TL300 Electric Binding System</t>
  </si>
  <si>
    <t>CA-2015-106971</t>
  </si>
  <si>
    <t>BM-11785</t>
  </si>
  <si>
    <t>Bryan Mills</t>
  </si>
  <si>
    <t>Buffalo Grove</t>
  </si>
  <si>
    <t>TEC-AC-10000844</t>
  </si>
  <si>
    <t>LogitechÂ Gaming G510s - Keyboard</t>
  </si>
  <si>
    <t>CA-2015-108189</t>
  </si>
  <si>
    <t>ES-14080</t>
  </si>
  <si>
    <t>Erin Smith</t>
  </si>
  <si>
    <t>Tempe</t>
  </si>
  <si>
    <t>Arizona</t>
  </si>
  <si>
    <t>OFF-PA-10001838</t>
  </si>
  <si>
    <t>Adams Telephone Message Book W/Dividers/Space For Phone Numbers, 5 1/4"X8 1/2", 300/Messages</t>
  </si>
  <si>
    <t>CA-2015-107454</t>
  </si>
  <si>
    <t>RD-19720</t>
  </si>
  <si>
    <t>Roger Demir</t>
  </si>
  <si>
    <t>OFF-LA-10001569</t>
  </si>
  <si>
    <t>Avery 499</t>
  </si>
  <si>
    <t>CA-2015-148782</t>
  </si>
  <si>
    <t>PO-18850</t>
  </si>
  <si>
    <t>Patrick O'Brill</t>
  </si>
  <si>
    <t>Irving</t>
  </si>
  <si>
    <t>CA-2015-129147</t>
  </si>
  <si>
    <t>LC-17050</t>
  </si>
  <si>
    <t>Liz Carlisle</t>
  </si>
  <si>
    <t>Medina</t>
  </si>
  <si>
    <t>TEC-PH-10001299</t>
  </si>
  <si>
    <t>Polycom CX300 Desktop Phone USB VoIP phone</t>
  </si>
  <si>
    <t>CA-2015-120670</t>
  </si>
  <si>
    <t>JK-16120</t>
  </si>
  <si>
    <t>Julie Kriz</t>
  </si>
  <si>
    <t>Fort Lauderdale</t>
  </si>
  <si>
    <t>TEC-AC-10004171</t>
  </si>
  <si>
    <t>Razer Kraken 7.1 Surround Sound Over Ear USB Gaming Headset</t>
  </si>
  <si>
    <t>CA-2015-115889</t>
  </si>
  <si>
    <t>SH-20395</t>
  </si>
  <si>
    <t>Shahid Hopkins</t>
  </si>
  <si>
    <t>TEC-PH-10001615</t>
  </si>
  <si>
    <t>AT&amp;T CL82213</t>
  </si>
  <si>
    <t>CA-2015-134726</t>
  </si>
  <si>
    <t>SW-20755</t>
  </si>
  <si>
    <t>Steven Ward</t>
  </si>
  <si>
    <t>TEC-AC-10000023</t>
  </si>
  <si>
    <t>Maxell 74 Minute CD-R Spindle, 50/Pack</t>
  </si>
  <si>
    <t>CA-2015-112158</t>
  </si>
  <si>
    <t>DP-13165</t>
  </si>
  <si>
    <t>David Philippe</t>
  </si>
  <si>
    <t>TEC-AC-10003628</t>
  </si>
  <si>
    <t>Logitech 910-002974 M325 Wireless Mouse for Web Scrolling</t>
  </si>
  <si>
    <t>US-2015-117744</t>
  </si>
  <si>
    <t>MD-17860</t>
  </si>
  <si>
    <t>Michael Dominguez</t>
  </si>
  <si>
    <t>Corpus Christi</t>
  </si>
  <si>
    <t>FUR-FU-10001588</t>
  </si>
  <si>
    <t>Deflect-o SuperTray Unbreakable Stackable Tray, Letter, Black</t>
  </si>
  <si>
    <t>CA-2015-132864</t>
  </si>
  <si>
    <t>KN-16390</t>
  </si>
  <si>
    <t>Katherine Nockton</t>
  </si>
  <si>
    <t>TEC-AC-10001267</t>
  </si>
  <si>
    <t>ImationÂ 32GB Pocket Pro USB 3.0Â Flash DriveÂ - 32 GB - Black - 1 P ...</t>
  </si>
  <si>
    <t>CA-2015-101147</t>
  </si>
  <si>
    <t>MC-17575</t>
  </si>
  <si>
    <t>Matt Collins</t>
  </si>
  <si>
    <t>OFF-AP-10004249</t>
  </si>
  <si>
    <t>Staple holder</t>
  </si>
  <si>
    <t>CA-2015-154095</t>
  </si>
  <si>
    <t>ON-18715</t>
  </si>
  <si>
    <t>Odella Nelson</t>
  </si>
  <si>
    <t>Clinton</t>
  </si>
  <si>
    <t>Maryland</t>
  </si>
  <si>
    <t>FUR-FU-10003849</t>
  </si>
  <si>
    <t>DAX Metal Frame, Desktop, Stepped-Edge</t>
  </si>
  <si>
    <t>CA-2015-103807</t>
  </si>
  <si>
    <t>EM-13825</t>
  </si>
  <si>
    <t>Elizabeth Moffitt</t>
  </si>
  <si>
    <t>Sandy Springs</t>
  </si>
  <si>
    <t>TEC-AC-10000199</t>
  </si>
  <si>
    <t>Kingston Digital DataTraveler 8GB USB 2.0</t>
  </si>
  <si>
    <t>CA-2015-103800</t>
  </si>
  <si>
    <t>DP-13000</t>
  </si>
  <si>
    <t>Darren Powers</t>
  </si>
  <si>
    <t>OFF-PA-10000174</t>
  </si>
  <si>
    <t>Message Book, Wirebound, Four 5 1/2" X 4" Forms/Pg., 200 Dupl. Sets/Book</t>
  </si>
  <si>
    <t>CA-2015-111059</t>
  </si>
  <si>
    <t>TB-21400</t>
  </si>
  <si>
    <t>Tom Boeckenhauer</t>
  </si>
  <si>
    <t>OFF-BI-10004593</t>
  </si>
  <si>
    <t>Ibico Laser Imprintable Binding System Covers</t>
  </si>
  <si>
    <t>CA-2015-155852</t>
  </si>
  <si>
    <t>AJ-10945</t>
  </si>
  <si>
    <t>Ashley Jarboe</t>
  </si>
  <si>
    <t>Wilmington</t>
  </si>
  <si>
    <t>OFF-AR-10003560</t>
  </si>
  <si>
    <t>Zebra Zazzle Fluorescent Highlighters</t>
  </si>
  <si>
    <t>CA-2015-127964</t>
  </si>
  <si>
    <t>AP-10720</t>
  </si>
  <si>
    <t>Anne Pryor</t>
  </si>
  <si>
    <t>TEC-PH-10004700</t>
  </si>
  <si>
    <t>PowerGen Dual USB Car Charger</t>
  </si>
  <si>
    <t>US-2015-127978</t>
  </si>
  <si>
    <t>JS-15595</t>
  </si>
  <si>
    <t>Jill Stevenson</t>
  </si>
  <si>
    <t>OFF-LA-10000305</t>
  </si>
  <si>
    <t>Avery 495</t>
  </si>
  <si>
    <t>CA-2015-105648</t>
  </si>
  <si>
    <t>EJ-14155</t>
  </si>
  <si>
    <t>Eva Jacobs</t>
  </si>
  <si>
    <t>FUR-TA-10002958</t>
  </si>
  <si>
    <t>Tables</t>
  </si>
  <si>
    <t>Bevis Oval Conference Table, Walnut</t>
  </si>
  <si>
    <t>CA-2015-130274</t>
  </si>
  <si>
    <t>JS-15940</t>
  </si>
  <si>
    <t>Joni Sundaresam</t>
  </si>
  <si>
    <t>Appleton</t>
  </si>
  <si>
    <t>OFF-LA-10002195</t>
  </si>
  <si>
    <t>Avery 481</t>
  </si>
  <si>
    <t>CA-2015-135755</t>
  </si>
  <si>
    <t>NC-18415</t>
  </si>
  <si>
    <t>Nathan Cano</t>
  </si>
  <si>
    <t>Yonkers</t>
  </si>
  <si>
    <t>OFF-BI-10004828</t>
  </si>
  <si>
    <t>GBC Poly Designer Binding Covers</t>
  </si>
  <si>
    <t>CA-2015-135657</t>
  </si>
  <si>
    <t>SC-20725</t>
  </si>
  <si>
    <t>Steven Cartwright</t>
  </si>
  <si>
    <t>FUR-TA-10004086</t>
  </si>
  <si>
    <t>KI Adjustable-Height Table</t>
  </si>
  <si>
    <t>CA-2015-141299</t>
  </si>
  <si>
    <t>RB-19795</t>
  </si>
  <si>
    <t>Ross Baird</t>
  </si>
  <si>
    <t>Midland</t>
  </si>
  <si>
    <t>OFF-EN-10004459</t>
  </si>
  <si>
    <t>Security-Tint Envelopes</t>
  </si>
  <si>
    <t>CA-2015-133690</t>
  </si>
  <si>
    <t>BS-11755</t>
  </si>
  <si>
    <t>Bruce Stewart</t>
  </si>
  <si>
    <t>FUR-TA-10004289</t>
  </si>
  <si>
    <t>BoxOffice By Design Rectangular and Half-Moon Meeting Room Tables</t>
  </si>
  <si>
    <t>CA-2015-125612</t>
  </si>
  <si>
    <t>BK-11260</t>
  </si>
  <si>
    <t>Berenike Kampe</t>
  </si>
  <si>
    <t>OFF-PA-10001019</t>
  </si>
  <si>
    <t>Xerox 1884</t>
  </si>
  <si>
    <t>CA-2015-128986</t>
  </si>
  <si>
    <t>GH-14410</t>
  </si>
  <si>
    <t>Gary Hansen</t>
  </si>
  <si>
    <t>Glendale</t>
  </si>
  <si>
    <t>OFF-PA-10001289</t>
  </si>
  <si>
    <t>White Computer Printout Paper by Universal</t>
  </si>
  <si>
    <t>CA-2015-125171</t>
  </si>
  <si>
    <t>AG-10390</t>
  </si>
  <si>
    <t>Allen Goldenen</t>
  </si>
  <si>
    <t>OFF-LA-10001175</t>
  </si>
  <si>
    <t>Avery 514</t>
  </si>
  <si>
    <t>US-2015-120236</t>
  </si>
  <si>
    <t>MR-17545</t>
  </si>
  <si>
    <t>Mathew Reese</t>
  </si>
  <si>
    <t>OFF-BI-10004099</t>
  </si>
  <si>
    <t>GBC VeloBinder Strips</t>
  </si>
  <si>
    <t>CA-2015-153976</t>
  </si>
  <si>
    <t>BP-11290</t>
  </si>
  <si>
    <t>Beth Paige</t>
  </si>
  <si>
    <t>Evanston</t>
  </si>
  <si>
    <t>FUR-CH-10002880</t>
  </si>
  <si>
    <t>Global High-Back Leather Tilter, Burgundy</t>
  </si>
  <si>
    <t>CA-2015-157882</t>
  </si>
  <si>
    <t>AR-10405</t>
  </si>
  <si>
    <t>Allen Rosenblatt</t>
  </si>
  <si>
    <t>FUR-TA-10001866</t>
  </si>
  <si>
    <t>Bevis Round Conference Room Tables and Bases</t>
  </si>
  <si>
    <t>US-2015-155817</t>
  </si>
  <si>
    <t>SL-20155</t>
  </si>
  <si>
    <t>Sara Luxemburg</t>
  </si>
  <si>
    <t>Durham</t>
  </si>
  <si>
    <t>OFF-ST-10000532</t>
  </si>
  <si>
    <t>Advantus Rolling Drawer Organizers</t>
  </si>
  <si>
    <t>CA-2015-108903</t>
  </si>
  <si>
    <t>DO-13435</t>
  </si>
  <si>
    <t>Denny Ordway</t>
  </si>
  <si>
    <t>OFF-AR-10004010</t>
  </si>
  <si>
    <t>Hunt Boston Vacuum Mount KS Pencil Sharpener</t>
  </si>
  <si>
    <t>CA-2015-120775</t>
  </si>
  <si>
    <t>RD-19930</t>
  </si>
  <si>
    <t>Russell D'Ascenzo</t>
  </si>
  <si>
    <t>Dallas</t>
  </si>
  <si>
    <t>OFF-FA-10002676</t>
  </si>
  <si>
    <t>Colored Push Pins</t>
  </si>
  <si>
    <t>CA-2015-137589</t>
  </si>
  <si>
    <t>MS-17770</t>
  </si>
  <si>
    <t>Maxwell Schwartz</t>
  </si>
  <si>
    <t>Lancaster</t>
  </si>
  <si>
    <t>OFF-SU-10000157</t>
  </si>
  <si>
    <t>Supplies</t>
  </si>
  <si>
    <t>Compact Automatic Electric Letter Opener</t>
  </si>
  <si>
    <t>CA-2015-121573</t>
  </si>
  <si>
    <t>SG-20605</t>
  </si>
  <si>
    <t>Speros Goranitis</t>
  </si>
  <si>
    <t>TEC-PH-10000984</t>
  </si>
  <si>
    <t>Panasonic KX-TG9471B</t>
  </si>
  <si>
    <t>CA-2015-146731</t>
  </si>
  <si>
    <t>AT-10735</t>
  </si>
  <si>
    <t>Annie Thurman</t>
  </si>
  <si>
    <t>Nashville</t>
  </si>
  <si>
    <t>Tennessee</t>
  </si>
  <si>
    <t>OFF-PA-10000141</t>
  </si>
  <si>
    <t>Ampad Evidence Wirebond Steno Books, 6" x 9"</t>
  </si>
  <si>
    <t>CA-2015-119529</t>
  </si>
  <si>
    <t>DM-13345</t>
  </si>
  <si>
    <t>Denise Monton</t>
  </si>
  <si>
    <t>OFF-BI-10000546</t>
  </si>
  <si>
    <t>Avery Durable Binders</t>
  </si>
  <si>
    <t>US-2015-124625</t>
  </si>
  <si>
    <t>SP-20650</t>
  </si>
  <si>
    <t>Stephanie Phelps</t>
  </si>
  <si>
    <t>Omaha</t>
  </si>
  <si>
    <t>Nebraska</t>
  </si>
  <si>
    <t>TEC-AC-10003280</t>
  </si>
  <si>
    <t>Belkin F8E887 USB Wired Ergonomic Keyboard</t>
  </si>
  <si>
    <t>CA-2015-153619</t>
  </si>
  <si>
    <t>TC-21535</t>
  </si>
  <si>
    <t>Tracy Collins</t>
  </si>
  <si>
    <t>OFF-AR-10001868</t>
  </si>
  <si>
    <t>Prang Dustless Chalk Sticks</t>
  </si>
  <si>
    <t>CA-2015-122749</t>
  </si>
  <si>
    <t>NG-18430</t>
  </si>
  <si>
    <t>Nathan Gelder</t>
  </si>
  <si>
    <t>Oklahoma City</t>
  </si>
  <si>
    <t>Oklahoma</t>
  </si>
  <si>
    <t>TEC-PH-10003811</t>
  </si>
  <si>
    <t>Jabra Supreme Plus Driver EditionÂ Headset</t>
  </si>
  <si>
    <t>CA-2015-164861</t>
  </si>
  <si>
    <t>MC-17635</t>
  </si>
  <si>
    <t>Matthew Clasen</t>
  </si>
  <si>
    <t>Saint Louis</t>
  </si>
  <si>
    <t>OFF-PA-10001972</t>
  </si>
  <si>
    <t>Xerox 214</t>
  </si>
  <si>
    <t>CA-2015-112326</t>
  </si>
  <si>
    <t>PO-19195</t>
  </si>
  <si>
    <t>Phillina Ober</t>
  </si>
  <si>
    <t>Naperville</t>
  </si>
  <si>
    <t>OFF-LA-10003223</t>
  </si>
  <si>
    <t>Avery 508</t>
  </si>
  <si>
    <t>CA-2015-107181</t>
  </si>
  <si>
    <t>DB-13270</t>
  </si>
  <si>
    <t>Deborah Brumfield</t>
  </si>
  <si>
    <t>OFF-BI-10004230</t>
  </si>
  <si>
    <t>GBC Recycled Grain Textured Covers</t>
  </si>
  <si>
    <t>CA-2015-104808</t>
  </si>
  <si>
    <t>MH-17440</t>
  </si>
  <si>
    <t>Mark Haberlin</t>
  </si>
  <si>
    <t>OFF-BI-10003676</t>
  </si>
  <si>
    <t>GBC Standard Recycled Report Covers, Clear Plastic Sheets</t>
  </si>
  <si>
    <t>CA-2015-105172</t>
  </si>
  <si>
    <t>PK-18910</t>
  </si>
  <si>
    <t>Paul Knutson</t>
  </si>
  <si>
    <t>OFF-LA-10001641</t>
  </si>
  <si>
    <t>Avery 518</t>
  </si>
  <si>
    <t>CA-2015-133228</t>
  </si>
  <si>
    <t>MS-17710</t>
  </si>
  <si>
    <t>Maurice Satty</t>
  </si>
  <si>
    <t>FUR-FU-10004020</t>
  </si>
  <si>
    <t>Advantus Panel Wall Acrylic Frame</t>
  </si>
  <si>
    <t>US-2015-128685</t>
  </si>
  <si>
    <t>MZ-17515</t>
  </si>
  <si>
    <t>Mary Zewe</t>
  </si>
  <si>
    <t>OFF-BI-10004140</t>
  </si>
  <si>
    <t>Avery Non-Stick Binders</t>
  </si>
  <si>
    <t>CA-2015-149538</t>
  </si>
  <si>
    <t>KB-16585</t>
  </si>
  <si>
    <t>Ken Black</t>
  </si>
  <si>
    <t>Lafayette</t>
  </si>
  <si>
    <t>Louisiana</t>
  </si>
  <si>
    <t>OFF-ST-10004180</t>
  </si>
  <si>
    <t>Safco Commercial Shelving</t>
  </si>
  <si>
    <t>CA-2015-117709</t>
  </si>
  <si>
    <t>PM-18940</t>
  </si>
  <si>
    <t>Paul MacIntyre</t>
  </si>
  <si>
    <t>Jackson</t>
  </si>
  <si>
    <t>OFF-BI-10001294</t>
  </si>
  <si>
    <t>Fellowes Binding Cases</t>
  </si>
  <si>
    <t>CA-2015-155271</t>
  </si>
  <si>
    <t>AA-10480</t>
  </si>
  <si>
    <t>Andrew Allen</t>
  </si>
  <si>
    <t>Middletown</t>
  </si>
  <si>
    <t>Connecticut</t>
  </si>
  <si>
    <t>FUR-FU-10001473</t>
  </si>
  <si>
    <t>DAX Wood Document Frame</t>
  </si>
  <si>
    <t>CA-2015-111899</t>
  </si>
  <si>
    <t>NC-18340</t>
  </si>
  <si>
    <t>Nat Carroll</t>
  </si>
  <si>
    <t>OFF-AR-10001725</t>
  </si>
  <si>
    <t>Boston Home &amp; Office Model 2000 Electric Pencil Sharpeners</t>
  </si>
  <si>
    <t>US-2015-148194</t>
  </si>
  <si>
    <t>BS-11365</t>
  </si>
  <si>
    <t>Bill Shonely</t>
  </si>
  <si>
    <t>FUR-FU-10001852</t>
  </si>
  <si>
    <t>Eldon Regeneration Recycled Desk Accessories, Smoke</t>
  </si>
  <si>
    <t>CA-2015-147914</t>
  </si>
  <si>
    <t>MP-17470</t>
  </si>
  <si>
    <t>Mark Packer</t>
  </si>
  <si>
    <t>OFF-PA-10001685</t>
  </si>
  <si>
    <t>Easy-staple paper</t>
  </si>
  <si>
    <t>CA-2015-151946</t>
  </si>
  <si>
    <t>BT-11440</t>
  </si>
  <si>
    <t>Bobby Trafton</t>
  </si>
  <si>
    <t>FUR-FU-10002878</t>
  </si>
  <si>
    <t>Seth Thomas 14" Day/Date Wall Clock</t>
  </si>
  <si>
    <t>CA-2015-120096</t>
  </si>
  <si>
    <t>KE-16420</t>
  </si>
  <si>
    <t>Katrina Edelman</t>
  </si>
  <si>
    <t>Aurora</t>
  </si>
  <si>
    <t>OFF-PA-10001977</t>
  </si>
  <si>
    <t>Xerox 194</t>
  </si>
  <si>
    <t>CA-2015-126361</t>
  </si>
  <si>
    <t>VD-21670</t>
  </si>
  <si>
    <t>Valerie Dominguez</t>
  </si>
  <si>
    <t>Pleasant Grove</t>
  </si>
  <si>
    <t>OFF-AP-10003590</t>
  </si>
  <si>
    <t>Hoover WindTunnel Plus Canister Vacuum</t>
  </si>
  <si>
    <t>CA-2015-134215</t>
  </si>
  <si>
    <t>ML-17395</t>
  </si>
  <si>
    <t>Marina Lichtenstein</t>
  </si>
  <si>
    <t>Bangor</t>
  </si>
  <si>
    <t>Maine</t>
  </si>
  <si>
    <t>OFF-AP-10001271</t>
  </si>
  <si>
    <t>Eureka The Boss Cordless Rechargeable Stick Vac</t>
  </si>
  <si>
    <t>CA-2015-153479</t>
  </si>
  <si>
    <t>DF-13135</t>
  </si>
  <si>
    <t>David Flashing</t>
  </si>
  <si>
    <t>OFF-LA-10004689</t>
  </si>
  <si>
    <t>Avery 512</t>
  </si>
  <si>
    <t>CA-2015-102085</t>
  </si>
  <si>
    <t>JD-16015</t>
  </si>
  <si>
    <t>Joy Daniels</t>
  </si>
  <si>
    <t>OFF-LA-10002475</t>
  </si>
  <si>
    <t>Avery 519</t>
  </si>
  <si>
    <t>CA-2015-166891</t>
  </si>
  <si>
    <t>CC-12220</t>
  </si>
  <si>
    <t>Chris Cortes</t>
  </si>
  <si>
    <t>FUR-CH-10003298</t>
  </si>
  <si>
    <t>Office Star - Contemporary Task Swivel chair with Loop Arms, Charcoal</t>
  </si>
  <si>
    <t>CA-2015-164973</t>
  </si>
  <si>
    <t>NM-18445</t>
  </si>
  <si>
    <t>Nathan Mautz</t>
  </si>
  <si>
    <t>FUR-CH-10002602</t>
  </si>
  <si>
    <t>DMI Arturo Collection Mission-style Design Wood Chair</t>
  </si>
  <si>
    <t>CA-2015-149244</t>
  </si>
  <si>
    <t>MS-17530</t>
  </si>
  <si>
    <t>MaryBeth Skach</t>
  </si>
  <si>
    <t>FUR-FU-10004671</t>
  </si>
  <si>
    <t>Executive Impressions 12" Wall Clock</t>
  </si>
  <si>
    <t>CA-2015-125829</t>
  </si>
  <si>
    <t>WB-21850</t>
  </si>
  <si>
    <t>William Brown</t>
  </si>
  <si>
    <t>TEC-PH-10001079</t>
  </si>
  <si>
    <t>Polycom SoundPoint Pro SE-225 Corded phone</t>
  </si>
  <si>
    <t>CA-2015-132227</t>
  </si>
  <si>
    <t>SZ-20035</t>
  </si>
  <si>
    <t>Sam Zeldin</t>
  </si>
  <si>
    <t>OFF-BI-10000962</t>
  </si>
  <si>
    <t>Acco Flexible ACCOHIDE Square Ring Data Binder, Dark Blue, 11 1/2" X 14" 7/8"</t>
  </si>
  <si>
    <t>US-2015-134187</t>
  </si>
  <si>
    <t>TH-21235</t>
  </si>
  <si>
    <t>Tiffany House</t>
  </si>
  <si>
    <t>OFF-AR-10000940</t>
  </si>
  <si>
    <t>Newell 343</t>
  </si>
  <si>
    <t>CA-2015-127187</t>
  </si>
  <si>
    <t>CP-12085</t>
  </si>
  <si>
    <t>Cathy Prescott</t>
  </si>
  <si>
    <t>TEC-PH-10000673</t>
  </si>
  <si>
    <t>Plantronics Voyager Pro HD - Bluetooth Headset</t>
  </si>
  <si>
    <t>CA-2015-141817</t>
  </si>
  <si>
    <t>MB-18085</t>
  </si>
  <si>
    <t>Mick Brown</t>
  </si>
  <si>
    <t>OFF-AR-10003478</t>
  </si>
  <si>
    <t>Avery Hi-Liter EverBold Pen Style Fluorescent Highlighters, 4/Pack</t>
  </si>
  <si>
    <t>CA-2015-169061</t>
  </si>
  <si>
    <t>AB-10150</t>
  </si>
  <si>
    <t>Aimee Bixby</t>
  </si>
  <si>
    <t>OFF-AR-10000588</t>
  </si>
  <si>
    <t>Newell 345</t>
  </si>
  <si>
    <t>CA-2015-113887</t>
  </si>
  <si>
    <t>TH-21550</t>
  </si>
  <si>
    <t>Tracy Hopkins</t>
  </si>
  <si>
    <t>OFF-PA-10004071</t>
  </si>
  <si>
    <t>Eaton Premium Continuous-Feed Paper, 25% Cotton, Letter Size, White, 1000 Shts/Box</t>
  </si>
  <si>
    <t>CA-2015-102988</t>
  </si>
  <si>
    <t>GM-14695</t>
  </si>
  <si>
    <t>Greg Maxwell</t>
  </si>
  <si>
    <t>Alexandria</t>
  </si>
  <si>
    <t>OFF-AR-10004757</t>
  </si>
  <si>
    <t>Crayola Colored Pencils</t>
  </si>
  <si>
    <t>CA-2015-151001</t>
  </si>
  <si>
    <t>JG-15805</t>
  </si>
  <si>
    <t>John Grady</t>
  </si>
  <si>
    <t>Decatur</t>
  </si>
  <si>
    <t>OFF-ST-10003455</t>
  </si>
  <si>
    <t>Tenex File Box, Personal Filing Tote with Lid, Black</t>
  </si>
  <si>
    <t>CA-2015-149104</t>
  </si>
  <si>
    <t>RD-19900</t>
  </si>
  <si>
    <t>Ruben Dartt</t>
  </si>
  <si>
    <t>Dearborn Heights</t>
  </si>
  <si>
    <t>OFF-AR-10002952</t>
  </si>
  <si>
    <t>Stanley Contemporary Battery Pencil Sharpeners</t>
  </si>
  <si>
    <t>CA-2015-166457</t>
  </si>
  <si>
    <t>PF-19120</t>
  </si>
  <si>
    <t>Peter Fuller</t>
  </si>
  <si>
    <t>OFF-PA-10003016</t>
  </si>
  <si>
    <t>Adams "While You Were Out" Message Pads</t>
  </si>
  <si>
    <t>CA-2015-110219</t>
  </si>
  <si>
    <t>EB-13870</t>
  </si>
  <si>
    <t>Emily Burns</t>
  </si>
  <si>
    <t>San Antonio</t>
  </si>
  <si>
    <t>FUR-CH-10001146</t>
  </si>
  <si>
    <t>Global Value Mid-Back Manager's Chair, Gray</t>
  </si>
  <si>
    <t>CA-2015-111934</t>
  </si>
  <si>
    <t>GD-14590</t>
  </si>
  <si>
    <t>Giulietta Dortch</t>
  </si>
  <si>
    <t>Arlington</t>
  </si>
  <si>
    <t>OFF-BI-10004364</t>
  </si>
  <si>
    <t>Storex Dura Pro Binders</t>
  </si>
  <si>
    <t>CA-2015-157784</t>
  </si>
  <si>
    <t>MC-17845</t>
  </si>
  <si>
    <t>Michael Chen</t>
  </si>
  <si>
    <t>Mississippi</t>
  </si>
  <si>
    <t>TEC-AC-10003911</t>
  </si>
  <si>
    <t>NETGEAR AC1750 Dual Band GigabitÂ Smart WiFi Router</t>
  </si>
  <si>
    <t>US-2015-160444</t>
  </si>
  <si>
    <t>DC-12850</t>
  </si>
  <si>
    <t>Dan Campbell</t>
  </si>
  <si>
    <t>OFF-ST-10001522</t>
  </si>
  <si>
    <t>Gould Plastics 18-Pocket Panel Bin, 34w x 5-1/4d x 20-1/2h</t>
  </si>
  <si>
    <t>CA-2015-107139</t>
  </si>
  <si>
    <t>DP-13390</t>
  </si>
  <si>
    <t>Dennis Pardue</t>
  </si>
  <si>
    <t>OFF-BI-10001670</t>
  </si>
  <si>
    <t>Vinyl Sectional Post Binders</t>
  </si>
  <si>
    <t>CA-2015-152849</t>
  </si>
  <si>
    <t>DW-13195</t>
  </si>
  <si>
    <t>David Wiener</t>
  </si>
  <si>
    <t>Knoxville</t>
  </si>
  <si>
    <t>OFF-AR-10002833</t>
  </si>
  <si>
    <t>Newell 322</t>
  </si>
  <si>
    <t>CA-2015-103317</t>
  </si>
  <si>
    <t>DM-13525</t>
  </si>
  <si>
    <t>Don Miller</t>
  </si>
  <si>
    <t>Palm Coast</t>
  </si>
  <si>
    <t>FUR-FU-10001591</t>
  </si>
  <si>
    <t>Advantus Panel Wall Certificate Holder - 8.5x11</t>
  </si>
  <si>
    <t>CA-2015-118962</t>
  </si>
  <si>
    <t>CS-12130</t>
  </si>
  <si>
    <t>Chad Sievert</t>
  </si>
  <si>
    <t>OFF-PA-10000659</t>
  </si>
  <si>
    <t>Adams Phone Message Book, Professional, 400 Message Capacity, 5 3/6â€ x 11â€</t>
  </si>
  <si>
    <t>CA-2015-150490</t>
  </si>
  <si>
    <t>SS-20590</t>
  </si>
  <si>
    <t>Sonia Sunley</t>
  </si>
  <si>
    <t>TEC-AC-10004510</t>
  </si>
  <si>
    <t>Logitech Desktop MK120 Mouse and keyboard Combo</t>
  </si>
  <si>
    <t>US-2015-117968</t>
  </si>
  <si>
    <t>RS-19420</t>
  </si>
  <si>
    <t>Ricardo Sperren</t>
  </si>
  <si>
    <t>Meriden</t>
  </si>
  <si>
    <t>OFF-AP-10002765</t>
  </si>
  <si>
    <t>Fellowes Advanced Computer Series Surge Protectors</t>
  </si>
  <si>
    <t>CA-2015-124723</t>
  </si>
  <si>
    <t>GZ-14470</t>
  </si>
  <si>
    <t>Gary Zandusky</t>
  </si>
  <si>
    <t>Texas City</t>
  </si>
  <si>
    <t>FUR-TA-10001307</t>
  </si>
  <si>
    <t>SAFCO PlanMaster Heigh-Adjustable Drafting Table Base, 43w x 30d x 30-37h, Black</t>
  </si>
  <si>
    <t>CA-2015-106572</t>
  </si>
  <si>
    <t>NP-18700</t>
  </si>
  <si>
    <t>Nora Preis</t>
  </si>
  <si>
    <t>Bowling Green</t>
  </si>
  <si>
    <t>OFF-ST-10000585</t>
  </si>
  <si>
    <t>Economy Rollaway Files</t>
  </si>
  <si>
    <t>CA-2015-136861</t>
  </si>
  <si>
    <t>PR-18880</t>
  </si>
  <si>
    <t>Patrick Ryan</t>
  </si>
  <si>
    <t>FUR-FU-10001967</t>
  </si>
  <si>
    <t>Telescoping Adjustable Floor Lamp</t>
  </si>
  <si>
    <t>CA-2015-152422</t>
  </si>
  <si>
    <t>BD-11635</t>
  </si>
  <si>
    <t>Brian Derr</t>
  </si>
  <si>
    <t>OFF-AP-10002892</t>
  </si>
  <si>
    <t>Belkin F5C206VTEL 6 Outlet Surge</t>
  </si>
  <si>
    <t>CA-2015-152233</t>
  </si>
  <si>
    <t>KH-16510</t>
  </si>
  <si>
    <t>Keith Herrera</t>
  </si>
  <si>
    <t>Pomona</t>
  </si>
  <si>
    <t>TEC-AC-10002800</t>
  </si>
  <si>
    <t>Plantronics Audio 478 Stereo USB Headset</t>
  </si>
  <si>
    <t>CA-2015-109134</t>
  </si>
  <si>
    <t>DE-13255</t>
  </si>
  <si>
    <t>Deanra Eno</t>
  </si>
  <si>
    <t>FUR-FU-10000320</t>
  </si>
  <si>
    <t>OIC Stacking Trays</t>
  </si>
  <si>
    <t>CA-2015-133634</t>
  </si>
  <si>
    <t>SR-20740</t>
  </si>
  <si>
    <t>Steven Roelle</t>
  </si>
  <si>
    <t>TEC-AC-10002550</t>
  </si>
  <si>
    <t>Maxell 4.7GB DVD-RW 3/Pack</t>
  </si>
  <si>
    <t>CA-2015-114251</t>
  </si>
  <si>
    <t>MD-17350</t>
  </si>
  <si>
    <t>Maribeth Dona</t>
  </si>
  <si>
    <t>FUR-FU-10001468</t>
  </si>
  <si>
    <t>Tenex Antistatic Computer Chair Mats</t>
  </si>
  <si>
    <t>US-2015-114377</t>
  </si>
  <si>
    <t>BG-11035</t>
  </si>
  <si>
    <t>Barry Gonzalez</t>
  </si>
  <si>
    <t>Hampton</t>
  </si>
  <si>
    <t>FUR-CH-10004754</t>
  </si>
  <si>
    <t>Global Stack Chair with Arms, Black</t>
  </si>
  <si>
    <t>CA-2015-106376</t>
  </si>
  <si>
    <t>BS-11590</t>
  </si>
  <si>
    <t>Brendan Sweed</t>
  </si>
  <si>
    <t>Gilbert</t>
  </si>
  <si>
    <t>OFF-AR-10002671</t>
  </si>
  <si>
    <t>Hunt BOSTON Model 1606 High-Volume Electric Pencil Sharpener, Beige</t>
  </si>
  <si>
    <t>CA-2015-166191</t>
  </si>
  <si>
    <t>DK-13150</t>
  </si>
  <si>
    <t>David Kendrick</t>
  </si>
  <si>
    <t>CA-2015-138296</t>
  </si>
  <si>
    <t>RC-19825</t>
  </si>
  <si>
    <t>Roy Collins</t>
  </si>
  <si>
    <t>OFF-ST-10002444</t>
  </si>
  <si>
    <t>Recycled Eldon Regeneration Jumbo File</t>
  </si>
  <si>
    <t>CA-2015-125542</t>
  </si>
  <si>
    <t>NB-18655</t>
  </si>
  <si>
    <t>Nona Balk</t>
  </si>
  <si>
    <t>OFF-EN-10000056</t>
  </si>
  <si>
    <t>Cameo Buff Policy Envelopes</t>
  </si>
  <si>
    <t>CA-2015-151162</t>
  </si>
  <si>
    <t>EA-14035</t>
  </si>
  <si>
    <t>Erin Ashbrook</t>
  </si>
  <si>
    <t>OFF-PA-10001033</t>
  </si>
  <si>
    <t>Xerox 1893</t>
  </si>
  <si>
    <t>CA-2015-133830</t>
  </si>
  <si>
    <t>RL-19615</t>
  </si>
  <si>
    <t>Rob Lucas</t>
  </si>
  <si>
    <t>OFF-AR-10003045</t>
  </si>
  <si>
    <t>Prang Colored Pencils</t>
  </si>
  <si>
    <t>CA-2015-150203</t>
  </si>
  <si>
    <t>JB-15925</t>
  </si>
  <si>
    <t>Joni Blumstein</t>
  </si>
  <si>
    <t>OFF-AP-10001469</t>
  </si>
  <si>
    <t>Fellowes 8 Outlet Superior Workstation Surge Protector</t>
  </si>
  <si>
    <t>CA-2015-130813</t>
  </si>
  <si>
    <t>LS-17230</t>
  </si>
  <si>
    <t>Lycoris Saunders</t>
  </si>
  <si>
    <t>OFF-PA-10002005</t>
  </si>
  <si>
    <t>Xerox 225</t>
  </si>
  <si>
    <t>CA-2015-167199</t>
  </si>
  <si>
    <t>ME-17320</t>
  </si>
  <si>
    <t>Maria Etezadi</t>
  </si>
  <si>
    <t>Henderson</t>
  </si>
  <si>
    <t>CA-2015-131905</t>
  </si>
  <si>
    <t>ND-18460</t>
  </si>
  <si>
    <t>Neil Ducich</t>
  </si>
  <si>
    <t>Chesapeake</t>
  </si>
  <si>
    <t>OFF-LA-10002787</t>
  </si>
  <si>
    <t>Avery 480</t>
  </si>
  <si>
    <t>CA-2015-108182</t>
  </si>
  <si>
    <t>DL-13315</t>
  </si>
  <si>
    <t>Delfina Latchford</t>
  </si>
  <si>
    <t>Romeoville</t>
  </si>
  <si>
    <t>OFF-BI-10001196</t>
  </si>
  <si>
    <t>Avery Flip-Chart Easel Binder, Black</t>
  </si>
  <si>
    <t>CA-2015-136742</t>
  </si>
  <si>
    <t>GP-14740</t>
  </si>
  <si>
    <t>Guy Phonely</t>
  </si>
  <si>
    <t>OFF-BI-10003719</t>
  </si>
  <si>
    <t>Large Capacity Hanging Post Binders</t>
  </si>
  <si>
    <t>US-2015-118486</t>
  </si>
  <si>
    <t>SD-20485</t>
  </si>
  <si>
    <t>Shirley Daniels</t>
  </si>
  <si>
    <t>OFF-SU-10004498</t>
  </si>
  <si>
    <t>Martin-Yale Premier Letter Opener</t>
  </si>
  <si>
    <t>CA-2015-169803</t>
  </si>
  <si>
    <t>SC-20260</t>
  </si>
  <si>
    <t>Scott Cohen</t>
  </si>
  <si>
    <t>FUR-TA-10000688</t>
  </si>
  <si>
    <t>Chromcraft Bull-Nose Wood Round Conference Table Top, Wood Base</t>
  </si>
  <si>
    <t>CA-2015-102652</t>
  </si>
  <si>
    <t>AY-10555</t>
  </si>
  <si>
    <t>Andy Yotov</t>
  </si>
  <si>
    <t>FUR-FU-10000747</t>
  </si>
  <si>
    <t>Tenex B1-RE Series Chair Mats for Low Pile Carpets</t>
  </si>
  <si>
    <t>CA-2015-153808</t>
  </si>
  <si>
    <t>FH-14275</t>
  </si>
  <si>
    <t>Frank Hawley</t>
  </si>
  <si>
    <t>CA-2015-121664</t>
  </si>
  <si>
    <t>HP-14815</t>
  </si>
  <si>
    <t>Harold Pawlan</t>
  </si>
  <si>
    <t>OFF-BI-10003684</t>
  </si>
  <si>
    <t>Wilson Jones Legal Size Ring Binders</t>
  </si>
  <si>
    <t>US-2015-154879</t>
  </si>
  <si>
    <t>SN-20710</t>
  </si>
  <si>
    <t>Steve Nguyen</t>
  </si>
  <si>
    <t>OFF-LA-10004425</t>
  </si>
  <si>
    <t>Staple-on labels</t>
  </si>
  <si>
    <t>CA-2015-159520</t>
  </si>
  <si>
    <t>GT-14635</t>
  </si>
  <si>
    <t>Grant Thornton</t>
  </si>
  <si>
    <t>OFF-BI-10003982</t>
  </si>
  <si>
    <t>Wilson Jones Century Plastic Molded Ring Binders</t>
  </si>
  <si>
    <t>US-2015-161305</t>
  </si>
  <si>
    <t>SB-20170</t>
  </si>
  <si>
    <t>Sarah Bern</t>
  </si>
  <si>
    <t>OFF-BI-10002794</t>
  </si>
  <si>
    <t>Avery Trapezoid Ring Binder, 3" Capacity, Black, 1040 sheets</t>
  </si>
  <si>
    <t>CA-2015-151897</t>
  </si>
  <si>
    <t>VT-21700</t>
  </si>
  <si>
    <t>Valerie Takahito</t>
  </si>
  <si>
    <t>OFF-LA-10001074</t>
  </si>
  <si>
    <t>Round Specialty Laser Printer Labels</t>
  </si>
  <si>
    <t>CA-2015-134278</t>
  </si>
  <si>
    <t>EP-13915</t>
  </si>
  <si>
    <t>Emily Phan</t>
  </si>
  <si>
    <t>TEC-CO-10001046</t>
  </si>
  <si>
    <t>Canon Imageclass D680 Copier / Fax</t>
  </si>
  <si>
    <t>CA-2015-147543</t>
  </si>
  <si>
    <t>BC-11125</t>
  </si>
  <si>
    <t>Becky Castell</t>
  </si>
  <si>
    <t>El Cajon</t>
  </si>
  <si>
    <t>FUR-CH-10000155</t>
  </si>
  <si>
    <t>Global Comet Stacking Armless Chair</t>
  </si>
  <si>
    <t>CA-2015-115357</t>
  </si>
  <si>
    <t>RF-19735</t>
  </si>
  <si>
    <t>Roland Fjeld</t>
  </si>
  <si>
    <t>Columbia</t>
  </si>
  <si>
    <t>South Carolina</t>
  </si>
  <si>
    <t>CA-2015-137575</t>
  </si>
  <si>
    <t>TB-21625</t>
  </si>
  <si>
    <t>Trudy Brown</t>
  </si>
  <si>
    <t>TEC-AC-10004571</t>
  </si>
  <si>
    <t>Logitech G700s Rechargeable Gaming Mouse</t>
  </si>
  <si>
    <t>CA-2015-130449</t>
  </si>
  <si>
    <t>VP-21760</t>
  </si>
  <si>
    <t>Victoria Pisteka</t>
  </si>
  <si>
    <t>FUR-FU-10001487</t>
  </si>
  <si>
    <t>Eldon Expressions Wood and Plastic Desk Accessories, Cherry Wood</t>
  </si>
  <si>
    <t>CA-2015-134677</t>
  </si>
  <si>
    <t>XP-21865</t>
  </si>
  <si>
    <t>Xylona Preis</t>
  </si>
  <si>
    <t>TEC-AC-10001445</t>
  </si>
  <si>
    <t>ImationÂ USB 2.0 SwivelÂ Flash DriveÂ USBÂ flash driveÂ - 4 GB - Pink</t>
  </si>
  <si>
    <t>CA-2015-132542</t>
  </si>
  <si>
    <t>AM-10360</t>
  </si>
  <si>
    <t>Alice McCarthy</t>
  </si>
  <si>
    <t>CA-2015-110030</t>
  </si>
  <si>
    <t>LF-17185</t>
  </si>
  <si>
    <t>Luke Foster</t>
  </si>
  <si>
    <t>FUR-FU-10002759</t>
  </si>
  <si>
    <t>12-1/2 Diameter Round Wall Clock</t>
  </si>
  <si>
    <t>US-2015-112872</t>
  </si>
  <si>
    <t>RC-19960</t>
  </si>
  <si>
    <t>Ryan Crowe</t>
  </si>
  <si>
    <t>OFF-ST-10002205</t>
  </si>
  <si>
    <t>File Shuttle I and Handi-File</t>
  </si>
  <si>
    <t>CA-2015-106726</t>
  </si>
  <si>
    <t>RS-19765</t>
  </si>
  <si>
    <t>Roland Schwarz</t>
  </si>
  <si>
    <t>OFF-ST-10001496</t>
  </si>
  <si>
    <t>Standard Rollaway File with Lock</t>
  </si>
  <si>
    <t>CA-2015-105417</t>
  </si>
  <si>
    <t>VS-21820</t>
  </si>
  <si>
    <t>Vivek Sundaresam</t>
  </si>
  <si>
    <t>Huntsville</t>
  </si>
  <si>
    <t>FUR-FU-10004864</t>
  </si>
  <si>
    <t>Howard Miller 14-1/2" Diameter Chrome Round Wall Clock</t>
  </si>
  <si>
    <t>CA-2015-107755</t>
  </si>
  <si>
    <t>CK-12760</t>
  </si>
  <si>
    <t>Cyma Kinney</t>
  </si>
  <si>
    <t>Linden</t>
  </si>
  <si>
    <t>TEC-AC-10000710</t>
  </si>
  <si>
    <t>Maxell DVD-RAM Discs</t>
  </si>
  <si>
    <t>US-2015-169390</t>
  </si>
  <si>
    <t>CS-12250</t>
  </si>
  <si>
    <t>Chris Selesnick</t>
  </si>
  <si>
    <t>OFF-ST-10001558</t>
  </si>
  <si>
    <t>Acco Perma 4000 Stacking Storage Drawers</t>
  </si>
  <si>
    <t>CA-2015-156587</t>
  </si>
  <si>
    <t>AB-10015</t>
  </si>
  <si>
    <t>Aaron Bergman</t>
  </si>
  <si>
    <t>FUR-CH-10004477</t>
  </si>
  <si>
    <t>Global Push Button Manager's Chair, Indigo</t>
  </si>
  <si>
    <t>US-2015-131982</t>
  </si>
  <si>
    <t>NP-18685</t>
  </si>
  <si>
    <t>Nora Pelletier</t>
  </si>
  <si>
    <t>Des Moines</t>
  </si>
  <si>
    <t>OFF-BI-10004224</t>
  </si>
  <si>
    <t>Catalog Binders with Expanding Posts</t>
  </si>
  <si>
    <t>CA-2015-104563</t>
  </si>
  <si>
    <t>CM-12715</t>
  </si>
  <si>
    <t>Craig Molinari</t>
  </si>
  <si>
    <t>OFF-AR-10000390</t>
  </si>
  <si>
    <t>Newell Chalk Holder</t>
  </si>
  <si>
    <t>CA-2015-124023</t>
  </si>
  <si>
    <t>PJ-19015</t>
  </si>
  <si>
    <t>Pauline Johnson</t>
  </si>
  <si>
    <t>Mobile</t>
  </si>
  <si>
    <t>Alabama</t>
  </si>
  <si>
    <t>FUR-FU-10004415</t>
  </si>
  <si>
    <t>Stacking Tray, Side-Loading, Legal, Smoke</t>
  </si>
  <si>
    <t>CA-2015-165806</t>
  </si>
  <si>
    <t>VM-21685</t>
  </si>
  <si>
    <t>Valerie Mitchum</t>
  </si>
  <si>
    <t>Marietta</t>
  </si>
  <si>
    <t>OFF-PA-10003441</t>
  </si>
  <si>
    <t>Xerox 226</t>
  </si>
  <si>
    <t>CA-2015-166086</t>
  </si>
  <si>
    <t>CT-11995</t>
  </si>
  <si>
    <t>Carol Triggs</t>
  </si>
  <si>
    <t>Lawrence</t>
  </si>
  <si>
    <t>OFF-BI-10001078</t>
  </si>
  <si>
    <t>Acco PRESSTEX Data Binder with Storage Hooks, Dark Blue, 14 7/8" X 11"</t>
  </si>
  <si>
    <t>US-2015-134971</t>
  </si>
  <si>
    <t>BP-11095</t>
  </si>
  <si>
    <t>Bart Pistole</t>
  </si>
  <si>
    <t>Peoria</t>
  </si>
  <si>
    <t>CA-2015-106229</t>
  </si>
  <si>
    <t>NR-18550</t>
  </si>
  <si>
    <t>Nick Radford</t>
  </si>
  <si>
    <t>FUR-TA-10002041</t>
  </si>
  <si>
    <t>Bevis Round Conference Table Top, X-Base</t>
  </si>
  <si>
    <t>US-2015-138758</t>
  </si>
  <si>
    <t>JL-15835</t>
  </si>
  <si>
    <t>John Lee</t>
  </si>
  <si>
    <t>CA-2015-122882</t>
  </si>
  <si>
    <t>SB-20290</t>
  </si>
  <si>
    <t>Sean Braxton</t>
  </si>
  <si>
    <t>OFF-ST-10002344</t>
  </si>
  <si>
    <t>Carina 42"Hx23 3/4"W Media Storage Unit</t>
  </si>
  <si>
    <t>CA-2015-100006</t>
  </si>
  <si>
    <t>DK-13375</t>
  </si>
  <si>
    <t>Dennis Kane</t>
  </si>
  <si>
    <t>TEC-PH-10002075</t>
  </si>
  <si>
    <t>AT&amp;T EL51110 DECT</t>
  </si>
  <si>
    <t>CA-2015-117765</t>
  </si>
  <si>
    <t>RB-19465</t>
  </si>
  <si>
    <t>Rick Bensley</t>
  </si>
  <si>
    <t>Tulsa</t>
  </si>
  <si>
    <t>FUR-TA-10001039</t>
  </si>
  <si>
    <t>CA-2015-109918</t>
  </si>
  <si>
    <t>LR-17035</t>
  </si>
  <si>
    <t>Lisa Ryan</t>
  </si>
  <si>
    <t>Santa Clara</t>
  </si>
  <si>
    <t>OFF-SU-10004290</t>
  </si>
  <si>
    <t>Acme Design Line 8" Stainless Steel Bent Scissors w/Champagne Handles, 3-1/8" Cut</t>
  </si>
  <si>
    <t>CA-2015-126193</t>
  </si>
  <si>
    <t>SS-20410</t>
  </si>
  <si>
    <t>Shahid Shariari</t>
  </si>
  <si>
    <t>Oswego</t>
  </si>
  <si>
    <t>OFF-FA-10000936</t>
  </si>
  <si>
    <t>Acco Hot Clips Clips to Go</t>
  </si>
  <si>
    <t>CA-2015-123498</t>
  </si>
  <si>
    <t>TC-20980</t>
  </si>
  <si>
    <t>Tamara Chand</t>
  </si>
  <si>
    <t>OFF-BI-10000632</t>
  </si>
  <si>
    <t>Satellite Sectional Post Binders</t>
  </si>
  <si>
    <t>CA-2015-120278</t>
  </si>
  <si>
    <t>MS-17365</t>
  </si>
  <si>
    <t>Maribeth Schnelling</t>
  </si>
  <si>
    <t>Wausau</t>
  </si>
  <si>
    <t>OFF-AP-10001293</t>
  </si>
  <si>
    <t>Belkin 8 Outlet Surge Protector</t>
  </si>
  <si>
    <t>CA-2015-138737</t>
  </si>
  <si>
    <t>FP-14320</t>
  </si>
  <si>
    <t>Frank Preis</t>
  </si>
  <si>
    <t>OFF-AR-10003190</t>
  </si>
  <si>
    <t>Newell 32</t>
  </si>
  <si>
    <t>CA-2015-154592</t>
  </si>
  <si>
    <t>EH-14005</t>
  </si>
  <si>
    <t>Erica Hernandez</t>
  </si>
  <si>
    <t>OFF-PA-10000062</t>
  </si>
  <si>
    <t>Green Bar Computer Printout Paper</t>
  </si>
  <si>
    <t>CA-2015-100363</t>
  </si>
  <si>
    <t>JM-15655</t>
  </si>
  <si>
    <t>Jim Mitchum</t>
  </si>
  <si>
    <t>OFF-FA-10000611</t>
  </si>
  <si>
    <t>Binder Clips by OIC</t>
  </si>
  <si>
    <t>US-2015-118997</t>
  </si>
  <si>
    <t>RA-19885</t>
  </si>
  <si>
    <t>Ruben Ausman</t>
  </si>
  <si>
    <t>FUR-TA-10001086</t>
  </si>
  <si>
    <t>SAFCO PlanMaster Boards, 60w x 37-1/2d, White Melamine</t>
  </si>
  <si>
    <t>US-2015-163797</t>
  </si>
  <si>
    <t>PC-19000</t>
  </si>
  <si>
    <t>Pauline Chand</t>
  </si>
  <si>
    <t>Chandler</t>
  </si>
  <si>
    <t>OFF-FA-10001883</t>
  </si>
  <si>
    <t>Alliance Super-Size Bands, Assorted Sizes</t>
  </si>
  <si>
    <t>CA-2015-121769</t>
  </si>
  <si>
    <t>JS-15880</t>
  </si>
  <si>
    <t>John Stevenson</t>
  </si>
  <si>
    <t>Toledo</t>
  </si>
  <si>
    <t>FUR-TA-10004442</t>
  </si>
  <si>
    <t>Riverside Furniture Stanwyck Manor Table Series</t>
  </si>
  <si>
    <t>CA-2015-116666</t>
  </si>
  <si>
    <t>KT-16480</t>
  </si>
  <si>
    <t>Kean Thornton</t>
  </si>
  <si>
    <t>TEC-CO-10001449</t>
  </si>
  <si>
    <t>Hewlett Packard LaserJet 3310 Copier</t>
  </si>
  <si>
    <t>US-2015-141257</t>
  </si>
  <si>
    <t>CS-11950</t>
  </si>
  <si>
    <t>Carlos Soltero</t>
  </si>
  <si>
    <t>FUR-CH-10002758</t>
  </si>
  <si>
    <t>Hon Deluxe Fabric Upholstered Stacking Chairs, Squared Back</t>
  </si>
  <si>
    <t>CA-2015-108147</t>
  </si>
  <si>
    <t>RD-19480</t>
  </si>
  <si>
    <t>Rick Duston</t>
  </si>
  <si>
    <t>OFF-BI-10003876</t>
  </si>
  <si>
    <t>Green Canvas Binder for 8-1/2" x 14" Sheets</t>
  </si>
  <si>
    <t>CA-2015-150301</t>
  </si>
  <si>
    <t>MH-18025</t>
  </si>
  <si>
    <t>Michelle Huthwaite</t>
  </si>
  <si>
    <t>Buffalo</t>
  </si>
  <si>
    <t>FUR-CH-10002647</t>
  </si>
  <si>
    <t>Situations Contoured Folding Chairs, 4/Set</t>
  </si>
  <si>
    <t>CA-2015-100090</t>
  </si>
  <si>
    <t>EB-13705</t>
  </si>
  <si>
    <t>Ed Braxton</t>
  </si>
  <si>
    <t>FUR-TA-10003715</t>
  </si>
  <si>
    <t>Hon 2111 Invitation Series Corner Table</t>
  </si>
  <si>
    <t>CA-2015-131450</t>
  </si>
  <si>
    <t>LR-16915</t>
  </si>
  <si>
    <t>Lena Radford</t>
  </si>
  <si>
    <t>CA-2015-151708</t>
  </si>
  <si>
    <t>MB-17305</t>
  </si>
  <si>
    <t>Maria Bertelson</t>
  </si>
  <si>
    <t>FUR-FU-10001602</t>
  </si>
  <si>
    <t>Eldon Delta Triangular Chair Mat, 52" x 58", Clear</t>
  </si>
  <si>
    <t>CA-2015-154669</t>
  </si>
  <si>
    <t>TM-21010</t>
  </si>
  <si>
    <t>Tamara Manning</t>
  </si>
  <si>
    <t>Vacaville</t>
  </si>
  <si>
    <t>CA-2015-124478</t>
  </si>
  <si>
    <t>MA-17560</t>
  </si>
  <si>
    <t>Matt Abelman</t>
  </si>
  <si>
    <t>Trenton</t>
  </si>
  <si>
    <t>CA-2015-156790</t>
  </si>
  <si>
    <t>VG-21790</t>
  </si>
  <si>
    <t>Vivek Gonzalez</t>
  </si>
  <si>
    <t>FUR-BO-10000468</t>
  </si>
  <si>
    <t>Bookcases</t>
  </si>
  <si>
    <t>O'Sullivan 2-Shelf Heavy-Duty Bookcases</t>
  </si>
  <si>
    <t>CA-2015-139892</t>
  </si>
  <si>
    <t>BM-11140</t>
  </si>
  <si>
    <t>Becky Martin</t>
  </si>
  <si>
    <t>OFF-AR-10004441</t>
  </si>
  <si>
    <t>BIC Brite Liner Highlighters</t>
  </si>
  <si>
    <t>US-2015-115987</t>
  </si>
  <si>
    <t>LH-17020</t>
  </si>
  <si>
    <t>Lisa Hazard</t>
  </si>
  <si>
    <t>Tyler</t>
  </si>
  <si>
    <t>OFF-BI-10001071</t>
  </si>
  <si>
    <t>GBC ProClick Punch Binding System</t>
  </si>
  <si>
    <t>CA-2015-163293</t>
  </si>
  <si>
    <t>KC-16255</t>
  </si>
  <si>
    <t>Karen Carlisle</t>
  </si>
  <si>
    <t>Macon</t>
  </si>
  <si>
    <t>TEC-AC-10004209</t>
  </si>
  <si>
    <t>Memorex Froggy Flash Drive 4 GB</t>
  </si>
  <si>
    <t>CA-2015-128839</t>
  </si>
  <si>
    <t>TT-21070</t>
  </si>
  <si>
    <t>Ted Trevino</t>
  </si>
  <si>
    <t>OFF-FA-10002280</t>
  </si>
  <si>
    <t>Advantus Plastic Paper Clips</t>
  </si>
  <si>
    <t>CA-2015-123127</t>
  </si>
  <si>
    <t>SP-20620</t>
  </si>
  <si>
    <t>Stefania Perrino</t>
  </si>
  <si>
    <t>OFF-AP-10001962</t>
  </si>
  <si>
    <t>Black &amp; Decker Filter for Double Action Dustbuster Cordless Vac BLDV7210</t>
  </si>
  <si>
    <t>CA-2015-107818</t>
  </si>
  <si>
    <t>MC-17275</t>
  </si>
  <si>
    <t>Marc Crier</t>
  </si>
  <si>
    <t>Pasco</t>
  </si>
  <si>
    <t>CA-2015-146283</t>
  </si>
  <si>
    <t>KT-16465</t>
  </si>
  <si>
    <t>Kean Takahito</t>
  </si>
  <si>
    <t>OFF-PA-10002259</t>
  </si>
  <si>
    <t>Geographics Note Cards, Blank, White, 8 1/2" x 11"</t>
  </si>
  <si>
    <t>CA-2015-146815</t>
  </si>
  <si>
    <t>PP-18955</t>
  </si>
  <si>
    <t>Paul Prost</t>
  </si>
  <si>
    <t>FUR-CH-10004289</t>
  </si>
  <si>
    <t>Global Super Steno Chair</t>
  </si>
  <si>
    <t>CA-2015-140032</t>
  </si>
  <si>
    <t>TS-21340</t>
  </si>
  <si>
    <t>Toby Swindell</t>
  </si>
  <si>
    <t>OFF-BI-10000822</t>
  </si>
  <si>
    <t>Acco PRESSTEX Data Binder with Storage Hooks, Light Blue, 9 1/2" X 11"</t>
  </si>
  <si>
    <t>CA-2015-142951</t>
  </si>
  <si>
    <t>JG-15115</t>
  </si>
  <si>
    <t>Jack Garza</t>
  </si>
  <si>
    <t>TEC-AC-10002331</t>
  </si>
  <si>
    <t>Maxell 74 Minute CDR, 10/Pack</t>
  </si>
  <si>
    <t>CA-2015-119977</t>
  </si>
  <si>
    <t>DN-13690</t>
  </si>
  <si>
    <t>Duane Noonan</t>
  </si>
  <si>
    <t>OFF-PA-10003823</t>
  </si>
  <si>
    <t>Xerox 197</t>
  </si>
  <si>
    <t>CA-2015-104773</t>
  </si>
  <si>
    <t>TB-21175</t>
  </si>
  <si>
    <t>Thomas Boland</t>
  </si>
  <si>
    <t>OFF-ST-10000777</t>
  </si>
  <si>
    <t>Companion Letter/Legal File, Black</t>
  </si>
  <si>
    <t>CA-2015-129364</t>
  </si>
  <si>
    <t>TB-21250</t>
  </si>
  <si>
    <t>Tim Brockman</t>
  </si>
  <si>
    <t>Salem</t>
  </si>
  <si>
    <t>CA-2015-135608</t>
  </si>
  <si>
    <t>JK-15625</t>
  </si>
  <si>
    <t>Jim Karlsson</t>
  </si>
  <si>
    <t>Olympia</t>
  </si>
  <si>
    <t>OFF-PA-10001954</t>
  </si>
  <si>
    <t>Xerox 1964</t>
  </si>
  <si>
    <t>CA-2015-144071</t>
  </si>
  <si>
    <t>DJ-13420</t>
  </si>
  <si>
    <t>Denny Joy</t>
  </si>
  <si>
    <t>FUR-FU-10000397</t>
  </si>
  <si>
    <t>Luxo Economy Swing Arm Lamp</t>
  </si>
  <si>
    <t>CA-2015-135405</t>
  </si>
  <si>
    <t>MS-17830</t>
  </si>
  <si>
    <t>Melanie Seite</t>
  </si>
  <si>
    <t>Laredo</t>
  </si>
  <si>
    <t>OFF-AR-10004078</t>
  </si>
  <si>
    <t>Newell 312</t>
  </si>
  <si>
    <t>US-2015-102071</t>
  </si>
  <si>
    <t>PG-18820</t>
  </si>
  <si>
    <t>Patrick Gardner</t>
  </si>
  <si>
    <t>TEC-AC-10003441</t>
  </si>
  <si>
    <t>Kingston Digital DataTraveler 32GB USB 2.0</t>
  </si>
  <si>
    <t>CA-2015-115812</t>
  </si>
  <si>
    <t>BH-11710</t>
  </si>
  <si>
    <t>Brosina Hoffman</t>
  </si>
  <si>
    <t>CA-2015-133753</t>
  </si>
  <si>
    <t>CW-11905</t>
  </si>
  <si>
    <t>Carl Weiss</t>
  </si>
  <si>
    <t>TEC-PH-10000376</t>
  </si>
  <si>
    <t>Square Credit Card Reader</t>
  </si>
  <si>
    <t>CA-2015-133851</t>
  </si>
  <si>
    <t>CM-12445</t>
  </si>
  <si>
    <t>Chuck Magee</t>
  </si>
  <si>
    <t>OFF-SU-10001225</t>
  </si>
  <si>
    <t>Staple remover</t>
  </si>
  <si>
    <t>CA-2015-132612</t>
  </si>
  <si>
    <t>FO-14305</t>
  </si>
  <si>
    <t>Frank Olsen</t>
  </si>
  <si>
    <t>Harrisonburg</t>
  </si>
  <si>
    <t>FUR-TA-10004534</t>
  </si>
  <si>
    <t>Bevis 44 x 96 Conference Tables</t>
  </si>
  <si>
    <t>CA-2015-160262</t>
  </si>
  <si>
    <t>TS-21205</t>
  </si>
  <si>
    <t>Thomas Seio</t>
  </si>
  <si>
    <t>North Las Vegas</t>
  </si>
  <si>
    <t>OFF-AR-10002335</t>
  </si>
  <si>
    <t>DIXON Oriole Pencils</t>
  </si>
  <si>
    <t>CA-2015-165379</t>
  </si>
  <si>
    <t>BM-11650</t>
  </si>
  <si>
    <t>Brian Moss</t>
  </si>
  <si>
    <t>OFF-PA-10003072</t>
  </si>
  <si>
    <t>Eureka Recycled Copy Paper 8 1/2" x 11", Ream</t>
  </si>
  <si>
    <t>CA-2015-113271</t>
  </si>
  <si>
    <t>DS-13030</t>
  </si>
  <si>
    <t>Darrin Sayre</t>
  </si>
  <si>
    <t>OFF-BI-10002609</t>
  </si>
  <si>
    <t>Avery Hidden Tab Dividers for Binding Systems</t>
  </si>
  <si>
    <t>CA-2015-110527</t>
  </si>
  <si>
    <t>ED-13885</t>
  </si>
  <si>
    <t>Emily Ducich</t>
  </si>
  <si>
    <t>OFF-LA-10000262</t>
  </si>
  <si>
    <t>Avery 494</t>
  </si>
  <si>
    <t>CA-2015-166471</t>
  </si>
  <si>
    <t>MG-17650</t>
  </si>
  <si>
    <t>Matthew Grinstein</t>
  </si>
  <si>
    <t>TEC-PH-10001530</t>
  </si>
  <si>
    <t>Cisco Unified IP Phone 7945G VoIP phone</t>
  </si>
  <si>
    <t>CA-2015-169726</t>
  </si>
  <si>
    <t>JH-15985</t>
  </si>
  <si>
    <t>Joseph Holt</t>
  </si>
  <si>
    <t>OFF-BI-10004600</t>
  </si>
  <si>
    <t>Ibico Ibimaster 300 Manual Binding System</t>
  </si>
  <si>
    <t>CA-2015-141901</t>
  </si>
  <si>
    <t>GM-14500</t>
  </si>
  <si>
    <t>Gene McClure</t>
  </si>
  <si>
    <t>Fresno</t>
  </si>
  <si>
    <t>OFF-PA-10001667</t>
  </si>
  <si>
    <t>Great White Multi-Use Recycled Paper (20Lb. and 84 Bright)</t>
  </si>
  <si>
    <t>CA-2015-126403</t>
  </si>
  <si>
    <t>RR-19525</t>
  </si>
  <si>
    <t>Rick Reed</t>
  </si>
  <si>
    <t>OFF-PA-10001144</t>
  </si>
  <si>
    <t>Xerox 1913</t>
  </si>
  <si>
    <t>CA-2015-102869</t>
  </si>
  <si>
    <t>LC-17140</t>
  </si>
  <si>
    <t>Logan Currie</t>
  </si>
  <si>
    <t>OFF-PA-10000788</t>
  </si>
  <si>
    <t>Xerox 210</t>
  </si>
  <si>
    <t>US-2015-131870</t>
  </si>
  <si>
    <t>NF-18595</t>
  </si>
  <si>
    <t>Nicole Fjeld</t>
  </si>
  <si>
    <t>FUR-FU-10002501</t>
  </si>
  <si>
    <t>Nu-Dell Executive Frame</t>
  </si>
  <si>
    <t>CA-2015-138240</t>
  </si>
  <si>
    <t>SJ-20500</t>
  </si>
  <si>
    <t>Shirley Jackson</t>
  </si>
  <si>
    <t>OFF-AR-10002135</t>
  </si>
  <si>
    <t>Boston Heavy-Duty Trimline Electric Pencil Sharpeners</t>
  </si>
  <si>
    <t>CA-2015-144666</t>
  </si>
  <si>
    <t>JP-15520</t>
  </si>
  <si>
    <t>Jeremy Pistek</t>
  </si>
  <si>
    <t>OFF-ST-10002743</t>
  </si>
  <si>
    <t>SAFCO Boltless Steel Shelving</t>
  </si>
  <si>
    <t>CA-2015-103219</t>
  </si>
  <si>
    <t>BF-11215</t>
  </si>
  <si>
    <t>Benjamin Farhat</t>
  </si>
  <si>
    <t>FUR-FU-10004091</t>
  </si>
  <si>
    <t>Eldon 200 Class Desk Accessories, Black</t>
  </si>
  <si>
    <t>CA-2015-101175</t>
  </si>
  <si>
    <t>DM-12955</t>
  </si>
  <si>
    <t>Dario Medina</t>
  </si>
  <si>
    <t>Mesa</t>
  </si>
  <si>
    <t>OFF-ST-10004950</t>
  </si>
  <si>
    <t>Acco Perma 3000 Stacking Storage Drawers</t>
  </si>
  <si>
    <t>CA-2015-149020</t>
  </si>
  <si>
    <t>AJ-10780</t>
  </si>
  <si>
    <t>Anthony Jacobs</t>
  </si>
  <si>
    <t>OFF-LA-10004272</t>
  </si>
  <si>
    <t>Avery 482</t>
  </si>
  <si>
    <t>US-2015-100279</t>
  </si>
  <si>
    <t>SW-20275</t>
  </si>
  <si>
    <t>Scott Williamson</t>
  </si>
  <si>
    <t>Royal Oak</t>
  </si>
  <si>
    <t>CA-2015-159709</t>
  </si>
  <si>
    <t>AI-10855</t>
  </si>
  <si>
    <t>Arianne Irving</t>
  </si>
  <si>
    <t>Kent</t>
  </si>
  <si>
    <t>OFF-EN-10001434</t>
  </si>
  <si>
    <t>Strathmore #10 Envelopes, Ultimate White</t>
  </si>
  <si>
    <t>CA-2015-114181</t>
  </si>
  <si>
    <t>AF-10885</t>
  </si>
  <si>
    <t>Art Foster</t>
  </si>
  <si>
    <t>FUR-BO-10004467</t>
  </si>
  <si>
    <t>Bestar Classic Bookcase</t>
  </si>
  <si>
    <t>CA-2015-103310</t>
  </si>
  <si>
    <t>GM-14680</t>
  </si>
  <si>
    <t>Greg Matthias</t>
  </si>
  <si>
    <t>San Jose</t>
  </si>
  <si>
    <t>OFF-PA-10004353</t>
  </si>
  <si>
    <t>Southworth 25% Cotton Premium Laser Paper and Envelopes</t>
  </si>
  <si>
    <t>CA-2015-144281</t>
  </si>
  <si>
    <t>HK-14890</t>
  </si>
  <si>
    <t>Heather Kirkland</t>
  </si>
  <si>
    <t>OFF-LA-10003930</t>
  </si>
  <si>
    <t>Dot Matrix Printer Tape Reel Labels, White, 5000/Box</t>
  </si>
  <si>
    <t>US-2015-138835</t>
  </si>
  <si>
    <t>DA-13450</t>
  </si>
  <si>
    <t>Dianna Arnett</t>
  </si>
  <si>
    <t>OFF-BI-10003314</t>
  </si>
  <si>
    <t>Tuff Stuff Recycled Round Ring Binders</t>
  </si>
  <si>
    <t>CA-2015-113383</t>
  </si>
  <si>
    <t>SF-20065</t>
  </si>
  <si>
    <t>Sandra Flanagan</t>
  </si>
  <si>
    <t>Clifton</t>
  </si>
  <si>
    <t>OFF-AP-10004532</t>
  </si>
  <si>
    <t>Kensington 6 Outlet Guardian Standard Surge Protector</t>
  </si>
  <si>
    <t>CA-2015-140403</t>
  </si>
  <si>
    <t>TN-21040</t>
  </si>
  <si>
    <t>Tanja Norvell</t>
  </si>
  <si>
    <t>Manteca</t>
  </si>
  <si>
    <t>FUR-CH-10002774</t>
  </si>
  <si>
    <t>Global Deluxe Stacking Chair, Gray</t>
  </si>
  <si>
    <t>US-2015-105137</t>
  </si>
  <si>
    <t>RB-19435</t>
  </si>
  <si>
    <t>Richard Bierner</t>
  </si>
  <si>
    <t>TEC-MA-10002694</t>
  </si>
  <si>
    <t>Hewlett-Packard Deskjet F4180 All-in-One Color Ink-jet - Printer / copier / scanner</t>
  </si>
  <si>
    <t>US-2015-134054</t>
  </si>
  <si>
    <t>FC-14335</t>
  </si>
  <si>
    <t>Fred Chung</t>
  </si>
  <si>
    <t>Albuquerque</t>
  </si>
  <si>
    <t>New Mexico</t>
  </si>
  <si>
    <t>OFF-AR-10000937</t>
  </si>
  <si>
    <t>Dixon Ticonderoga Core-Lock Colored Pencils, 48-Color Set</t>
  </si>
  <si>
    <t>CA-2015-148488</t>
  </si>
  <si>
    <t>SM-20005</t>
  </si>
  <si>
    <t>Sally Matthias</t>
  </si>
  <si>
    <t>OFF-PA-10004470</t>
  </si>
  <si>
    <t>Adams Write n' Stick Phone Message Book, 11" X 5 1/4", 200 Messages</t>
  </si>
  <si>
    <t>US-2015-112991</t>
  </si>
  <si>
    <t>SH-19975</t>
  </si>
  <si>
    <t>Sally Hughsby</t>
  </si>
  <si>
    <t>Caldwell</t>
  </si>
  <si>
    <t>Idaho</t>
  </si>
  <si>
    <t>FUR-CH-10001708</t>
  </si>
  <si>
    <t>Office Star - Contemporary Swivel Chair with Padded Adjustable Arms and Flex Back</t>
  </si>
  <si>
    <t>CA-2015-130092</t>
  </si>
  <si>
    <t>SV-20365</t>
  </si>
  <si>
    <t>Seth Vernon</t>
  </si>
  <si>
    <t>Dover</t>
  </si>
  <si>
    <t>Delaware</t>
  </si>
  <si>
    <t>FUR-FU-10000010</t>
  </si>
  <si>
    <t>DAX Value U-Channel Document Frames, Easel Back</t>
  </si>
  <si>
    <t>CA-2015-127614</t>
  </si>
  <si>
    <t>NF-18385</t>
  </si>
  <si>
    <t>Natalie Fritzler</t>
  </si>
  <si>
    <t>CA-2015-168368</t>
  </si>
  <si>
    <t>GA-14725</t>
  </si>
  <si>
    <t>Guy Armstrong</t>
  </si>
  <si>
    <t>CA-2015-166884</t>
  </si>
  <si>
    <t>CK-12205</t>
  </si>
  <si>
    <t>Chloris Kastensmidt</t>
  </si>
  <si>
    <t>FUR-FU-10003981</t>
  </si>
  <si>
    <t>Eldon Wave Desk Accessories</t>
  </si>
  <si>
    <t>CA-2015-158337</t>
  </si>
  <si>
    <t>KA-16525</t>
  </si>
  <si>
    <t>Kelly Andreada</t>
  </si>
  <si>
    <t>OFF-PA-10002137</t>
  </si>
  <si>
    <t>Southworth 100% RÃ©sumÃ© Paper, 24lb.</t>
  </si>
  <si>
    <t>CA-2015-114790</t>
  </si>
  <si>
    <t>FM-14215</t>
  </si>
  <si>
    <t>Filia McAdams</t>
  </si>
  <si>
    <t>OFF-AP-10002578</t>
  </si>
  <si>
    <t>Fellowes Premier Superior Surge Suppressor, 10-Outlet, With Phone and Remote</t>
  </si>
  <si>
    <t>US-2015-102715</t>
  </si>
  <si>
    <t>JK-15370</t>
  </si>
  <si>
    <t>Jay Kimmel</t>
  </si>
  <si>
    <t>Miami</t>
  </si>
  <si>
    <t>OFF-FA-10001332</t>
  </si>
  <si>
    <t>Acco Banker's Clasps, 5 3/4"-Long</t>
  </si>
  <si>
    <t>US-2015-121734</t>
  </si>
  <si>
    <t>SE-20110</t>
  </si>
  <si>
    <t>Sanjit Engle</t>
  </si>
  <si>
    <t>Lewiston</t>
  </si>
  <si>
    <t>OFF-BI-10004817</t>
  </si>
  <si>
    <t>GBC Personal VeloBind Strips</t>
  </si>
  <si>
    <t>CA-2015-138940</t>
  </si>
  <si>
    <t>GM-14455</t>
  </si>
  <si>
    <t>Gary Mitchum</t>
  </si>
  <si>
    <t>Austin</t>
  </si>
  <si>
    <t>TEC-PH-10001835</t>
  </si>
  <si>
    <t>Jawbone JAMBOX Wireless Bluetooth Speaker</t>
  </si>
  <si>
    <t>CA-2015-110555</t>
  </si>
  <si>
    <t>MM-18055</t>
  </si>
  <si>
    <t>Michelle Moray</t>
  </si>
  <si>
    <t>Great Falls</t>
  </si>
  <si>
    <t>Montana</t>
  </si>
  <si>
    <t>OFF-ST-10000876</t>
  </si>
  <si>
    <t>Eldon Simplefile Box Office</t>
  </si>
  <si>
    <t>CA-2015-103849</t>
  </si>
  <si>
    <t>PG-18895</t>
  </si>
  <si>
    <t>Paul Gonzalez</t>
  </si>
  <si>
    <t>Fort Worth</t>
  </si>
  <si>
    <t>TEC-AC-10001465</t>
  </si>
  <si>
    <t>SanDisk Cruzer 64 GB USB Flash Drive</t>
  </si>
  <si>
    <t>CA-2015-139017</t>
  </si>
  <si>
    <t>RM-19375</t>
  </si>
  <si>
    <t>Raymond Messe</t>
  </si>
  <si>
    <t>TEC-AC-10001013</t>
  </si>
  <si>
    <t>Logitech ClearChat Comfort/USB Headset H390</t>
  </si>
  <si>
    <t>CA-2015-127523</t>
  </si>
  <si>
    <t>BG-11695</t>
  </si>
  <si>
    <t>Brooke Gillingham</t>
  </si>
  <si>
    <t>CA-2015-152100</t>
  </si>
  <si>
    <t>VW-21775</t>
  </si>
  <si>
    <t>Victoria Wilson</t>
  </si>
  <si>
    <t>FUR-CH-10000015</t>
  </si>
  <si>
    <t>Hon Multipurpose Stacking Arm Chairs</t>
  </si>
  <si>
    <t>CA-2015-119172</t>
  </si>
  <si>
    <t>HD-14785</t>
  </si>
  <si>
    <t>Harold Dahlen</t>
  </si>
  <si>
    <t>OFF-PA-10003036</t>
  </si>
  <si>
    <t>Black Print Carbonless 8 1/2" x 8 1/4" Rapid Memo Book</t>
  </si>
  <si>
    <t>CA-2015-163552</t>
  </si>
  <si>
    <t>LA-16780</t>
  </si>
  <si>
    <t>Laura Armstrong</t>
  </si>
  <si>
    <t>Hackensack</t>
  </si>
  <si>
    <t>OFF-PA-10000474</t>
  </si>
  <si>
    <t>CA-2015-123225</t>
  </si>
  <si>
    <t>MN-17935</t>
  </si>
  <si>
    <t>Michael Nguyen</t>
  </si>
  <si>
    <t>TEC-PH-10000895</t>
  </si>
  <si>
    <t>Polycom VVX 310 VoIP phone</t>
  </si>
  <si>
    <t>CA-2015-133305</t>
  </si>
  <si>
    <t>MH-17455</t>
  </si>
  <si>
    <t>Mark Hamilton</t>
  </si>
  <si>
    <t>OFF-PA-10001970</t>
  </si>
  <si>
    <t>Xerox 1881</t>
  </si>
  <si>
    <t>CA-2015-154641</t>
  </si>
  <si>
    <t>KL-16645</t>
  </si>
  <si>
    <t>Ken Lonsdale</t>
  </si>
  <si>
    <t>OFF-ST-10004459</t>
  </si>
  <si>
    <t>Tennsco Single-Tier Lockers</t>
  </si>
  <si>
    <t>CA-2015-112837</t>
  </si>
  <si>
    <t>LW-17125</t>
  </si>
  <si>
    <t>Liz Willingham</t>
  </si>
  <si>
    <t>Oxnard</t>
  </si>
  <si>
    <t>FUR-FU-10004006</t>
  </si>
  <si>
    <t>Deflect-o DuraMat Lighweight, Studded, Beveled Mat for Low Pile Carpeting</t>
  </si>
  <si>
    <t>US-2015-126571</t>
  </si>
  <si>
    <t>JF-15565</t>
  </si>
  <si>
    <t>Jill Fjeld</t>
  </si>
  <si>
    <t>OFF-ST-10003816</t>
  </si>
  <si>
    <t>Fellowes High-Stak Drawer Files</t>
  </si>
  <si>
    <t>CA-2015-116834</t>
  </si>
  <si>
    <t>Dp-13240</t>
  </si>
  <si>
    <t>Dean percer</t>
  </si>
  <si>
    <t>FUR-FU-10001196</t>
  </si>
  <si>
    <t>DAX Cubicle Frames - 8x10</t>
  </si>
  <si>
    <t>CA-2015-157924</t>
  </si>
  <si>
    <t>HA-14920</t>
  </si>
  <si>
    <t>Helen Andreada</t>
  </si>
  <si>
    <t>Pasadena</t>
  </si>
  <si>
    <t>OFF-ST-10002352</t>
  </si>
  <si>
    <t>Iris Project Case</t>
  </si>
  <si>
    <t>CA-2015-114314</t>
  </si>
  <si>
    <t>DB-13555</t>
  </si>
  <si>
    <t>Dorothy Badders</t>
  </si>
  <si>
    <t>CA-2015-128538</t>
  </si>
  <si>
    <t>AS-10240</t>
  </si>
  <si>
    <t>Alan Shonely</t>
  </si>
  <si>
    <t>Redondo Beach</t>
  </si>
  <si>
    <t>OFF-EN-10001219</t>
  </si>
  <si>
    <t>#10- 4 1/8" x 9 1/2" Security-Tint Envelopes</t>
  </si>
  <si>
    <t>CA-2015-105893</t>
  </si>
  <si>
    <t>PK-19075</t>
  </si>
  <si>
    <t>Pete Kriz</t>
  </si>
  <si>
    <t>OFF-ST-10004186</t>
  </si>
  <si>
    <t>Stur-D-Stor Shelving, Vertical 5-Shelf: 72"H x 36"W x 18 1/2"D</t>
  </si>
  <si>
    <t>CA-2015-163419</t>
  </si>
  <si>
    <t>TZ-21580</t>
  </si>
  <si>
    <t>Tracy Zic</t>
  </si>
  <si>
    <t>Louisville</t>
  </si>
  <si>
    <t>OFF-AR-10000034</t>
  </si>
  <si>
    <t>BIC Brite Liner Grip Highlighters, Assorted, 5/Pack</t>
  </si>
  <si>
    <t>CA-2015-165309</t>
  </si>
  <si>
    <t>KD-16270</t>
  </si>
  <si>
    <t>Karen Daniels</t>
  </si>
  <si>
    <t>CA-2015-105270</t>
  </si>
  <si>
    <t>AP-10915</t>
  </si>
  <si>
    <t>Arthur Prichep</t>
  </si>
  <si>
    <t>OFF-AR-10003156</t>
  </si>
  <si>
    <t>50 Colored Long Pencils</t>
  </si>
  <si>
    <t>CA-2015-155796</t>
  </si>
  <si>
    <t>TS-21430</t>
  </si>
  <si>
    <t>Tom Stivers</t>
  </si>
  <si>
    <t>Reading</t>
  </si>
  <si>
    <t>FUR-FU-10000409</t>
  </si>
  <si>
    <t>GE 4 Foot Flourescent Tube, 40 Watt</t>
  </si>
  <si>
    <t>CA-2015-154599</t>
  </si>
  <si>
    <t>KN-16450</t>
  </si>
  <si>
    <t>Kean Nguyen</t>
  </si>
  <si>
    <t>TEC-PH-10001557</t>
  </si>
  <si>
    <t>Pyle PMP37LED</t>
  </si>
  <si>
    <t>CA-2015-127159</t>
  </si>
  <si>
    <t>HL-15040</t>
  </si>
  <si>
    <t>Hunter Lopez</t>
  </si>
  <si>
    <t>Milwaukee</t>
  </si>
  <si>
    <t>CA-2015-129924</t>
  </si>
  <si>
    <t>AC-10420</t>
  </si>
  <si>
    <t>Alyssa Crouse</t>
  </si>
  <si>
    <t>CA-2015-110184</t>
  </si>
  <si>
    <t>BF-11170</t>
  </si>
  <si>
    <t>Ben Ferrer</t>
  </si>
  <si>
    <t>OFF-ST-10000107</t>
  </si>
  <si>
    <t>Fellowes Super Stor/Drawer</t>
  </si>
  <si>
    <t>CA-2015-124807</t>
  </si>
  <si>
    <t>ME-17725</t>
  </si>
  <si>
    <t>Max Engle</t>
  </si>
  <si>
    <t>OFF-PA-10001526</t>
  </si>
  <si>
    <t>Xerox 1949</t>
  </si>
  <si>
    <t>CA-2015-161508</t>
  </si>
  <si>
    <t>PV-18985</t>
  </si>
  <si>
    <t>Paul Van Hugh</t>
  </si>
  <si>
    <t>League City</t>
  </si>
  <si>
    <t>FUR-CH-10002126</t>
  </si>
  <si>
    <t>Hon Deluxe Fabric Upholstered Stacking Chairs</t>
  </si>
  <si>
    <t>CA-2015-109302</t>
  </si>
  <si>
    <t>CS-12175</t>
  </si>
  <si>
    <t>Charles Sheldon</t>
  </si>
  <si>
    <t>OFF-BI-10002854</t>
  </si>
  <si>
    <t>Performers Binder/Pad Holder, Black</t>
  </si>
  <si>
    <t>CA-2015-109897</t>
  </si>
  <si>
    <t>BW-11200</t>
  </si>
  <si>
    <t>Ben Wallace</t>
  </si>
  <si>
    <t>TEC-PH-10003691</t>
  </si>
  <si>
    <t>BlackBerry Q10</t>
  </si>
  <si>
    <t>CA-2015-156244</t>
  </si>
  <si>
    <t>DH-13675</t>
  </si>
  <si>
    <t>Duane Huffman</t>
  </si>
  <si>
    <t>OFF-PA-10000295</t>
  </si>
  <si>
    <t>Xerox 229</t>
  </si>
  <si>
    <t>CA-2015-138527</t>
  </si>
  <si>
    <t>BN-11470</t>
  </si>
  <si>
    <t>Brad Norvell</t>
  </si>
  <si>
    <t>Cary</t>
  </si>
  <si>
    <t>OFF-PA-10001800</t>
  </si>
  <si>
    <t>Xerox 220</t>
  </si>
  <si>
    <t>US-2015-150924</t>
  </si>
  <si>
    <t>PT-19090</t>
  </si>
  <si>
    <t>Pete Takahito</t>
  </si>
  <si>
    <t>OFF-BI-10004040</t>
  </si>
  <si>
    <t>Wilson Jones Impact Binders</t>
  </si>
  <si>
    <t>US-2015-119081</t>
  </si>
  <si>
    <t>TA-21385</t>
  </si>
  <si>
    <t>Tom Ashbrook</t>
  </si>
  <si>
    <t>Olathe</t>
  </si>
  <si>
    <t>Kansas</t>
  </si>
  <si>
    <t>CA-2015-116246</t>
  </si>
  <si>
    <t>LW-17215</t>
  </si>
  <si>
    <t>Luke Weiss</t>
  </si>
  <si>
    <t>FUR-CH-10002024</t>
  </si>
  <si>
    <t>HON 5400 Series Task Chairs for Big and Tall</t>
  </si>
  <si>
    <t>US-2015-154655</t>
  </si>
  <si>
    <t>BP-11050</t>
  </si>
  <si>
    <t>Barry Pond</t>
  </si>
  <si>
    <t>OFF-SU-10000898</t>
  </si>
  <si>
    <t>Acme Hot Forged Carbon Steel Scissors with Nickel-Plated Handles, 3 7/8" Cut, 8"L</t>
  </si>
  <si>
    <t>CA-2015-151078</t>
  </si>
  <si>
    <t>RF-19840</t>
  </si>
  <si>
    <t>Roy FranzÃ¶sisch</t>
  </si>
  <si>
    <t>OFF-ST-10001328</t>
  </si>
  <si>
    <t>Personal Filing Tote with Lid, Black/Gray</t>
  </si>
  <si>
    <t>CA-2015-151295</t>
  </si>
  <si>
    <t>JA-15970</t>
  </si>
  <si>
    <t>Joseph Airdo</t>
  </si>
  <si>
    <t>OFF-PA-10001947</t>
  </si>
  <si>
    <t>Xerox 1974</t>
  </si>
  <si>
    <t>US-2015-159618</t>
  </si>
  <si>
    <t>DB-12970</t>
  </si>
  <si>
    <t>Darren Budd</t>
  </si>
  <si>
    <t>OFF-AR-10003183</t>
  </si>
  <si>
    <t>Avery Fluorescent Highlighter Four-Color Set</t>
  </si>
  <si>
    <t>US-2015-122959</t>
  </si>
  <si>
    <t>CY-12745</t>
  </si>
  <si>
    <t>Craig Yedwab</t>
  </si>
  <si>
    <t>OFF-BI-10003650</t>
  </si>
  <si>
    <t>GBC DocuBind 300 Electric Binding Machine</t>
  </si>
  <si>
    <t>CA-2015-113320</t>
  </si>
  <si>
    <t>LH-17155</t>
  </si>
  <si>
    <t>Logan Haushalter</t>
  </si>
  <si>
    <t>Oakland</t>
  </si>
  <si>
    <t>FUR-FU-10004270</t>
  </si>
  <si>
    <t>Eldon Image Series Desk Accessories, Burgundy</t>
  </si>
  <si>
    <t>CA-2015-107573</t>
  </si>
  <si>
    <t>PB-19150</t>
  </si>
  <si>
    <t>Philip Brown</t>
  </si>
  <si>
    <t>OFF-EN-10001099</t>
  </si>
  <si>
    <t>CA-2016-153325</t>
  </si>
  <si>
    <t>ST-20530</t>
  </si>
  <si>
    <t>Shui Tom</t>
  </si>
  <si>
    <t>OFF-BI-10004236</t>
  </si>
  <si>
    <t>XtraLife ClearVue Slant-D Ring Binder, White, 3"</t>
  </si>
  <si>
    <t>CA-2016-102316</t>
  </si>
  <si>
    <t>DH-13075</t>
  </si>
  <si>
    <t>Dave Hallsten</t>
  </si>
  <si>
    <t>CA-2016-104052</t>
  </si>
  <si>
    <t>TP-21565</t>
  </si>
  <si>
    <t>Tracy Poddar</t>
  </si>
  <si>
    <t>Coppell</t>
  </si>
  <si>
    <t>TEC-PH-10003215</t>
  </si>
  <si>
    <t>Jackery Bar Premium Fast-charging Portable Charger</t>
  </si>
  <si>
    <t>CA-2016-145821</t>
  </si>
  <si>
    <t>JB-15400</t>
  </si>
  <si>
    <t>Jennifer Braxton</t>
  </si>
  <si>
    <t>TEC-PH-10004348</t>
  </si>
  <si>
    <t>OtterBox Defender Series Case - iPhone 5c</t>
  </si>
  <si>
    <t>CA-2016-161998</t>
  </si>
  <si>
    <t>DB-13120</t>
  </si>
  <si>
    <t>David Bremer</t>
  </si>
  <si>
    <t>Tampa</t>
  </si>
  <si>
    <t>FUR-FU-10001095</t>
  </si>
  <si>
    <t>DAX Black Cherry Wood-Tone Poster Frame</t>
  </si>
  <si>
    <t>CA-2016-161242</t>
  </si>
  <si>
    <t>CG-12040</t>
  </si>
  <si>
    <t>Catherine Glotzbach</t>
  </si>
  <si>
    <t>CA-2016-137946</t>
  </si>
  <si>
    <t>DB-13615</t>
  </si>
  <si>
    <t>Doug Bickford</t>
  </si>
  <si>
    <t>OFF-BI-10001922</t>
  </si>
  <si>
    <t>CA-2016-104626</t>
  </si>
  <si>
    <t>DR-12940</t>
  </si>
  <si>
    <t>Daniel Raglin</t>
  </si>
  <si>
    <t>Franklin</t>
  </si>
  <si>
    <t>OFF-BI-10001510</t>
  </si>
  <si>
    <t>Deluxe Heavy-Duty Vinyl Round Ring Binder</t>
  </si>
  <si>
    <t>CA-2016-166135</t>
  </si>
  <si>
    <t>SC-20440</t>
  </si>
  <si>
    <t>Shaun Chance</t>
  </si>
  <si>
    <t>OFF-ST-10002974</t>
  </si>
  <si>
    <t>Trav-L-File Heavy-Duty Shuttle II, Black</t>
  </si>
  <si>
    <t>CA-2016-115392</t>
  </si>
  <si>
    <t>RM-19675</t>
  </si>
  <si>
    <t>Robert Marley</t>
  </si>
  <si>
    <t>Cambridge</t>
  </si>
  <si>
    <t>TEC-PH-10002496</t>
  </si>
  <si>
    <t>Cisco SPA301</t>
  </si>
  <si>
    <t>CA-2016-148873</t>
  </si>
  <si>
    <t>EM-13960</t>
  </si>
  <si>
    <t>Eric Murdock</t>
  </si>
  <si>
    <t>Quincy</t>
  </si>
  <si>
    <t>OFF-BI-10003196</t>
  </si>
  <si>
    <t>Accohide Poly Flexible Ring Binders</t>
  </si>
  <si>
    <t>CA-2016-126739</t>
  </si>
  <si>
    <t>JH-16180</t>
  </si>
  <si>
    <t>Justin Hirsh</t>
  </si>
  <si>
    <t>FUR-CH-10000422</t>
  </si>
  <si>
    <t>Global Highback Leather Tilter in Burgundy</t>
  </si>
  <si>
    <t>CA-2016-141740</t>
  </si>
  <si>
    <t>JF-15490</t>
  </si>
  <si>
    <t>Jeremy Farry</t>
  </si>
  <si>
    <t>FUR-CH-10001545</t>
  </si>
  <si>
    <t>Hon Comfortask Task/Swivel Chairs</t>
  </si>
  <si>
    <t>US-2016-105676</t>
  </si>
  <si>
    <t>NM-18520</t>
  </si>
  <si>
    <t>Neoma Murray</t>
  </si>
  <si>
    <t>CA-2016-103723</t>
  </si>
  <si>
    <t>BT-11305</t>
  </si>
  <si>
    <t>Beth Thompson</t>
  </si>
  <si>
    <t>OFF-AR-10003251</t>
  </si>
  <si>
    <t>Prang Drawing Pencil Set</t>
  </si>
  <si>
    <t>US-2016-148817</t>
  </si>
  <si>
    <t>KD-16495</t>
  </si>
  <si>
    <t>Keith Dawkins</t>
  </si>
  <si>
    <t>OFF-ST-10001321</t>
  </si>
  <si>
    <t>Decoflex Hanging Personal Folder File, Blue</t>
  </si>
  <si>
    <t>CA-2016-137113</t>
  </si>
  <si>
    <t>TW-21025</t>
  </si>
  <si>
    <t>Tamara Willingham</t>
  </si>
  <si>
    <t>FUR-CH-10001215</t>
  </si>
  <si>
    <t>Global Troy Executive Leather Low-Back Tilter</t>
  </si>
  <si>
    <t>CA-2016-111038</t>
  </si>
  <si>
    <t>LC-16960</t>
  </si>
  <si>
    <t>Lindsay Castell</t>
  </si>
  <si>
    <t>FUR-CH-10003973</t>
  </si>
  <si>
    <t>GuestStacker Chair with Chrome Finish Legs</t>
  </si>
  <si>
    <t>CA-2016-104514</t>
  </si>
  <si>
    <t>CB-12535</t>
  </si>
  <si>
    <t>Claudia Bergmann</t>
  </si>
  <si>
    <t>Newark</t>
  </si>
  <si>
    <t>OFF-ST-10001837</t>
  </si>
  <si>
    <t>SAFCO Mobile Desk Side File, Wire Frame</t>
  </si>
  <si>
    <t>CA-2016-110457</t>
  </si>
  <si>
    <t>DK-13090</t>
  </si>
  <si>
    <t>Dave Kipp</t>
  </si>
  <si>
    <t>FUR-TA-10001768</t>
  </si>
  <si>
    <t>Hon Racetrack Conference Tables</t>
  </si>
  <si>
    <t>CA-2016-105970</t>
  </si>
  <si>
    <t>PA-19060</t>
  </si>
  <si>
    <t>Pete Armstrong</t>
  </si>
  <si>
    <t>Indiana</t>
  </si>
  <si>
    <t>US-2016-122140</t>
  </si>
  <si>
    <t>MO-17950</t>
  </si>
  <si>
    <t>Michael Oakman</t>
  </si>
  <si>
    <t>OFF-AP-10001242</t>
  </si>
  <si>
    <t>APC 7 Outlet Network SurgeArrest Surge Protector</t>
  </si>
  <si>
    <t>CA-2016-136378</t>
  </si>
  <si>
    <t>CS-11845</t>
  </si>
  <si>
    <t>Cari Sayre</t>
  </si>
  <si>
    <t>OFF-BI-10003707</t>
  </si>
  <si>
    <t>Aluminum Screw Posts</t>
  </si>
  <si>
    <t>US-2016-159513</t>
  </si>
  <si>
    <t>JD-15790</t>
  </si>
  <si>
    <t>John Dryer</t>
  </si>
  <si>
    <t>TEC-MA-10003329</t>
  </si>
  <si>
    <t>Vtech AT&amp;T CL2940 Corded Speakerphone, Black</t>
  </si>
  <si>
    <t>US-2016-142811</t>
  </si>
  <si>
    <t>JL-15850</t>
  </si>
  <si>
    <t>John Lucas</t>
  </si>
  <si>
    <t>TEC-PH-10003095</t>
  </si>
  <si>
    <t>Samsung HM1900 Bluetooth Headset</t>
  </si>
  <si>
    <t>CA-2016-116687</t>
  </si>
  <si>
    <t>NC-18625</t>
  </si>
  <si>
    <t>Noah Childs</t>
  </si>
  <si>
    <t>OFF-LA-10000443</t>
  </si>
  <si>
    <t>Avery 501</t>
  </si>
  <si>
    <t>CA-2016-157322</t>
  </si>
  <si>
    <t>RH-19600</t>
  </si>
  <si>
    <t>Rob Haberlin</t>
  </si>
  <si>
    <t>Carol Stream</t>
  </si>
  <si>
    <t>FUR-CH-10004086</t>
  </si>
  <si>
    <t>Hon 4070 Series Pagoda Armless Upholstered Stacking Chairs</t>
  </si>
  <si>
    <t>CA-2016-111703</t>
  </si>
  <si>
    <t>KB-16315</t>
  </si>
  <si>
    <t>Karl Braun</t>
  </si>
  <si>
    <t>Hollywood</t>
  </si>
  <si>
    <t>OFF-PA-10000349</t>
  </si>
  <si>
    <t>CA-2016-140718</t>
  </si>
  <si>
    <t>FA-14230</t>
  </si>
  <si>
    <t>Frank Atkinson</t>
  </si>
  <si>
    <t>Raleigh</t>
  </si>
  <si>
    <t>TEC-PH-10003505</t>
  </si>
  <si>
    <t>Geemarc AmpliPOWER60</t>
  </si>
  <si>
    <t>CA-2016-147501</t>
  </si>
  <si>
    <t>Co-12640</t>
  </si>
  <si>
    <t>Corey-Lock</t>
  </si>
  <si>
    <t>OFF-BI-10002003</t>
  </si>
  <si>
    <t>Ibico Presentation Index for Binding Systems</t>
  </si>
  <si>
    <t>CA-2016-122406</t>
  </si>
  <si>
    <t>BE-11455</t>
  </si>
  <si>
    <t>Brad Eason</t>
  </si>
  <si>
    <t>Providence</t>
  </si>
  <si>
    <t>Rhode Island</t>
  </si>
  <si>
    <t>TEC-PH-10001527</t>
  </si>
  <si>
    <t>Plantronics MX500i Earset</t>
  </si>
  <si>
    <t>CA-2016-112767</t>
  </si>
  <si>
    <t>DK-12985</t>
  </si>
  <si>
    <t>Darren Koutras</t>
  </si>
  <si>
    <t>FUR-TA-10003469</t>
  </si>
  <si>
    <t>Balt Split Level Computer Training Table</t>
  </si>
  <si>
    <t>US-2016-137008</t>
  </si>
  <si>
    <t>JP-15460</t>
  </si>
  <si>
    <t>Jennifer Patt</t>
  </si>
  <si>
    <t>OFF-PA-10001295</t>
  </si>
  <si>
    <t>Computer Printout Paper with Letter-Trim Perforations</t>
  </si>
  <si>
    <t>US-2016-119312</t>
  </si>
  <si>
    <t>CS-12400</t>
  </si>
  <si>
    <t>Christopher Schild</t>
  </si>
  <si>
    <t>OFF-ST-10000943</t>
  </si>
  <si>
    <t>Eldon ProFile File 'N Store Portable File Tub Letter/Legal Size Black</t>
  </si>
  <si>
    <t>CA-2016-129917</t>
  </si>
  <si>
    <t>HM-14980</t>
  </si>
  <si>
    <t>Henry MacAllister</t>
  </si>
  <si>
    <t>OFF-BI-10001757</t>
  </si>
  <si>
    <t>Pressboard Hanging Data Binders for Unburst Sheets</t>
  </si>
  <si>
    <t>US-2016-145121</t>
  </si>
  <si>
    <t>MP-17965</t>
  </si>
  <si>
    <t>Michael Paige</t>
  </si>
  <si>
    <t>CA-2016-140375</t>
  </si>
  <si>
    <t>SG-20470</t>
  </si>
  <si>
    <t>Sheri Gordon</t>
  </si>
  <si>
    <t>Rockville</t>
  </si>
  <si>
    <t>OFF-PA-10001870</t>
  </si>
  <si>
    <t>Xerox 202</t>
  </si>
  <si>
    <t>CA-2016-130890</t>
  </si>
  <si>
    <t>JO-15280</t>
  </si>
  <si>
    <t>Jas O'Carroll</t>
  </si>
  <si>
    <t>FUR-TA-10002903</t>
  </si>
  <si>
    <t>Bevis Round Bullnose 29" High Table Top</t>
  </si>
  <si>
    <t>CA-2016-125416</t>
  </si>
  <si>
    <t>KC-16540</t>
  </si>
  <si>
    <t>Kelly Collister</t>
  </si>
  <si>
    <t>TEC-AC-10001552</t>
  </si>
  <si>
    <t>Logitech K350 2.4Ghz Wireless Keyboard</t>
  </si>
  <si>
    <t>CA-2016-100657</t>
  </si>
  <si>
    <t>SW-20245</t>
  </si>
  <si>
    <t>Scot Wooten</t>
  </si>
  <si>
    <t>Troy</t>
  </si>
  <si>
    <t>FUR-CH-10003535</t>
  </si>
  <si>
    <t>Global Armless Task Chair, Royal Blue</t>
  </si>
  <si>
    <t>CA-2016-141810</t>
  </si>
  <si>
    <t>BB-10990</t>
  </si>
  <si>
    <t>Barry Blumstein</t>
  </si>
  <si>
    <t>OFF-BI-10001524</t>
  </si>
  <si>
    <t>GBC Premium Transparent Covers with Diagonal Lined Pattern</t>
  </si>
  <si>
    <t>CA-2016-138625</t>
  </si>
  <si>
    <t>EG-13900</t>
  </si>
  <si>
    <t>Emily Grady</t>
  </si>
  <si>
    <t>OFF-AP-10003099</t>
  </si>
  <si>
    <t>Eureka Hand Vacuum, Bagless</t>
  </si>
  <si>
    <t>CA-2016-121097</t>
  </si>
  <si>
    <t>SF-20965</t>
  </si>
  <si>
    <t>Sylvia Foulston</t>
  </si>
  <si>
    <t>Baytown</t>
  </si>
  <si>
    <t>OFF-PA-10001937</t>
  </si>
  <si>
    <t>Xerox 21</t>
  </si>
  <si>
    <t>CA-2016-141243</t>
  </si>
  <si>
    <t>AH-10465</t>
  </si>
  <si>
    <t>Amy Hunt</t>
  </si>
  <si>
    <t>TEC-AC-10003198</t>
  </si>
  <si>
    <t>Enermax Acrylux Wireless Keyboard</t>
  </si>
  <si>
    <t>CA-2016-140921</t>
  </si>
  <si>
    <t>AA-10375</t>
  </si>
  <si>
    <t>Allen Armold</t>
  </si>
  <si>
    <t>FUR-FU-10003347</t>
  </si>
  <si>
    <t>Coloredge Poster Frame</t>
  </si>
  <si>
    <t>CA-2016-157959</t>
  </si>
  <si>
    <t>RW-19540</t>
  </si>
  <si>
    <t>Rick Wilson</t>
  </si>
  <si>
    <t>FUR-FU-10004093</t>
  </si>
  <si>
    <t>Hand-Finished Solid Wood Document Frame</t>
  </si>
  <si>
    <t>CA-2016-127327</t>
  </si>
  <si>
    <t>PW-19030</t>
  </si>
  <si>
    <t>Pauline Webber</t>
  </si>
  <si>
    <t>Rome</t>
  </si>
  <si>
    <t>FUR-CH-10004218</t>
  </si>
  <si>
    <t>Global Fabric Manager's Chair, Dark Gray</t>
  </si>
  <si>
    <t>CA-2016-107937</t>
  </si>
  <si>
    <t>JB-16045</t>
  </si>
  <si>
    <t>Julia Barnett</t>
  </si>
  <si>
    <t>Chula Vista</t>
  </si>
  <si>
    <t>FUR-FU-10002298</t>
  </si>
  <si>
    <t>Rubbermaid ClusterMat Chairmats, Mat Size- 66" x 60", Lip 20" x 11" -90 Degree Angle</t>
  </si>
  <si>
    <t>CA-2016-150770</t>
  </si>
  <si>
    <t>LC-16870</t>
  </si>
  <si>
    <t>Lena Cacioppo</t>
  </si>
  <si>
    <t>OFF-AR-10001246</t>
  </si>
  <si>
    <t>Newell 317</t>
  </si>
  <si>
    <t>CA-2016-128139</t>
  </si>
  <si>
    <t>BD-11725</t>
  </si>
  <si>
    <t>Bruce Degenhardt</t>
  </si>
  <si>
    <t>FUR-CH-10003956</t>
  </si>
  <si>
    <t>Novimex High-Tech Fabric Mesh Task Chair</t>
  </si>
  <si>
    <t>CA-2016-149734</t>
  </si>
  <si>
    <t>JC-16105</t>
  </si>
  <si>
    <t>Julie Creighton</t>
  </si>
  <si>
    <t>OFF-EN-10000927</t>
  </si>
  <si>
    <t>Jet-Pak Recycled Peel 'N' Seal Padded Mailers</t>
  </si>
  <si>
    <t>US-2016-138303</t>
  </si>
  <si>
    <t>MG-18145</t>
  </si>
  <si>
    <t>Mike Gockenbach</t>
  </si>
  <si>
    <t>OFF-ST-10004963</t>
  </si>
  <si>
    <t>Eldon Gobal File Keepers</t>
  </si>
  <si>
    <t>CA-2016-169537</t>
  </si>
  <si>
    <t>JH-15820</t>
  </si>
  <si>
    <t>John Huston</t>
  </si>
  <si>
    <t>Holland</t>
  </si>
  <si>
    <t>OFF-LA-10001982</t>
  </si>
  <si>
    <t>Smead Alpha-Z Color-Coded Name Labels First Letter Starter Set</t>
  </si>
  <si>
    <t>CA-2016-140410</t>
  </si>
  <si>
    <t>CM-12655</t>
  </si>
  <si>
    <t>Corinna Mitchell</t>
  </si>
  <si>
    <t>TEC-PH-10003580</t>
  </si>
  <si>
    <t>Cisco IP Phone 7961G-GE VoIP phone</t>
  </si>
  <si>
    <t>CA-2016-162047</t>
  </si>
  <si>
    <t>FH-14365</t>
  </si>
  <si>
    <t>Fred Hopkins</t>
  </si>
  <si>
    <t>FUR-CH-10004983</t>
  </si>
  <si>
    <t>Office Star - Mid Back Dual function Ergonomic High Back Chair with 2-Way Adjustable Arms</t>
  </si>
  <si>
    <t>CA-2016-122756</t>
  </si>
  <si>
    <t>DK-13225</t>
  </si>
  <si>
    <t>Dean Katz</t>
  </si>
  <si>
    <t>TEC-MA-10001681</t>
  </si>
  <si>
    <t>Lexmark MarkNet N8150 Wireless Print Server</t>
  </si>
  <si>
    <t>CA-2016-110093</t>
  </si>
  <si>
    <t>AB-10255</t>
  </si>
  <si>
    <t>Alejandro Ballentine</t>
  </si>
  <si>
    <t>CA-2016-142475</t>
  </si>
  <si>
    <t>BS-11380</t>
  </si>
  <si>
    <t>Bill Stewart</t>
  </si>
  <si>
    <t>OFF-BI-10003718</t>
  </si>
  <si>
    <t>GBC Therma-A-Bind 250T Electric Binding System</t>
  </si>
  <si>
    <t>US-2016-145422</t>
  </si>
  <si>
    <t>PW-19240</t>
  </si>
  <si>
    <t>Pierre Wener</t>
  </si>
  <si>
    <t>FUR-BO-10002213</t>
  </si>
  <si>
    <t>Sauder Forest Hills Library, Woodland Oak Finish</t>
  </si>
  <si>
    <t>CA-2016-104241</t>
  </si>
  <si>
    <t>AG-10495</t>
  </si>
  <si>
    <t>Andrew Gjertsen</t>
  </si>
  <si>
    <t>CA-2016-144253</t>
  </si>
  <si>
    <t>AS-10225</t>
  </si>
  <si>
    <t>Alan Schoenberger</t>
  </si>
  <si>
    <t>FUR-FU-10002671</t>
  </si>
  <si>
    <t>Electrix 20W Halogen Replacement Bulb for Zoom-In Desk Lamp</t>
  </si>
  <si>
    <t>CA-2016-146290</t>
  </si>
  <si>
    <t>SV-20815</t>
  </si>
  <si>
    <t>Stuart Van</t>
  </si>
  <si>
    <t>Indianapolis</t>
  </si>
  <si>
    <t>CA-2016-164833</t>
  </si>
  <si>
    <t>LL-16840</t>
  </si>
  <si>
    <t>Lauren Leatherbury</t>
  </si>
  <si>
    <t>CA-2016-158491</t>
  </si>
  <si>
    <t>BP-11155</t>
  </si>
  <si>
    <t>Becky Pak</t>
  </si>
  <si>
    <t>TEC-AC-10001874</t>
  </si>
  <si>
    <t>Logitech Wireless Anywhere Mouse MX for PC and Mac</t>
  </si>
  <si>
    <t>CA-2016-154956</t>
  </si>
  <si>
    <t>IM-15070</t>
  </si>
  <si>
    <t>Irene Maddox</t>
  </si>
  <si>
    <t>TEC-PH-10004165</t>
  </si>
  <si>
    <t>Mitel MiVoice 5330e IP Phone</t>
  </si>
  <si>
    <t>CA-2016-124268</t>
  </si>
  <si>
    <t>AD-10180</t>
  </si>
  <si>
    <t>Alan Dominguez</t>
  </si>
  <si>
    <t>OFF-AR-10004817</t>
  </si>
  <si>
    <t>Colorific Watercolor Pencils</t>
  </si>
  <si>
    <t>CA-2016-152513</t>
  </si>
  <si>
    <t>JP-16135</t>
  </si>
  <si>
    <t>Julie Prescott</t>
  </si>
  <si>
    <t>OFF-BI-10002706</t>
  </si>
  <si>
    <t>Avery Premier Heavy-Duty Binder with Round Locking Rings</t>
  </si>
  <si>
    <t>CA-2016-142755</t>
  </si>
  <si>
    <t>CS-12355</t>
  </si>
  <si>
    <t>Christine Sundaresam</t>
  </si>
  <si>
    <t>Xerox 1908</t>
  </si>
  <si>
    <t>CA-2016-159863</t>
  </si>
  <si>
    <t>DS-13180</t>
  </si>
  <si>
    <t>David Smith</t>
  </si>
  <si>
    <t>TEC-AC-10000109</t>
  </si>
  <si>
    <t>Sony Micro Vault Click 16 GB USB 2.0 Flash Drive</t>
  </si>
  <si>
    <t>CA-2016-121391</t>
  </si>
  <si>
    <t>AA-10315</t>
  </si>
  <si>
    <t>Alex Avila</t>
  </si>
  <si>
    <t>OFF-ST-10001590</t>
  </si>
  <si>
    <t>Tenex Personal Project File with Scoop Front Design, Black</t>
  </si>
  <si>
    <t>CA-2016-110247</t>
  </si>
  <si>
    <t>RH-19555</t>
  </si>
  <si>
    <t>Ritsa Hightower</t>
  </si>
  <si>
    <t>Tallahassee</t>
  </si>
  <si>
    <t>OFF-BI-10001553</t>
  </si>
  <si>
    <t>SpineVue Locking Slant-D Ring Binders by Cardinal</t>
  </si>
  <si>
    <t>CA-2016-161718</t>
  </si>
  <si>
    <t>SO-20335</t>
  </si>
  <si>
    <t>Sean O'Donnell</t>
  </si>
  <si>
    <t>Hempstead</t>
  </si>
  <si>
    <t>FUR-FU-10002445</t>
  </si>
  <si>
    <t>DAX Two-Tone Rosewood/Black Document Frame, Desktop, 5 x 7</t>
  </si>
  <si>
    <t>CA-2016-142377</t>
  </si>
  <si>
    <t>MS-17980</t>
  </si>
  <si>
    <t>Michael Stewart</t>
  </si>
  <si>
    <t>CA-2016-155600</t>
  </si>
  <si>
    <t>RO-19780</t>
  </si>
  <si>
    <t>Rose O'Brian</t>
  </si>
  <si>
    <t>Clarksville</t>
  </si>
  <si>
    <t>OFF-BI-10000545</t>
  </si>
  <si>
    <t>GBC Ibimaster 500 Manual ProClick Binding System</t>
  </si>
  <si>
    <t>CA-2016-118871</t>
  </si>
  <si>
    <t>HM-14860</t>
  </si>
  <si>
    <t>Harry Marie</t>
  </si>
  <si>
    <t>OFF-EN-10003296</t>
  </si>
  <si>
    <t>Tyvek Side-Opening Peel &amp; Seel Expanding Envelopes</t>
  </si>
  <si>
    <t>CA-2016-158701</t>
  </si>
  <si>
    <t>JL-15175</t>
  </si>
  <si>
    <t>James Lanier</t>
  </si>
  <si>
    <t>OFF-AP-10004859</t>
  </si>
  <si>
    <t>Acco 6 Outlet Guardian Premium Surge Suppressor</t>
  </si>
  <si>
    <t>CA-2016-153108</t>
  </si>
  <si>
    <t>SF-20200</t>
  </si>
  <si>
    <t>Sarah Foster</t>
  </si>
  <si>
    <t>New Castle</t>
  </si>
  <si>
    <t>TEC-PH-10001552</t>
  </si>
  <si>
    <t>I Need's 3d Hello Kitty Hybrid Silicone Case Cover for HTC One X 4g with 3d Hello Kitty Stylus Pen Green/pink</t>
  </si>
  <si>
    <t>CA-2016-125185</t>
  </si>
  <si>
    <t>AH-10195</t>
  </si>
  <si>
    <t>Alan Haines</t>
  </si>
  <si>
    <t>Bethlehem</t>
  </si>
  <si>
    <t>CA-2016-120320</t>
  </si>
  <si>
    <t>MV-18190</t>
  </si>
  <si>
    <t>Mike Vittorini</t>
  </si>
  <si>
    <t>TEC-PH-10000149</t>
  </si>
  <si>
    <t>Cisco SPA525G2 IP Phone - Wireless</t>
  </si>
  <si>
    <t>CA-2016-151785</t>
  </si>
  <si>
    <t>JJ-15445</t>
  </si>
  <si>
    <t>Jennifer Jackson</t>
  </si>
  <si>
    <t>US-2016-136476</t>
  </si>
  <si>
    <t>GG-14650</t>
  </si>
  <si>
    <t>Greg Guthrie</t>
  </si>
  <si>
    <t>Bristol</t>
  </si>
  <si>
    <t>CA-2016-161452</t>
  </si>
  <si>
    <t>CA-11965</t>
  </si>
  <si>
    <t>Carol Adams</t>
  </si>
  <si>
    <t>CA-2016-102855</t>
  </si>
  <si>
    <t>JF-15415</t>
  </si>
  <si>
    <t>Jennifer Ferguson</t>
  </si>
  <si>
    <t>Spokane</t>
  </si>
  <si>
    <t>TEC-AC-10001767</t>
  </si>
  <si>
    <t>SanDisk Ultra 64 GB MicroSDHC Class 10 Memory Card</t>
  </si>
  <si>
    <t>CA-2016-166947</t>
  </si>
  <si>
    <t>EB-13750</t>
  </si>
  <si>
    <t>Edward Becker</t>
  </si>
  <si>
    <t>FUR-CH-10004997</t>
  </si>
  <si>
    <t>Hon Every-Day Series Multi-Task Chairs</t>
  </si>
  <si>
    <t>CA-2016-115168</t>
  </si>
  <si>
    <t>BB-11545</t>
  </si>
  <si>
    <t>Brenda Bowman</t>
  </si>
  <si>
    <t>Saint Charles</t>
  </si>
  <si>
    <t>OFF-PA-10000528</t>
  </si>
  <si>
    <t>Xerox 1981</t>
  </si>
  <si>
    <t>CA-2016-130610</t>
  </si>
  <si>
    <t>VP-21730</t>
  </si>
  <si>
    <t>Victor Preis</t>
  </si>
  <si>
    <t>Sterling Heights</t>
  </si>
  <si>
    <t>OFF-BI-10003655</t>
  </si>
  <si>
    <t>Durable Pressboard Binders</t>
  </si>
  <si>
    <t>CA-2016-164336</t>
  </si>
  <si>
    <t>MW-18220</t>
  </si>
  <si>
    <t>Mitch Webber</t>
  </si>
  <si>
    <t>TEC-AC-10002345</t>
  </si>
  <si>
    <t>HP Standard 104 key PS/2 Keyboard</t>
  </si>
  <si>
    <t>CA-2016-130785</t>
  </si>
  <si>
    <t>AG-10900</t>
  </si>
  <si>
    <t>Arthur Gainer</t>
  </si>
  <si>
    <t>FUR-BO-10000330</t>
  </si>
  <si>
    <t>Sauder Camden County Barrister Bookcase, Planked Cherry Finish</t>
  </si>
  <si>
    <t>CA-2016-162621</t>
  </si>
  <si>
    <t>CA-12055</t>
  </si>
  <si>
    <t>Cathy Armstrong</t>
  </si>
  <si>
    <t>CA-2016-105158</t>
  </si>
  <si>
    <t>SP-20860</t>
  </si>
  <si>
    <t>Sung Pak</t>
  </si>
  <si>
    <t>Rochester</t>
  </si>
  <si>
    <t>FUR-FU-10001706</t>
  </si>
  <si>
    <t>Longer-Life Soft White Bulbs</t>
  </si>
  <si>
    <t>CA-2016-115091</t>
  </si>
  <si>
    <t>JJ-15760</t>
  </si>
  <si>
    <t>Joel Jenkins</t>
  </si>
  <si>
    <t>CA-2016-131422</t>
  </si>
  <si>
    <t>GB-14530</t>
  </si>
  <si>
    <t>George Bell</t>
  </si>
  <si>
    <t>Monroe</t>
  </si>
  <si>
    <t>FUR-CH-10001270</t>
  </si>
  <si>
    <t>Harbour Creations Steel Folding Chair</t>
  </si>
  <si>
    <t>US-2016-136259</t>
  </si>
  <si>
    <t>CB-12415</t>
  </si>
  <si>
    <t>Christy Brittain</t>
  </si>
  <si>
    <t>OFF-BI-10000773</t>
  </si>
  <si>
    <t>Insertable Tab Post Binder Dividers</t>
  </si>
  <si>
    <t>CA-2016-156440</t>
  </si>
  <si>
    <t>MH-17620</t>
  </si>
  <si>
    <t>Matt Hagelstein</t>
  </si>
  <si>
    <t>FUR-FU-10004090</t>
  </si>
  <si>
    <t>Executive Impressions 14" Contract Wall Clock</t>
  </si>
  <si>
    <t>CA-2016-134943</t>
  </si>
  <si>
    <t>SU-20665</t>
  </si>
  <si>
    <t>Stephanie Ulpright</t>
  </si>
  <si>
    <t>Ann Arbor</t>
  </si>
  <si>
    <t>CA-2016-137064</t>
  </si>
  <si>
    <t>TS-21655</t>
  </si>
  <si>
    <t>Trudy Schmidt</t>
  </si>
  <si>
    <t>OFF-BI-10002049</t>
  </si>
  <si>
    <t>UniKeep View Case Binders</t>
  </si>
  <si>
    <t>CA-2016-104038</t>
  </si>
  <si>
    <t>LO-17170</t>
  </si>
  <si>
    <t>Lori Olson</t>
  </si>
  <si>
    <t>Suffolk</t>
  </si>
  <si>
    <t>OFF-ST-10002554</t>
  </si>
  <si>
    <t>Tennsco Industrial Shelving</t>
  </si>
  <si>
    <t>CA-2016-124541</t>
  </si>
  <si>
    <t>TT-21220</t>
  </si>
  <si>
    <t>Thomas Thornton</t>
  </si>
  <si>
    <t>CA-2016-108665</t>
  </si>
  <si>
    <t>KM-16225</t>
  </si>
  <si>
    <t>Kalyca Meade</t>
  </si>
  <si>
    <t>FUR-FU-10002191</t>
  </si>
  <si>
    <t>G.E. Halogen Desk Lamp Bulbs</t>
  </si>
  <si>
    <t>CA-2016-161627</t>
  </si>
  <si>
    <t>SJ-20215</t>
  </si>
  <si>
    <t>Sarah Jordon</t>
  </si>
  <si>
    <t>FUR-CH-10003968</t>
  </si>
  <si>
    <t>Novimex Turbo Task Chair</t>
  </si>
  <si>
    <t>CA-2016-135251</t>
  </si>
  <si>
    <t>RP-19270</t>
  </si>
  <si>
    <t>Rachel Payne</t>
  </si>
  <si>
    <t>OFF-LA-10004544</t>
  </si>
  <si>
    <t>Avery 505</t>
  </si>
  <si>
    <t>CA-2016-150791</t>
  </si>
  <si>
    <t>CC-12430</t>
  </si>
  <si>
    <t>Chuck Clark</t>
  </si>
  <si>
    <t>FUR-CH-10000665</t>
  </si>
  <si>
    <t>Global Airflow Leather Mesh Back Chair, Black</t>
  </si>
  <si>
    <t>CA-2016-133977</t>
  </si>
  <si>
    <t>AT-10435</t>
  </si>
  <si>
    <t>Alyssa Tate</t>
  </si>
  <si>
    <t>Tamarac</t>
  </si>
  <si>
    <t>OFF-BI-10003166</t>
  </si>
  <si>
    <t>GBC Plasticlear Binding Covers</t>
  </si>
  <si>
    <t>CA-2016-105312</t>
  </si>
  <si>
    <t>MT-17815</t>
  </si>
  <si>
    <t>Meg Tillman</t>
  </si>
  <si>
    <t>Scottsdale</t>
  </si>
  <si>
    <t>OFF-EN-10002600</t>
  </si>
  <si>
    <t>Redi-Strip #10 Envelopes, 4 1/8 x 9 1/2</t>
  </si>
  <si>
    <t>CA-2016-143490</t>
  </si>
  <si>
    <t>NP-18325</t>
  </si>
  <si>
    <t>Naresj Patel</t>
  </si>
  <si>
    <t>US-2016-149692</t>
  </si>
  <si>
    <t>KW-16435</t>
  </si>
  <si>
    <t>Katrina Willman</t>
  </si>
  <si>
    <t>OFF-BI-10002813</t>
  </si>
  <si>
    <t>Avery Reinforcements for Hole-Punch Pages</t>
  </si>
  <si>
    <t>CA-2016-144806</t>
  </si>
  <si>
    <t>GH-14425</t>
  </si>
  <si>
    <t>Gary Hwang</t>
  </si>
  <si>
    <t>Tucson</t>
  </si>
  <si>
    <t>FUR-FU-10002253</t>
  </si>
  <si>
    <t>Howard Miller 13" Diameter Pewter Finish Round Wall Clock</t>
  </si>
  <si>
    <t>CA-2016-148628</t>
  </si>
  <si>
    <t>KM-16375</t>
  </si>
  <si>
    <t>Katherine Murray</t>
  </si>
  <si>
    <t>Thousand Oaks</t>
  </si>
  <si>
    <t>OFF-PA-10003883</t>
  </si>
  <si>
    <t>Message Book, Phone, Wirebound Standard Line Memo, 2 3/4" X 5"</t>
  </si>
  <si>
    <t>CA-2016-168634</t>
  </si>
  <si>
    <t>AF-10870</t>
  </si>
  <si>
    <t>Art Ferguson</t>
  </si>
  <si>
    <t>OFF-AP-10001626</t>
  </si>
  <si>
    <t>Commercial WindTunnel Clean Air Upright Vacuum, Replacement Belts, Filtration Bags</t>
  </si>
  <si>
    <t>CA-2016-166338</t>
  </si>
  <si>
    <t>MP-18175</t>
  </si>
  <si>
    <t>Mike Pelletier</t>
  </si>
  <si>
    <t>OFF-BI-10002852</t>
  </si>
  <si>
    <t>Ibico Standard Transparent Covers</t>
  </si>
  <si>
    <t>CA-2016-147529</t>
  </si>
  <si>
    <t>DK-12835</t>
  </si>
  <si>
    <t>Damala Kotsonis</t>
  </si>
  <si>
    <t>CA-2016-146255</t>
  </si>
  <si>
    <t>EM-14140</t>
  </si>
  <si>
    <t>Eugene Moren</t>
  </si>
  <si>
    <t>TEC-AC-10004469</t>
  </si>
  <si>
    <t>Microsoft Sculpt Comfort Mouse</t>
  </si>
  <si>
    <t>CA-2016-130554</t>
  </si>
  <si>
    <t>FM-14290</t>
  </si>
  <si>
    <t>Frank Merwin</t>
  </si>
  <si>
    <t>OFF-AR-10001954</t>
  </si>
  <si>
    <t>Newell 331</t>
  </si>
  <si>
    <t>CA-2016-137512</t>
  </si>
  <si>
    <t>AG-10675</t>
  </si>
  <si>
    <t>Anna Gayman</t>
  </si>
  <si>
    <t>Allen</t>
  </si>
  <si>
    <t>FUR-TA-10001095</t>
  </si>
  <si>
    <t>Chromcraft Round Conference Tables</t>
  </si>
  <si>
    <t>CA-2016-142041</t>
  </si>
  <si>
    <t>EM-13810</t>
  </si>
  <si>
    <t>Eleni McCrary</t>
  </si>
  <si>
    <t>OFF-BI-10004187</t>
  </si>
  <si>
    <t>3-ring staple pack</t>
  </si>
  <si>
    <t>CA-2016-163895</t>
  </si>
  <si>
    <t>NS-18640</t>
  </si>
  <si>
    <t>Noel Staavos</t>
  </si>
  <si>
    <t>Boise</t>
  </si>
  <si>
    <t>OFF-BI-10004970</t>
  </si>
  <si>
    <t>ACCOHIDE 3-Ring Binder, Blue, 1"</t>
  </si>
  <si>
    <t>CA-2016-141936</t>
  </si>
  <si>
    <t>PN-18775</t>
  </si>
  <si>
    <t>Parhena Norris</t>
  </si>
  <si>
    <t>Bakersfield</t>
  </si>
  <si>
    <t>OFF-BI-10002194</t>
  </si>
  <si>
    <t>Cardinal Hold-It CD Pocket</t>
  </si>
  <si>
    <t>US-2016-124219</t>
  </si>
  <si>
    <t>KW-16570</t>
  </si>
  <si>
    <t>Kelly Williams</t>
  </si>
  <si>
    <t>Kirkwood</t>
  </si>
  <si>
    <t>OFF-BI-10002215</t>
  </si>
  <si>
    <t>Wilson Jones Hanging View Binder, White, 1"</t>
  </si>
  <si>
    <t>CA-2016-163237</t>
  </si>
  <si>
    <t>EM-14095</t>
  </si>
  <si>
    <t>Eudokia Martin</t>
  </si>
  <si>
    <t>TEC-PH-10003601</t>
  </si>
  <si>
    <t>Ativa D5772 2-Line 5.8GHz Digital Expandable Corded/Cordless Phone System with Answering &amp; Caller ID/Call Waiting, Black/Silver</t>
  </si>
  <si>
    <t>CA-2016-122623</t>
  </si>
  <si>
    <t>CC-12145</t>
  </si>
  <si>
    <t>Charles Crestani</t>
  </si>
  <si>
    <t>FUR-CH-10000553</t>
  </si>
  <si>
    <t>Metal Folding Chairs, Beige, 4/Carton</t>
  </si>
  <si>
    <t>CA-2016-161445</t>
  </si>
  <si>
    <t>CC-12610</t>
  </si>
  <si>
    <t>Corey Catlett</t>
  </si>
  <si>
    <t>OFF-AR-10001953</t>
  </si>
  <si>
    <t>Boston 1645 Deluxe Heavier-Duty Electric Pencil Sharpener</t>
  </si>
  <si>
    <t>CA-2016-102848</t>
  </si>
  <si>
    <t>KB-16240</t>
  </si>
  <si>
    <t>Karen Bern</t>
  </si>
  <si>
    <t>FUR-CH-10000595</t>
  </si>
  <si>
    <t>Safco Contoured Stacking Chairs</t>
  </si>
  <si>
    <t>CA-2016-148432</t>
  </si>
  <si>
    <t>MC-18130</t>
  </si>
  <si>
    <t>Mike Caudle</t>
  </si>
  <si>
    <t>OFF-FA-10004968</t>
  </si>
  <si>
    <t>Rubber Band Ball</t>
  </si>
  <si>
    <t>CA-2016-105571</t>
  </si>
  <si>
    <t>CP-12340</t>
  </si>
  <si>
    <t>Christine Phan</t>
  </si>
  <si>
    <t>OFF-BI-10003305</t>
  </si>
  <si>
    <t>Avery Hanging File Binders</t>
  </si>
  <si>
    <t>CA-2016-126669</t>
  </si>
  <si>
    <t>DO-13645</t>
  </si>
  <si>
    <t>Doug O'Connell</t>
  </si>
  <si>
    <t>OFF-PA-10001357</t>
  </si>
  <si>
    <t>Xerox 1886</t>
  </si>
  <si>
    <t>CA-2016-163181</t>
  </si>
  <si>
    <t>AB-10105</t>
  </si>
  <si>
    <t>Adrian Barton</t>
  </si>
  <si>
    <t>OFF-AR-10001683</t>
  </si>
  <si>
    <t>Lumber Crayons</t>
  </si>
  <si>
    <t>CA-2016-165050</t>
  </si>
  <si>
    <t>AH-10210</t>
  </si>
  <si>
    <t>Alan Hwang</t>
  </si>
  <si>
    <t>OFF-BI-10001031</t>
  </si>
  <si>
    <t>Pressboard Data Binders by Wilson Jones</t>
  </si>
  <si>
    <t>US-2016-120957</t>
  </si>
  <si>
    <t>KH-16690</t>
  </si>
  <si>
    <t>Kristen Hastings</t>
  </si>
  <si>
    <t>Riverside</t>
  </si>
  <si>
    <t>OFF-PA-10003953</t>
  </si>
  <si>
    <t>Xerox 218</t>
  </si>
  <si>
    <t>CA-2016-105627</t>
  </si>
  <si>
    <t>DK-12895</t>
  </si>
  <si>
    <t>Dana Kaydos</t>
  </si>
  <si>
    <t>Kenosha</t>
  </si>
  <si>
    <t>FUR-BO-10002916</t>
  </si>
  <si>
    <t>Rush Hierlooms Collection 1" Thick Stackable Bookcases</t>
  </si>
  <si>
    <t>CA-2016-160213</t>
  </si>
  <si>
    <t>AR-10825</t>
  </si>
  <si>
    <t>Anthony Rawles</t>
  </si>
  <si>
    <t>OFF-PA-10003848</t>
  </si>
  <si>
    <t>Xerox 1997</t>
  </si>
  <si>
    <t>US-2016-160857</t>
  </si>
  <si>
    <t>NW-18400</t>
  </si>
  <si>
    <t>Natalie Webber</t>
  </si>
  <si>
    <t>CA-2016-164007</t>
  </si>
  <si>
    <t>MG-17695</t>
  </si>
  <si>
    <t>Maureen Gnade</t>
  </si>
  <si>
    <t>TEC-AC-10003433</t>
  </si>
  <si>
    <t>Maxell 4.7GB DVD+R 5/Pack</t>
  </si>
  <si>
    <t>CA-2016-129392</t>
  </si>
  <si>
    <t>DM-13015</t>
  </si>
  <si>
    <t>Darrin Martin</t>
  </si>
  <si>
    <t>CA-2016-129322</t>
  </si>
  <si>
    <t>DB-13405</t>
  </si>
  <si>
    <t>Denny Blanton</t>
  </si>
  <si>
    <t>OFF-AR-10004587</t>
  </si>
  <si>
    <t>Boston 1827 Commercial Additional Cutter, Drive Gear &amp; Gear Rack for 1606</t>
  </si>
  <si>
    <t>CA-2016-125710</t>
  </si>
  <si>
    <t>BT-11680</t>
  </si>
  <si>
    <t>Brian Thompson</t>
  </si>
  <si>
    <t>OFF-AR-10000657</t>
  </si>
  <si>
    <t>Binney &amp; Smith inkTank Desk Highlighter, Chisel Tip, Yellow, 12/Box</t>
  </si>
  <si>
    <t>CA-2016-131352</t>
  </si>
  <si>
    <t>GH-14485</t>
  </si>
  <si>
    <t>Gene Hale</t>
  </si>
  <si>
    <t>FUR-FU-10003708</t>
  </si>
  <si>
    <t>Tenex Traditional Chairmats for Medium Pile Carpet, Standard Lip, 36" x 48"</t>
  </si>
  <si>
    <t>CA-2016-105634</t>
  </si>
  <si>
    <t>HA-14905</t>
  </si>
  <si>
    <t>Helen Abelman</t>
  </si>
  <si>
    <t>OFF-AR-10001573</t>
  </si>
  <si>
    <t>American Pencil</t>
  </si>
  <si>
    <t>CA-2016-117611</t>
  </si>
  <si>
    <t>MZ-17335</t>
  </si>
  <si>
    <t>Maria Zettner</t>
  </si>
  <si>
    <t>CA-2016-164441</t>
  </si>
  <si>
    <t>AC-10450</t>
  </si>
  <si>
    <t>Amy Cox</t>
  </si>
  <si>
    <t>CA-2016-111990</t>
  </si>
  <si>
    <t>DB-13660</t>
  </si>
  <si>
    <t>Duane Benoit</t>
  </si>
  <si>
    <t>OFF-BI-10003291</t>
  </si>
  <si>
    <t>Wilson Jones Leather-Like Binders with DublLock Round Rings</t>
  </si>
  <si>
    <t>CA-2016-154886</t>
  </si>
  <si>
    <t>SW-20455</t>
  </si>
  <si>
    <t>Shaun Weien</t>
  </si>
  <si>
    <t>TEC-AC-10001956</t>
  </si>
  <si>
    <t>Microsoft Arc Touch Mouse</t>
  </si>
  <si>
    <t>CA-2016-135622</t>
  </si>
  <si>
    <t>TT-21460</t>
  </si>
  <si>
    <t>Tonja Turnell</t>
  </si>
  <si>
    <t>OFF-PA-10000100</t>
  </si>
  <si>
    <t>Xerox 1945</t>
  </si>
  <si>
    <t>CA-2016-129532</t>
  </si>
  <si>
    <t>YS-21880</t>
  </si>
  <si>
    <t>Yana Sorensen</t>
  </si>
  <si>
    <t>CA-2016-156118</t>
  </si>
  <si>
    <t>HG-14965</t>
  </si>
  <si>
    <t>Henry Goldwyn</t>
  </si>
  <si>
    <t>Colorado Springs</t>
  </si>
  <si>
    <t>CA-2016-119480</t>
  </si>
  <si>
    <t>CC-12685</t>
  </si>
  <si>
    <t>Craig Carroll</t>
  </si>
  <si>
    <t>CA-2016-110345</t>
  </si>
  <si>
    <t>TG-21310</t>
  </si>
  <si>
    <t>Toby Gnade</t>
  </si>
  <si>
    <t>CA-2016-116512</t>
  </si>
  <si>
    <t>MC-18100</t>
  </si>
  <si>
    <t>Mick Crebagga</t>
  </si>
  <si>
    <t>OFF-ST-10001505</t>
  </si>
  <si>
    <t>Perma STOR-ALL Hanging File Box, 13 1/8"W x 12 1/4"D x 10 1/2"H</t>
  </si>
  <si>
    <t>CA-2016-101000</t>
  </si>
  <si>
    <t>IG-15085</t>
  </si>
  <si>
    <t>Ivan Gibson</t>
  </si>
  <si>
    <t>Norwich</t>
  </si>
  <si>
    <t>OFF-AP-10000179</t>
  </si>
  <si>
    <t>Honeywell Enviracaire Portable HEPA Air Cleaner for up to 10 x 16 Room</t>
  </si>
  <si>
    <t>CA-2016-110947</t>
  </si>
  <si>
    <t>AG-10765</t>
  </si>
  <si>
    <t>Anthony Garverick</t>
  </si>
  <si>
    <t>CA-2016-141012</t>
  </si>
  <si>
    <t>TG-21640</t>
  </si>
  <si>
    <t>Trudy Glocke</t>
  </si>
  <si>
    <t>Pocatello</t>
  </si>
  <si>
    <t>CA-2016-101868</t>
  </si>
  <si>
    <t>MJ-17740</t>
  </si>
  <si>
    <t>Max Jones</t>
  </si>
  <si>
    <t>CA-2016-128013</t>
  </si>
  <si>
    <t>MF-18250</t>
  </si>
  <si>
    <t>Monica Federle</t>
  </si>
  <si>
    <t>CA-2016-162761</t>
  </si>
  <si>
    <t>SC-20575</t>
  </si>
  <si>
    <t>Sonia Cooley</t>
  </si>
  <si>
    <t>OFF-BI-10000145</t>
  </si>
  <si>
    <t>Zipper Ring Binder Pockets</t>
  </si>
  <si>
    <t>CA-2016-124499</t>
  </si>
  <si>
    <t>FM-14380</t>
  </si>
  <si>
    <t>Fred McMath</t>
  </si>
  <si>
    <t>FUR-CH-10000513</t>
  </si>
  <si>
    <t>High-Back Leather Manager's Chair</t>
  </si>
  <si>
    <t>CA-2016-158554</t>
  </si>
  <si>
    <t>CM-12190</t>
  </si>
  <si>
    <t>Charlotte Melton</t>
  </si>
  <si>
    <t>OFF-PA-10004000</t>
  </si>
  <si>
    <t>While You Were Out Pads, 50 per Pad, 4 x 5 1/4, Green Cycle</t>
  </si>
  <si>
    <t>CA-2016-127509</t>
  </si>
  <si>
    <t>AS-10090</t>
  </si>
  <si>
    <t>Adam Shillingsburg</t>
  </si>
  <si>
    <t>OFF-BI-10002393</t>
  </si>
  <si>
    <t>Binder Posts</t>
  </si>
  <si>
    <t>CA-2016-146486</t>
  </si>
  <si>
    <t>DV-13465</t>
  </si>
  <si>
    <t>Dianna Vittorini</t>
  </si>
  <si>
    <t>Oceanside</t>
  </si>
  <si>
    <t>CA-2016-126466</t>
  </si>
  <si>
    <t>JO-15550</t>
  </si>
  <si>
    <t>Jesus Ocampo</t>
  </si>
  <si>
    <t>Roseville</t>
  </si>
  <si>
    <t>OFF-FA-10000490</t>
  </si>
  <si>
    <t>OIC Binder Clips, Mini, 1/4" Capacity, Black</t>
  </si>
  <si>
    <t>CA-2016-157035</t>
  </si>
  <si>
    <t>KB-16600</t>
  </si>
  <si>
    <t>Ken Brennan</t>
  </si>
  <si>
    <t>OFF-PA-10004156</t>
  </si>
  <si>
    <t>Xerox 188</t>
  </si>
  <si>
    <t>US-2016-157154</t>
  </si>
  <si>
    <t>MM-17920</t>
  </si>
  <si>
    <t>Michael Moore</t>
  </si>
  <si>
    <t>FUR-TA-10001889</t>
  </si>
  <si>
    <t>Bush Advantage Collection Racetrack Conference Table</t>
  </si>
  <si>
    <t>CA-2016-134201</t>
  </si>
  <si>
    <t>EH-14125</t>
  </si>
  <si>
    <t>Eugene Hildebrand</t>
  </si>
  <si>
    <t>OFF-ST-10001476</t>
  </si>
  <si>
    <t>Steel Personal Filing/Posting Tote</t>
  </si>
  <si>
    <t>CA-2016-144043</t>
  </si>
  <si>
    <t>AB-10165</t>
  </si>
  <si>
    <t>Alan Barnes</t>
  </si>
  <si>
    <t>TEC-AC-10002718</t>
  </si>
  <si>
    <t>Belkin Standard 104 key USB Keyboard</t>
  </si>
  <si>
    <t>CA-2016-121699</t>
  </si>
  <si>
    <t>BD-11320</t>
  </si>
  <si>
    <t>Bill Donatelli</t>
  </si>
  <si>
    <t>OFF-BI-10004632</t>
  </si>
  <si>
    <t>GBC Binding covers</t>
  </si>
  <si>
    <t>US-2016-147242</t>
  </si>
  <si>
    <t>EH-13765</t>
  </si>
  <si>
    <t>Edward Hooks</t>
  </si>
  <si>
    <t>OFF-AP-10003842</t>
  </si>
  <si>
    <t>Euro-Pro Shark Turbo Vacuum</t>
  </si>
  <si>
    <t>CA-2016-136658</t>
  </si>
  <si>
    <t>BO-11425</t>
  </si>
  <si>
    <t>Bobby Odegard</t>
  </si>
  <si>
    <t>OFF-AR-10000817</t>
  </si>
  <si>
    <t>Manco Dry-Lighter Erasable Highlighter</t>
  </si>
  <si>
    <t>CA-2016-139374</t>
  </si>
  <si>
    <t>AR-10345</t>
  </si>
  <si>
    <t>Alex Russell</t>
  </si>
  <si>
    <t>FUR-CH-10003981</t>
  </si>
  <si>
    <t>Global Commerce Series Low-Back Swivel/Tilt Chairs</t>
  </si>
  <si>
    <t>CA-2016-158659</t>
  </si>
  <si>
    <t>SC-20695</t>
  </si>
  <si>
    <t>Steve Chapman</t>
  </si>
  <si>
    <t>OFF-ST-10003306</t>
  </si>
  <si>
    <t>Letter Size Cart</t>
  </si>
  <si>
    <t>CA-2016-121783</t>
  </si>
  <si>
    <t>PO-19180</t>
  </si>
  <si>
    <t>Philisse Overcash</t>
  </si>
  <si>
    <t>OFF-AP-10003849</t>
  </si>
  <si>
    <t>Hoover Shoulder Vac Commercial Portable Vacuum</t>
  </si>
  <si>
    <t>US-2016-168732</t>
  </si>
  <si>
    <t>KM-16660</t>
  </si>
  <si>
    <t>Khloe Miller</t>
  </si>
  <si>
    <t>OFF-AR-10003087</t>
  </si>
  <si>
    <t>Staples in misc. colors</t>
  </si>
  <si>
    <t>CA-2016-115693</t>
  </si>
  <si>
    <t>FC-14245</t>
  </si>
  <si>
    <t>Frank Carlisle</t>
  </si>
  <si>
    <t>OFF-AR-10003582</t>
  </si>
  <si>
    <t>Boston Electric Pencil Sharpener, Model 1818, Charcoal Black</t>
  </si>
  <si>
    <t>CA-2016-106208</t>
  </si>
  <si>
    <t>JW-16075</t>
  </si>
  <si>
    <t>Julia West</t>
  </si>
  <si>
    <t>OFF-AP-10004980</t>
  </si>
  <si>
    <t>3M Replacement Filter for Office Air Cleaner for 20' x 33' Room</t>
  </si>
  <si>
    <t>CA-2016-112823</t>
  </si>
  <si>
    <t>RA-19945</t>
  </si>
  <si>
    <t>Ryan Akin</t>
  </si>
  <si>
    <t>Cleveland</t>
  </si>
  <si>
    <t>US-2016-136987</t>
  </si>
  <si>
    <t>AR-10540</t>
  </si>
  <si>
    <t>Andy Reiter</t>
  </si>
  <si>
    <t>TEC-CO-10001943</t>
  </si>
  <si>
    <t>Canon PC-428 Personal Copier</t>
  </si>
  <si>
    <t>CA-2016-135727</t>
  </si>
  <si>
    <t>PS-18970</t>
  </si>
  <si>
    <t>Paul Stevenson</t>
  </si>
  <si>
    <t>Phoenix</t>
  </si>
  <si>
    <t>FUR-CH-10004540</t>
  </si>
  <si>
    <t>Global Chrome Stack Chair</t>
  </si>
  <si>
    <t>US-2016-123960</t>
  </si>
  <si>
    <t>BD-11605</t>
  </si>
  <si>
    <t>Brian Dahlen</t>
  </si>
  <si>
    <t>TEC-AC-10003038</t>
  </si>
  <si>
    <t>Kingston Digital DataTraveler 16GB USB 2.0</t>
  </si>
  <si>
    <t>CA-2016-121720</t>
  </si>
  <si>
    <t>JE-15610</t>
  </si>
  <si>
    <t>Jim Epp</t>
  </si>
  <si>
    <t>FUR-CH-10003312</t>
  </si>
  <si>
    <t>Hon 2090 â€œPillow Softâ€ Series Mid Back Swivel/Tilt Chairs</t>
  </si>
  <si>
    <t>CA-2016-142237</t>
  </si>
  <si>
    <t>CK-12595</t>
  </si>
  <si>
    <t>Clytie Kelty</t>
  </si>
  <si>
    <t>FUR-FU-10004848</t>
  </si>
  <si>
    <t>Howard Miller 13-3/4" Diameter Brushed Chrome Round Wall Clock</t>
  </si>
  <si>
    <t>CA-2016-136469</t>
  </si>
  <si>
    <t>TS-21370</t>
  </si>
  <si>
    <t>Todd Sumrall</t>
  </si>
  <si>
    <t>FUR-TA-10001520</t>
  </si>
  <si>
    <t>Lesro Sheffield Collection Coffee Table, End Table, Center Table, Corner Table</t>
  </si>
  <si>
    <t>CA-2016-119634</t>
  </si>
  <si>
    <t>BW-11065</t>
  </si>
  <si>
    <t>Barry Weirich</t>
  </si>
  <si>
    <t>Executive Impressions 13" Clairmont Wall Clock</t>
  </si>
  <si>
    <t>CA-2016-125934</t>
  </si>
  <si>
    <t>SN-20560</t>
  </si>
  <si>
    <t>Skye Norling</t>
  </si>
  <si>
    <t>Paterson</t>
  </si>
  <si>
    <t>OFF-LA-10000414</t>
  </si>
  <si>
    <t>Avery 503</t>
  </si>
  <si>
    <t>CA-2016-155761</t>
  </si>
  <si>
    <t>SC-20800</t>
  </si>
  <si>
    <t>Stuart Calhoun</t>
  </si>
  <si>
    <t>CA-2016-106362</t>
  </si>
  <si>
    <t>LC-16885</t>
  </si>
  <si>
    <t>Lena Creighton</t>
  </si>
  <si>
    <t>CA-2016-134082</t>
  </si>
  <si>
    <t>JK-15640</t>
  </si>
  <si>
    <t>Jim Kriz</t>
  </si>
  <si>
    <t>San Bernardino</t>
  </si>
  <si>
    <t>CA-2016-135853</t>
  </si>
  <si>
    <t>CA-12775</t>
  </si>
  <si>
    <t>Cynthia Arntzen</t>
  </si>
  <si>
    <t>TEC-AC-10004761</t>
  </si>
  <si>
    <t>Maxell 4.7GB DVD+RW 3/Pack</t>
  </si>
  <si>
    <t>CA-2016-128608</t>
  </si>
  <si>
    <t>CS-12490</t>
  </si>
  <si>
    <t>Cindy Schnelling</t>
  </si>
  <si>
    <t>OFF-AR-10001374</t>
  </si>
  <si>
    <t>BIC Brite Liner Highlighters, Chisel Tip</t>
  </si>
  <si>
    <t>CA-2016-148705</t>
  </si>
  <si>
    <t>EB-14170</t>
  </si>
  <si>
    <t>Evan Bailliet</t>
  </si>
  <si>
    <t>CA-2016-159380</t>
  </si>
  <si>
    <t>CS-12505</t>
  </si>
  <si>
    <t>Cindy Stewart</t>
  </si>
  <si>
    <t>OFF-PA-10003893</t>
  </si>
  <si>
    <t>Xerox 1962</t>
  </si>
  <si>
    <t>CA-2016-130876</t>
  </si>
  <si>
    <t>AZ-10750</t>
  </si>
  <si>
    <t>Annie Zypern</t>
  </si>
  <si>
    <t>OFF-ST-10004258</t>
  </si>
  <si>
    <t>Portable Personal File Box</t>
  </si>
  <si>
    <t>CA-2016-131856</t>
  </si>
  <si>
    <t>JG-15160</t>
  </si>
  <si>
    <t>James Galang</t>
  </si>
  <si>
    <t>FUR-FU-10000175</t>
  </si>
  <si>
    <t>DAX Wood Document Frame.</t>
  </si>
  <si>
    <t>CA-2016-139850</t>
  </si>
  <si>
    <t>GB-14575</t>
  </si>
  <si>
    <t>Giulietta Baptist</t>
  </si>
  <si>
    <t>CA-2016-131779</t>
  </si>
  <si>
    <t>LE-16810</t>
  </si>
  <si>
    <t>Laurel Elliston</t>
  </si>
  <si>
    <t>CA-2016-104115</t>
  </si>
  <si>
    <t>JH-15910</t>
  </si>
  <si>
    <t>Jonathan Howell</t>
  </si>
  <si>
    <t>West Palm Beach</t>
  </si>
  <si>
    <t>TEC-PH-10002844</t>
  </si>
  <si>
    <t>Speck Products Candyshell Flip Case</t>
  </si>
  <si>
    <t>CA-2016-128993</t>
  </si>
  <si>
    <t>CC-12670</t>
  </si>
  <si>
    <t>Craig Carreira</t>
  </si>
  <si>
    <t>CA-2016-159786</t>
  </si>
  <si>
    <t>RK-19300</t>
  </si>
  <si>
    <t>Ralph Kennedy</t>
  </si>
  <si>
    <t>CA-2016-153220</t>
  </si>
  <si>
    <t>YC-21895</t>
  </si>
  <si>
    <t>Yoseph Carroll</t>
  </si>
  <si>
    <t>US-2016-153283</t>
  </si>
  <si>
    <t>EB-14110</t>
  </si>
  <si>
    <t>Eugene Barchas</t>
  </si>
  <si>
    <t>OFF-EN-10001539</t>
  </si>
  <si>
    <t>CA-2016-127481</t>
  </si>
  <si>
    <t>JD-15895</t>
  </si>
  <si>
    <t>Jonathan Doherty</t>
  </si>
  <si>
    <t>Las Vegas</t>
  </si>
  <si>
    <t>OFF-PA-10002036</t>
  </si>
  <si>
    <t>Xerox 1930</t>
  </si>
  <si>
    <t>CA-2017-166674</t>
  </si>
  <si>
    <t>RB-19360</t>
  </si>
  <si>
    <t>Raymond Buch</t>
  </si>
  <si>
    <t>Auburn</t>
  </si>
  <si>
    <t>CA-2017-149902</t>
  </si>
  <si>
    <t>DW-13540</t>
  </si>
  <si>
    <t>Don Weiss</t>
  </si>
  <si>
    <t>OFF-AR-10002956</t>
  </si>
  <si>
    <t>Boston 16801 Nautilus Battery Pencil Sharpener</t>
  </si>
  <si>
    <t>CA-2017-127985</t>
  </si>
  <si>
    <t>DB-12910</t>
  </si>
  <si>
    <t>Daniel Byrd</t>
  </si>
  <si>
    <t>FUR-FU-10003274</t>
  </si>
  <si>
    <t>Regeneration Desk Collection</t>
  </si>
  <si>
    <t>US-2017-160206</t>
  </si>
  <si>
    <t>MY-18295</t>
  </si>
  <si>
    <t>Muhammed Yedwab</t>
  </si>
  <si>
    <t>TEC-PH-10000148</t>
  </si>
  <si>
    <t>Cyber Acoustics AC-202b Speech Recognition Stereo Headset</t>
  </si>
  <si>
    <t>CA-2017-164784</t>
  </si>
  <si>
    <t>HF-14995</t>
  </si>
  <si>
    <t>Herbert Flentye</t>
  </si>
  <si>
    <t>Memphis</t>
  </si>
  <si>
    <t>CA-2017-101525</t>
  </si>
  <si>
    <t>CM-12235</t>
  </si>
  <si>
    <t>Chris McAfee</t>
  </si>
  <si>
    <t>OFF-PA-10001497</t>
  </si>
  <si>
    <t>Xerox 1914</t>
  </si>
  <si>
    <t>CA-2017-152163</t>
  </si>
  <si>
    <t>JF-15355</t>
  </si>
  <si>
    <t>Jay Fein</t>
  </si>
  <si>
    <t>CA-2017-144337</t>
  </si>
  <si>
    <t>SG-20890</t>
  </si>
  <si>
    <t>Susan Gilcrest</t>
  </si>
  <si>
    <t>Amarillo</t>
  </si>
  <si>
    <t>OFF-PA-10000249</t>
  </si>
  <si>
    <t>CA-2017-129714</t>
  </si>
  <si>
    <t>AB-10060</t>
  </si>
  <si>
    <t>Adam Bellavance</t>
  </si>
  <si>
    <t>TEC-AC-10000290</t>
  </si>
  <si>
    <t>Sabrent 4-Port USB 2.0 Hub</t>
  </si>
  <si>
    <t>CA-2017-120859</t>
  </si>
  <si>
    <t>CV-12805</t>
  </si>
  <si>
    <t>Cynthia Voltz</t>
  </si>
  <si>
    <t>OFF-EN-10001335</t>
  </si>
  <si>
    <t>White Business Envelopes with Contemporary Seam, Recycled White Business Envelopes</t>
  </si>
  <si>
    <t>CA-2017-124583</t>
  </si>
  <si>
    <t>LB-16795</t>
  </si>
  <si>
    <t>Laurel Beltran</t>
  </si>
  <si>
    <t>Huntington Beach</t>
  </si>
  <si>
    <t>OFF-EN-10002500</t>
  </si>
  <si>
    <t>Globe Weis Peel &amp; Seel First Class Envelopes</t>
  </si>
  <si>
    <t>CA-2017-157686</t>
  </si>
  <si>
    <t>BD-11620</t>
  </si>
  <si>
    <t>Brian DeCherney</t>
  </si>
  <si>
    <t>CA-2017-111794</t>
  </si>
  <si>
    <t>HG-15025</t>
  </si>
  <si>
    <t>Hunter Glantz</t>
  </si>
  <si>
    <t>TEC-AC-10003832</t>
  </si>
  <si>
    <t>ImationÂ 16GB Mini TravelDrive USB 2.0Â Flash Drive</t>
  </si>
  <si>
    <t>CA-2017-116918</t>
  </si>
  <si>
    <t>JK-15205</t>
  </si>
  <si>
    <t>Jamie Kunitz</t>
  </si>
  <si>
    <t>Hialeah</t>
  </si>
  <si>
    <t>CA-2017-113621</t>
  </si>
  <si>
    <t>JE-15745</t>
  </si>
  <si>
    <t>Joel Eaton</t>
  </si>
  <si>
    <t>US-2017-150035</t>
  </si>
  <si>
    <t>CL-11890</t>
  </si>
  <si>
    <t>Carl Ludwig</t>
  </si>
  <si>
    <t>FUR-FU-10003724</t>
  </si>
  <si>
    <t>Westinghouse Clip-On Gooseneck Lamps</t>
  </si>
  <si>
    <t>CA-2017-130393</t>
  </si>
  <si>
    <t>JM-15865</t>
  </si>
  <si>
    <t>John Murray</t>
  </si>
  <si>
    <t>San Angelo</t>
  </si>
  <si>
    <t>CA-2017-160304</t>
  </si>
  <si>
    <t>BM-11575</t>
  </si>
  <si>
    <t>Brendan Murry</t>
  </si>
  <si>
    <t>Gaithersburg</t>
  </si>
  <si>
    <t>FUR-BO-10004709</t>
  </si>
  <si>
    <t>Bush Westfield Collection Bookcases, Medium Cherry Finish</t>
  </si>
  <si>
    <t>CA-2017-148698</t>
  </si>
  <si>
    <t>BD-11770</t>
  </si>
  <si>
    <t>Bryan Davis</t>
  </si>
  <si>
    <t>OFF-AR-10004022</t>
  </si>
  <si>
    <t>Panasonic KP-380BK Classic Electric Pencil Sharpener</t>
  </si>
  <si>
    <t>CA-2017-146836</t>
  </si>
  <si>
    <t>CC-12475</t>
  </si>
  <si>
    <t>Cindy Chapman</t>
  </si>
  <si>
    <t>OFF-ST-10001580</t>
  </si>
  <si>
    <t>Super Decoflex Portable Personal File</t>
  </si>
  <si>
    <t>CA-2017-154060</t>
  </si>
  <si>
    <t>DL-12865</t>
  </si>
  <si>
    <t>Dan Lawera</t>
  </si>
  <si>
    <t>Greensboro</t>
  </si>
  <si>
    <t>FUR-CH-10002304</t>
  </si>
  <si>
    <t>Global Stack Chair without Arms, Black</t>
  </si>
  <si>
    <t>CA-2017-101469</t>
  </si>
  <si>
    <t>KH-16360</t>
  </si>
  <si>
    <t>Katherine Hughes</t>
  </si>
  <si>
    <t>OFF-AR-10003986</t>
  </si>
  <si>
    <t>Avery Hi-Liter Pen Style Six-Color Fluorescent Set</t>
  </si>
  <si>
    <t>CA-2017-156265</t>
  </si>
  <si>
    <t>BF-11020</t>
  </si>
  <si>
    <t>Barry FranzÃ¶sisch</t>
  </si>
  <si>
    <t>FUR-TA-10001691</t>
  </si>
  <si>
    <t>Barricks Non-Folding Utility Table with Steel Legs, Laminate Tops</t>
  </si>
  <si>
    <t>CA-2017-106950</t>
  </si>
  <si>
    <t>JE-15715</t>
  </si>
  <si>
    <t>Joe Elijah</t>
  </si>
  <si>
    <t>OFF-BI-10000014</t>
  </si>
  <si>
    <t>Heavy-Duty E-Z-D Binders</t>
  </si>
  <si>
    <t>CA-2017-112739</t>
  </si>
  <si>
    <t>RD-19810</t>
  </si>
  <si>
    <t>Ross DeVincentis</t>
  </si>
  <si>
    <t>OFF-BI-10001132</t>
  </si>
  <si>
    <t>Acco PRESSTEX Data Binder with Storage Hooks, Dark Blue, 9 1/2" X 11"</t>
  </si>
  <si>
    <t>CA-2017-134376</t>
  </si>
  <si>
    <t>TT-21265</t>
  </si>
  <si>
    <t>Tim Taslimi</t>
  </si>
  <si>
    <t>CA-2017-118969</t>
  </si>
  <si>
    <t>LP-17095</t>
  </si>
  <si>
    <t>Liz Preis</t>
  </si>
  <si>
    <t>OFF-BI-10002429</t>
  </si>
  <si>
    <t>Premier Elliptical Ring Binder, Black</t>
  </si>
  <si>
    <t>US-2017-108455</t>
  </si>
  <si>
    <t>MK-18160</t>
  </si>
  <si>
    <t>Mike Kennedy</t>
  </si>
  <si>
    <t>OFF-PA-10002262</t>
  </si>
  <si>
    <t>Xerox 192</t>
  </si>
  <si>
    <t>US-2017-155103</t>
  </si>
  <si>
    <t>JF-15190</t>
  </si>
  <si>
    <t>Jamie Frazer</t>
  </si>
  <si>
    <t>OFF-BI-10004318</t>
  </si>
  <si>
    <t>Ibico EB-19 Dual Function Manual Binding System</t>
  </si>
  <si>
    <t>US-2017-116365</t>
  </si>
  <si>
    <t>CA-12310</t>
  </si>
  <si>
    <t>Christine Abelman</t>
  </si>
  <si>
    <t>TEC-AC-10002217</t>
  </si>
  <si>
    <t>ImationÂ Clip USBÂ flash driveÂ - 8 GB</t>
  </si>
  <si>
    <t>CA-2017-105207</t>
  </si>
  <si>
    <t>BO-11350</t>
  </si>
  <si>
    <t>Bill Overfelt</t>
  </si>
  <si>
    <t>Broken Arrow</t>
  </si>
  <si>
    <t>FUR-TA-10000617</t>
  </si>
  <si>
    <t>Hon Practical Foundations 30 x 60 Training Table, Light Gray/Charcoal</t>
  </si>
  <si>
    <t>CA-2017-116799</t>
  </si>
  <si>
    <t>JG-15310</t>
  </si>
  <si>
    <t>Jason Gross</t>
  </si>
  <si>
    <t>Odessa</t>
  </si>
  <si>
    <t>OFF-PA-10001892</t>
  </si>
  <si>
    <t>Rediform Wirebound "Phone Memo" Message Book, 11 x 5-3/4</t>
  </si>
  <si>
    <t>CA-2017-120005</t>
  </si>
  <si>
    <t>TS-21160</t>
  </si>
  <si>
    <t>Theresa Swint</t>
  </si>
  <si>
    <t>OFF-SU-10004782</t>
  </si>
  <si>
    <t>Elite 5" Scissors</t>
  </si>
  <si>
    <t>CA-2017-167682</t>
  </si>
  <si>
    <t>ZD-21925</t>
  </si>
  <si>
    <t>Zuschuss Donatelli</t>
  </si>
  <si>
    <t>FUR-FU-10003799</t>
  </si>
  <si>
    <t>Seth Thomas 13 1/2" Wall Clock</t>
  </si>
  <si>
    <t>CA-2017-129280</t>
  </si>
  <si>
    <t>SM-20905</t>
  </si>
  <si>
    <t>Susan MacKendrick</t>
  </si>
  <si>
    <t>CA-2017-130029</t>
  </si>
  <si>
    <t>GT-14755</t>
  </si>
  <si>
    <t>Guy Thornton</t>
  </si>
  <si>
    <t>OFF-PA-10000552</t>
  </si>
  <si>
    <t>Xerox 200</t>
  </si>
  <si>
    <t>CA-2017-104150</t>
  </si>
  <si>
    <t>AG-10330</t>
  </si>
  <si>
    <t>Alex Grayson</t>
  </si>
  <si>
    <t>OFF-EN-10002504</t>
  </si>
  <si>
    <t>Tyvek  Top-Opening Peel &amp; Seel Envelopes, Plain White</t>
  </si>
  <si>
    <t>US-2017-104815</t>
  </si>
  <si>
    <t>RB-19570</t>
  </si>
  <si>
    <t>Rob Beeghly</t>
  </si>
  <si>
    <t>FUR-BO-10003894</t>
  </si>
  <si>
    <t>Safco Value Mate Steel Bookcase, Baked Enamel Finish on Steel, Black</t>
  </si>
  <si>
    <t>CA-2017-114972</t>
  </si>
  <si>
    <t>PF-19225</t>
  </si>
  <si>
    <t>Phillip Flathmann</t>
  </si>
  <si>
    <t>FUR-CH-10001190</t>
  </si>
  <si>
    <t>Global Deluxe High-Back Office Chair in Storm</t>
  </si>
  <si>
    <t>CA-2017-160136</t>
  </si>
  <si>
    <t>PJ-18835</t>
  </si>
  <si>
    <t>Patrick Jones</t>
  </si>
  <si>
    <t>OFF-PA-10002160</t>
  </si>
  <si>
    <t>Xerox 1978</t>
  </si>
  <si>
    <t>US-2017-161683</t>
  </si>
  <si>
    <t>CJ-12010</t>
  </si>
  <si>
    <t>Caroline Jumper</t>
  </si>
  <si>
    <t>CA-2017-161025</t>
  </si>
  <si>
    <t>GM-14440</t>
  </si>
  <si>
    <t>Gary McGarr</t>
  </si>
  <si>
    <t>OFF-ST-10001932</t>
  </si>
  <si>
    <t>Fellowes Staxonsteel Drawer Files</t>
  </si>
  <si>
    <t>US-2017-164630</t>
  </si>
  <si>
    <t>EB-13975</t>
  </si>
  <si>
    <t>Erica Bern</t>
  </si>
  <si>
    <t>TEC-CO-10000971</t>
  </si>
  <si>
    <t>Hewlett Packard 310 Color Digital Copier</t>
  </si>
  <si>
    <t>CA-2017-158211</t>
  </si>
  <si>
    <t>BP-11185</t>
  </si>
  <si>
    <t>Ben Peterman</t>
  </si>
  <si>
    <t>CA-2017-117912</t>
  </si>
  <si>
    <t>TB-21520</t>
  </si>
  <si>
    <t>Tracy Blumstein</t>
  </si>
  <si>
    <t>Sierra Vista</t>
  </si>
  <si>
    <t>FUR-FU-10002088</t>
  </si>
  <si>
    <t>Nu-Dell Float Frame 11 x 14 1/2</t>
  </si>
  <si>
    <t>CA-2017-154053</t>
  </si>
  <si>
    <t>MG-17890</t>
  </si>
  <si>
    <t>Michael Granlund</t>
  </si>
  <si>
    <t>OFF-AR-10003727</t>
  </si>
  <si>
    <t>Berol Giant Pencil Sharpener</t>
  </si>
  <si>
    <t>CA-2017-122518</t>
  </si>
  <si>
    <t>RF-19345</t>
  </si>
  <si>
    <t>Randy Ferguson</t>
  </si>
  <si>
    <t>CA-2017-167115</t>
  </si>
  <si>
    <t>EH-14185</t>
  </si>
  <si>
    <t>Evan Henry</t>
  </si>
  <si>
    <t>CA-2017-165848</t>
  </si>
  <si>
    <t>EN-13780</t>
  </si>
  <si>
    <t>Edward Nazzal</t>
  </si>
  <si>
    <t>CA-2017-110254</t>
  </si>
  <si>
    <t>ML-17755</t>
  </si>
  <si>
    <t>Max Ludwig</t>
  </si>
  <si>
    <t>OFF-SU-10002573</t>
  </si>
  <si>
    <t>Acme 10" Easy Grip Assistive Scissors</t>
  </si>
  <si>
    <t>US-2017-128195</t>
  </si>
  <si>
    <t>RA-19285</t>
  </si>
  <si>
    <t>Ralph Arnett</t>
  </si>
  <si>
    <t>CA-2017-111913</t>
  </si>
  <si>
    <t>LC-16930</t>
  </si>
  <si>
    <t>Linda Cazamias</t>
  </si>
  <si>
    <t>Sacramento</t>
  </si>
  <si>
    <t>TEC-PH-10002275</t>
  </si>
  <si>
    <t>Mitel 5320 IP Phone VoIP phone</t>
  </si>
  <si>
    <t>CA-2017-168774</t>
  </si>
  <si>
    <t>RP-19855</t>
  </si>
  <si>
    <t>Roy Phan</t>
  </si>
  <si>
    <t>Woodbury</t>
  </si>
  <si>
    <t>OFF-ST-10001490</t>
  </si>
  <si>
    <t>Hot File 7-Pocket, Floor Stand</t>
  </si>
  <si>
    <t>CA-2017-121601</t>
  </si>
  <si>
    <t>MO-17500</t>
  </si>
  <si>
    <t>Mary O'Rourke</t>
  </si>
  <si>
    <t>The Colony</t>
  </si>
  <si>
    <t>OFF-EN-10003862</t>
  </si>
  <si>
    <t>Laser &amp; Ink Jet Business Envelopes</t>
  </si>
  <si>
    <t>CA-2017-163755</t>
  </si>
  <si>
    <t>AS-10285</t>
  </si>
  <si>
    <t>Alejandro Savely</t>
  </si>
  <si>
    <t>FUR-FU-10003394</t>
  </si>
  <si>
    <t>Tenex "The Solids" Textured Chair Mats</t>
  </si>
  <si>
    <t>CA-2017-165827</t>
  </si>
  <si>
    <t>MF-17665</t>
  </si>
  <si>
    <t>Maureen Fritzler</t>
  </si>
  <si>
    <t>FUR-FU-10001889</t>
  </si>
  <si>
    <t>Ultra Door Pull Handle</t>
  </si>
  <si>
    <t>CA-2017-162236</t>
  </si>
  <si>
    <t>ER-13855</t>
  </si>
  <si>
    <t>Elpida Rittenbach</t>
  </si>
  <si>
    <t>OFF-ST-10003442</t>
  </si>
  <si>
    <t>Eldon Portable Mobile Manager</t>
  </si>
  <si>
    <t>CA-2017-139885</t>
  </si>
  <si>
    <t>EB-13840</t>
  </si>
  <si>
    <t>Ellis Ballard</t>
  </si>
  <si>
    <t>OFF-ST-10003324</t>
  </si>
  <si>
    <t>Belkin OmniView SE Rackmount Kit</t>
  </si>
  <si>
    <t>CA-2017-105277</t>
  </si>
  <si>
    <t>LM-17065</t>
  </si>
  <si>
    <t>Liz MacKendrick</t>
  </si>
  <si>
    <t>OFF-BI-10000301</t>
  </si>
  <si>
    <t>GBC Instant Report Kit</t>
  </si>
  <si>
    <t>CA-2017-134474</t>
  </si>
  <si>
    <t>AJ-10795</t>
  </si>
  <si>
    <t>Anthony Johnson</t>
  </si>
  <si>
    <t>TEC-AC-10001714</t>
  </si>
  <si>
    <t>LogitechÂ MX Performance Wireless Mouse</t>
  </si>
  <si>
    <t>CA-2017-165218</t>
  </si>
  <si>
    <t>RW-19630</t>
  </si>
  <si>
    <t>Rob Williams</t>
  </si>
  <si>
    <t>CA-2017-137729</t>
  </si>
  <si>
    <t>BF-11005</t>
  </si>
  <si>
    <t>Barry Franz</t>
  </si>
  <si>
    <t>US-2017-102239</t>
  </si>
  <si>
    <t>LW-16990</t>
  </si>
  <si>
    <t>Lindsay Williams</t>
  </si>
  <si>
    <t>FUR-TA-10003392</t>
  </si>
  <si>
    <t>Global Adaptabilities Conference Tables</t>
  </si>
  <si>
    <t>CA-2017-165169</t>
  </si>
  <si>
    <t>JL-15235</t>
  </si>
  <si>
    <t>Janet Lee</t>
  </si>
  <si>
    <t>CA-2017-154536</t>
  </si>
  <si>
    <t>JC-15340</t>
  </si>
  <si>
    <t>Jasper Cacioppo</t>
  </si>
  <si>
    <t>OFF-BI-10004410</t>
  </si>
  <si>
    <t>C-Line Peel &amp; Stick Add-On Filing Pockets, 8-3/4 x 5-1/8, 10/Pack</t>
  </si>
  <si>
    <t>CA-2017-133319</t>
  </si>
  <si>
    <t>MV-17485</t>
  </si>
  <si>
    <t>Mark Van Huff</t>
  </si>
  <si>
    <t>OFF-PA-10001815</t>
  </si>
  <si>
    <t>Xerox 1885</t>
  </si>
  <si>
    <t>CA-2017-158778</t>
  </si>
  <si>
    <t>DB-13210</t>
  </si>
  <si>
    <t>Dean Braden</t>
  </si>
  <si>
    <t>FUR-FU-10000260</t>
  </si>
  <si>
    <t>6" Cubicle Wall Clock, Black</t>
  </si>
  <si>
    <t>CA-2017-139409</t>
  </si>
  <si>
    <t>FW-14395</t>
  </si>
  <si>
    <t>Fred Wasserman</t>
  </si>
  <si>
    <t>TEC-PH-10003988</t>
  </si>
  <si>
    <t>LF Elite 3D Dazzle Designer Hard Case Cover, Lf Stylus Pen and Wiper For Apple Iphone 5c Mini Lite</t>
  </si>
  <si>
    <t>US-2017-165078</t>
  </si>
  <si>
    <t>MA-17995</t>
  </si>
  <si>
    <t>Michelle Arnett</t>
  </si>
  <si>
    <t>OFF-BI-10001989</t>
  </si>
  <si>
    <t>Premium Transparent Presentation Covers by GBC</t>
  </si>
  <si>
    <t>CA-2017-114489</t>
  </si>
  <si>
    <t>JE-16165</t>
  </si>
  <si>
    <t>Justin Ellison</t>
  </si>
  <si>
    <t>TEC-PH-10000215</t>
  </si>
  <si>
    <t>Plantronics CordlessÂ Phone HeadsetÂ with In-line Volume - M214C</t>
  </si>
  <si>
    <t>CA-2017-143749</t>
  </si>
  <si>
    <t>AG-10300</t>
  </si>
  <si>
    <t>Aleksandra Gannaway</t>
  </si>
  <si>
    <t>FUR-BO-10002853</t>
  </si>
  <si>
    <t>O'Sullivan 5-Shelf Heavy-Duty Bookcases</t>
  </si>
  <si>
    <t>CA-2017-140564</t>
  </si>
  <si>
    <t>TC-21475</t>
  </si>
  <si>
    <t>Tony Chapman</t>
  </si>
  <si>
    <t>District of Columbia</t>
  </si>
  <si>
    <t>CA-2017-109722</t>
  </si>
  <si>
    <t>TP-21130</t>
  </si>
  <si>
    <t>Theone Pippenger</t>
  </si>
  <si>
    <t>Georgetown</t>
  </si>
  <si>
    <t>TEC-PH-10000560</t>
  </si>
  <si>
    <t>Samsung Galaxy S III - 16GB - pebble blue (T-Mobile)</t>
  </si>
  <si>
    <t>CA-2017-108350</t>
  </si>
  <si>
    <t>SC-20230</t>
  </si>
  <si>
    <t>Scot Coram</t>
  </si>
  <si>
    <t>OFF-PA-10003656</t>
  </si>
  <si>
    <t>Xerox 1935</t>
  </si>
  <si>
    <t>CA-2017-145240</t>
  </si>
  <si>
    <t>BG-11740</t>
  </si>
  <si>
    <t>Bruce Geld</t>
  </si>
  <si>
    <t>US-2017-125969</t>
  </si>
  <si>
    <t>LS-16975</t>
  </si>
  <si>
    <t>Lindsay Shagiari</t>
  </si>
  <si>
    <t>Global Task Chair, Black</t>
  </si>
  <si>
    <t>US-2017-153815</t>
  </si>
  <si>
    <t>KL-16555</t>
  </si>
  <si>
    <t>Kelly Lampkin</t>
  </si>
  <si>
    <t>US-2017-169040</t>
  </si>
  <si>
    <t>GT-14710</t>
  </si>
  <si>
    <t>Greg Tran</t>
  </si>
  <si>
    <t>TEC-PH-10002310</t>
  </si>
  <si>
    <t>Plantronics Calisto P620-M USB Wireless Speakerphone System</t>
  </si>
  <si>
    <t>CA-2017-162390</t>
  </si>
  <si>
    <t>DP-13105</t>
  </si>
  <si>
    <t>Dave Poirier</t>
  </si>
  <si>
    <t>CA-2017-106894</t>
  </si>
  <si>
    <t>CA-12265</t>
  </si>
  <si>
    <t>Christina Anderson</t>
  </si>
  <si>
    <t>TEC-AC-10003063</t>
  </si>
  <si>
    <t>Micro Innovations USB RF Wireless Keyboard with Mouse</t>
  </si>
  <si>
    <t>CA-2017-161662</t>
  </si>
  <si>
    <t>BE-11410</t>
  </si>
  <si>
    <t>Bobby Elias</t>
  </si>
  <si>
    <t>OFF-PA-10003465</t>
  </si>
  <si>
    <t>Xerox 1912</t>
  </si>
  <si>
    <t>CA-2017-107475</t>
  </si>
  <si>
    <t>RS-19870</t>
  </si>
  <si>
    <t>Roy Skaria</t>
  </si>
  <si>
    <t>OFF-FA-10002988</t>
  </si>
  <si>
    <t>Ideal Clamps</t>
  </si>
  <si>
    <t>CA-2017-135265</t>
  </si>
  <si>
    <t>CC-12370</t>
  </si>
  <si>
    <t>Christopher Conant</t>
  </si>
  <si>
    <t>FUR-CH-10003061</t>
  </si>
  <si>
    <t>Global Leather Task Chair, Black</t>
  </si>
  <si>
    <t>CA-2017-129308</t>
  </si>
  <si>
    <t>CC-12100</t>
  </si>
  <si>
    <t>Chad Cunningham</t>
  </si>
  <si>
    <t>OFF-LA-10002945</t>
  </si>
  <si>
    <t>Permanent Self-Adhesive File Folder Labels for Typewriters, 1 1/8 x 3 1/2, White</t>
  </si>
  <si>
    <t>CA-2017-148516</t>
  </si>
  <si>
    <t>DW-13585</t>
  </si>
  <si>
    <t>Dorothy Wardle</t>
  </si>
  <si>
    <t>Edmonds</t>
  </si>
  <si>
    <t>TEC-AC-10003610</t>
  </si>
  <si>
    <t>LogitechÂ Illuminated - Keyboard</t>
  </si>
  <si>
    <t>CA-2017-127649</t>
  </si>
  <si>
    <t>DL-13495</t>
  </si>
  <si>
    <t>Dionis Lloyd</t>
  </si>
  <si>
    <t>TEC-MA-10001972</t>
  </si>
  <si>
    <t>Okidata C331dn Printer</t>
  </si>
  <si>
    <t>CA-2017-163216</t>
  </si>
  <si>
    <t>AW-10930</t>
  </si>
  <si>
    <t>Arthur Wiediger</t>
  </si>
  <si>
    <t>OFF-LA-10000134</t>
  </si>
  <si>
    <t>Avery 511</t>
  </si>
  <si>
    <t>CA-2017-164896</t>
  </si>
  <si>
    <t>PS-19045</t>
  </si>
  <si>
    <t>Penelope Sewall</t>
  </si>
  <si>
    <t>OFF-PA-10002246</t>
  </si>
  <si>
    <t>Wirebound Four 2-3/4 x 5 Forms per Page, 400 Sets per Book</t>
  </si>
  <si>
    <t>CA-2017-116379</t>
  </si>
  <si>
    <t>LD-17005</t>
  </si>
  <si>
    <t>Lisa DeCherney</t>
  </si>
  <si>
    <t>OFF-BI-10001543</t>
  </si>
  <si>
    <t>GBC VeloBinder Manual Binding System</t>
  </si>
  <si>
    <t>CA-2017-109344</t>
  </si>
  <si>
    <t>CH-12070</t>
  </si>
  <si>
    <t>Cathy Hwang</t>
  </si>
  <si>
    <t>TEC-PH-10002624</t>
  </si>
  <si>
    <t>Samsung Galaxy S4 Mini</t>
  </si>
  <si>
    <t>CA-2017-169103</t>
  </si>
  <si>
    <t>ZC-21910</t>
  </si>
  <si>
    <t>Zuschuss Carroll</t>
  </si>
  <si>
    <t>CA-2017-130400</t>
  </si>
  <si>
    <t>SJ-20125</t>
  </si>
  <si>
    <t>Sanjit Jacobs</t>
  </si>
  <si>
    <t>CA-2017-138520</t>
  </si>
  <si>
    <t>JL-15505</t>
  </si>
  <si>
    <t>Jeremy Lonsdale</t>
  </si>
  <si>
    <t>FUR-BO-10002268</t>
  </si>
  <si>
    <t>Sauder Barrister Bookcases</t>
  </si>
  <si>
    <t>CA-2017-152520</t>
  </si>
  <si>
    <t>TH-21115</t>
  </si>
  <si>
    <t>Thea Hudgings</t>
  </si>
  <si>
    <t>OFF-PA-10000289</t>
  </si>
  <si>
    <t>Xerox 213</t>
  </si>
  <si>
    <t>CA-2017-131499</t>
  </si>
  <si>
    <t>MG-17875</t>
  </si>
  <si>
    <t>Michael Grace</t>
  </si>
  <si>
    <t>OFF-AP-10003779</t>
  </si>
  <si>
    <t>Kensington 7 Outlet MasterPiece Power Center with Fax/Phone Line Protection</t>
  </si>
  <si>
    <t>CA-2017-155138</t>
  </si>
  <si>
    <t>JM-15580</t>
  </si>
  <si>
    <t>Jill Matthias</t>
  </si>
  <si>
    <t>US-2017-126844</t>
  </si>
  <si>
    <t>BW-11110</t>
  </si>
  <si>
    <t>Bart Watters</t>
  </si>
  <si>
    <t>FUR-FU-10004909</t>
  </si>
  <si>
    <t>Contemporary Wood/Metal Frame</t>
  </si>
  <si>
    <t>CA-2017-149685</t>
  </si>
  <si>
    <t>PM-19135</t>
  </si>
  <si>
    <t>Peter McVee</t>
  </si>
  <si>
    <t>OFF-LA-10004545</t>
  </si>
  <si>
    <t>Avery 50</t>
  </si>
  <si>
    <t>CA-2017-152156</t>
  </si>
  <si>
    <t>CG-12520</t>
  </si>
  <si>
    <t>Claire Gute</t>
  </si>
  <si>
    <t>FUR-BO-10001798</t>
  </si>
  <si>
    <t>Bush Somerset Collection Bookcase</t>
  </si>
  <si>
    <t>US-2017-112396</t>
  </si>
  <si>
    <t>JR-16210</t>
  </si>
  <si>
    <t>Justin Ritter</t>
  </si>
  <si>
    <t>CA-2017-153269</t>
  </si>
  <si>
    <t>PS-18760</t>
  </si>
  <si>
    <t>Pamela Stobb</t>
  </si>
  <si>
    <t>Andover</t>
  </si>
  <si>
    <t>OFF-ST-10004634</t>
  </si>
  <si>
    <t>Personal Folder Holder, Ebony</t>
  </si>
  <si>
    <t>CA-2017-128517</t>
  </si>
  <si>
    <t>SW-20350</t>
  </si>
  <si>
    <t>Sean Wendt</t>
  </si>
  <si>
    <t>TEC-PH-10002555</t>
  </si>
  <si>
    <t>Nortel Meridian M5316 Digital phone</t>
  </si>
  <si>
    <t>CA-2017-159765</t>
  </si>
  <si>
    <t>TH-21100</t>
  </si>
  <si>
    <t>Thea Hendricks</t>
  </si>
  <si>
    <t>OFF-AR-10003514</t>
  </si>
  <si>
    <t>4009 Highlighters by Sanford</t>
  </si>
  <si>
    <t>CA-2017-147368</t>
  </si>
  <si>
    <t>TC-21295</t>
  </si>
  <si>
    <t>Toby Carlisle</t>
  </si>
  <si>
    <t>TEC-MA-10002178</t>
  </si>
  <si>
    <t>Cisco CP-7937G Unified IP Conference Station Phone</t>
  </si>
  <si>
    <t>CA-2017-110023</t>
  </si>
  <si>
    <t>TS-21610</t>
  </si>
  <si>
    <t>Troy Staebel</t>
  </si>
  <si>
    <t>OFF-BI-10001036</t>
  </si>
  <si>
    <t>Cardinal EasyOpen D-Ring Binders</t>
  </si>
  <si>
    <t>US-2017-128909</t>
  </si>
  <si>
    <t>SP-20545</t>
  </si>
  <si>
    <t>Sibella Parks</t>
  </si>
  <si>
    <t>OFF-PA-10001593</t>
  </si>
  <si>
    <t>Xerox 1947</t>
  </si>
  <si>
    <t>CA-2017-138233</t>
  </si>
  <si>
    <t>PF-19165</t>
  </si>
  <si>
    <t>Philip Fox</t>
  </si>
  <si>
    <t>TEC-AC-10002001</t>
  </si>
  <si>
    <t>Logitech Wireless Gaming Headset G930</t>
  </si>
  <si>
    <t>CA-2017-163937</t>
  </si>
  <si>
    <t>JB-16000</t>
  </si>
  <si>
    <t>Joy Bell-</t>
  </si>
  <si>
    <t>Longview</t>
  </si>
  <si>
    <t>CA-2017-159016</t>
  </si>
  <si>
    <t>KF-16285</t>
  </si>
  <si>
    <t>Karen Ferguson</t>
  </si>
  <si>
    <t>OFF-PA-10004405</t>
  </si>
  <si>
    <t>Rediform Voice Mail Log Books</t>
  </si>
  <si>
    <t>CA-2017-169663</t>
  </si>
  <si>
    <t>RH-19510</t>
  </si>
  <si>
    <t>Rick Huthwaite</t>
  </si>
  <si>
    <t>CA-2017-108959</t>
  </si>
  <si>
    <t>MH-17785</t>
  </si>
  <si>
    <t>Maya Herman</t>
  </si>
  <si>
    <t>OFF-ST-10001272</t>
  </si>
  <si>
    <t>Mini 13-1/2 Capacity Data Binder Rack, Pearl</t>
  </si>
  <si>
    <t>CA-2017-113243</t>
  </si>
  <si>
    <t>OT-18730</t>
  </si>
  <si>
    <t>Olvera Toch</t>
  </si>
  <si>
    <t>OFF-LA-10001297</t>
  </si>
  <si>
    <t>Avery 473</t>
  </si>
  <si>
    <t>CA-2017-105494</t>
  </si>
  <si>
    <t>PC-18745</t>
  </si>
  <si>
    <t>Pamela Coakley</t>
  </si>
  <si>
    <t>CA-2017-137736</t>
  </si>
  <si>
    <t>DC-13285</t>
  </si>
  <si>
    <t>Debra Catini</t>
  </si>
  <si>
    <t>Warner Robins</t>
  </si>
  <si>
    <t>OFF-AR-10004999</t>
  </si>
  <si>
    <t>Newell 315</t>
  </si>
  <si>
    <t>CA-2017-164938</t>
  </si>
  <si>
    <t>PB-19210</t>
  </si>
  <si>
    <t>Phillip Breyer</t>
  </si>
  <si>
    <t>TEC-PH-10004897</t>
  </si>
  <si>
    <t>Mediabridge Sport Armband iPhone 5s</t>
  </si>
  <si>
    <t>CA-2017-122511</t>
  </si>
  <si>
    <t>BT-11485</t>
  </si>
  <si>
    <t>Brad Thomas</t>
  </si>
  <si>
    <t>FUR-FU-10001037</t>
  </si>
  <si>
    <t>DAX Charcoal/Nickel-Tone Document Frame, 5 x 7</t>
  </si>
  <si>
    <t>CA-2017-127775</t>
  </si>
  <si>
    <t>ES-14020</t>
  </si>
  <si>
    <t>Erica Smith</t>
  </si>
  <si>
    <t>TEC-AC-10002402</t>
  </si>
  <si>
    <t>Razer Kraken PRO Over Ear PC and Music Headset</t>
  </si>
  <si>
    <t>CA-2017-128671</t>
  </si>
  <si>
    <t>MT-18070</t>
  </si>
  <si>
    <t>Michelle Tran</t>
  </si>
  <si>
    <t>CA-2017-116722</t>
  </si>
  <si>
    <t>LP-17080</t>
  </si>
  <si>
    <t>Liz Pelletier</t>
  </si>
  <si>
    <t>FUR-FU-10001934</t>
  </si>
  <si>
    <t>Magnifier Swing Arm Lamp</t>
  </si>
  <si>
    <t>CA-2017-103128</t>
  </si>
  <si>
    <t>SC-20845</t>
  </si>
  <si>
    <t>Sung Chung</t>
  </si>
  <si>
    <t>Arlington Heights</t>
  </si>
  <si>
    <t>OFF-AR-10003394</t>
  </si>
  <si>
    <t>Newell 332</t>
  </si>
  <si>
    <t>CA-2017-105816</t>
  </si>
  <si>
    <t>JM-15265</t>
  </si>
  <si>
    <t>Janet Molinari</t>
  </si>
  <si>
    <t>OFF-FA-10000304</t>
  </si>
  <si>
    <t>Advantus Push Pins</t>
  </si>
  <si>
    <t>CA-2017-163594</t>
  </si>
  <si>
    <t>JF-15295</t>
  </si>
  <si>
    <t>Jason Fortune-</t>
  </si>
  <si>
    <t>OFF-PA-10000809</t>
  </si>
  <si>
    <t>Xerox 206</t>
  </si>
  <si>
    <t>CA-2017-109911</t>
  </si>
  <si>
    <t>VG-21805</t>
  </si>
  <si>
    <t>Vivek Grady</t>
  </si>
  <si>
    <t>OFF-AR-10001662</t>
  </si>
  <si>
    <t>Rogers Handheld Barrel Pencil Sharpener</t>
  </si>
  <si>
    <t>US-2017-123610</t>
  </si>
  <si>
    <t>VM-21835</t>
  </si>
  <si>
    <t>Vivian Mathis</t>
  </si>
  <si>
    <t>Mission Viejo</t>
  </si>
  <si>
    <t>TEC-AC-10004518</t>
  </si>
  <si>
    <t>Memorex Mini Travel Drive 32 GB USB 2.0 Flash Drive</t>
  </si>
  <si>
    <t>CA-2017-138688</t>
  </si>
  <si>
    <t>DV-13045</t>
  </si>
  <si>
    <t>Darrin Van Huff</t>
  </si>
  <si>
    <t>CA-2017-127208</t>
  </si>
  <si>
    <t>SC-20770</t>
  </si>
  <si>
    <t>Stewart Carmichael</t>
  </si>
  <si>
    <t>OFF-AP-10002118</t>
  </si>
  <si>
    <t>1.7 Cubic Foot Compact "Cube" Office Refrigerators</t>
  </si>
  <si>
    <t>CA-2017-164035</t>
  </si>
  <si>
    <t>CR-12730</t>
  </si>
  <si>
    <t>Craig Reiter</t>
  </si>
  <si>
    <t>CA-2017-113082</t>
  </si>
  <si>
    <t>MC-17590</t>
  </si>
  <si>
    <t>Matt Collister</t>
  </si>
  <si>
    <t>Utica</t>
  </si>
  <si>
    <t>FUR-FU-10002813</t>
  </si>
  <si>
    <t>DAX Contemporary Wood Frame with Silver Metal Mat, Desktop, 11 x 14 Size</t>
  </si>
  <si>
    <t>CA-2017-124590</t>
  </si>
  <si>
    <t>SP-20920</t>
  </si>
  <si>
    <t>Susan Pistek</t>
  </si>
  <si>
    <t>Parma</t>
  </si>
  <si>
    <t>FUR-CH-10004495</t>
  </si>
  <si>
    <t>Global Leather and Oak Executive Chair, Black</t>
  </si>
  <si>
    <t>US-2017-169369</t>
  </si>
  <si>
    <t>EC-14050</t>
  </si>
  <si>
    <t>Erin Creighton</t>
  </si>
  <si>
    <t>TEC-AC-10001314</t>
  </si>
  <si>
    <t>Case Logic 2.4GHz Wireless Keyboard</t>
  </si>
  <si>
    <t>CA-2018-151750</t>
  </si>
  <si>
    <t>JM-15250</t>
  </si>
  <si>
    <t>Janet Martin</t>
  </si>
  <si>
    <t>CA-2018-149881</t>
  </si>
  <si>
    <t>NC-18535</t>
  </si>
  <si>
    <t>Nick Crebassa</t>
  </si>
  <si>
    <t>CA-2018-118360</t>
  </si>
  <si>
    <t>JC-15775</t>
  </si>
  <si>
    <t>John Castell</t>
  </si>
  <si>
    <t>OFF-PA-10000791</t>
  </si>
  <si>
    <t>Wirebound Message Books, Four 2 3/4 x 5 Forms per Page, 200 Sets per Book</t>
  </si>
  <si>
    <t>CA-2018-106831</t>
  </si>
  <si>
    <t>FH-14350</t>
  </si>
  <si>
    <t>Fred Harton</t>
  </si>
  <si>
    <t>Dublin</t>
  </si>
  <si>
    <t>OFF-BI-10003429</t>
  </si>
  <si>
    <t>Cardinal HOLDit! Binder Insert Strips,Extra Strips</t>
  </si>
  <si>
    <t>CA-2018-133235</t>
  </si>
  <si>
    <t>LH-16750</t>
  </si>
  <si>
    <t>Larry Hughes</t>
  </si>
  <si>
    <t>TEC-PH-10002660</t>
  </si>
  <si>
    <t>Nortel Networks T7316 E Nt8 B27</t>
  </si>
  <si>
    <t>CA-2018-162691</t>
  </si>
  <si>
    <t>AS-10045</t>
  </si>
  <si>
    <t>Aaron Smayling</t>
  </si>
  <si>
    <t>TEC-MA-10000488</t>
  </si>
  <si>
    <t>Bady BDG101FRU Card Printer</t>
  </si>
  <si>
    <t>CA-2018-131625</t>
  </si>
  <si>
    <t>BN-11515</t>
  </si>
  <si>
    <t>Bradley Nguyen</t>
  </si>
  <si>
    <t>FUR-FU-10004960</t>
  </si>
  <si>
    <t>Seth Thomas 12" Clock w/ Goldtone Case</t>
  </si>
  <si>
    <t>CA-2018-107909</t>
  </si>
  <si>
    <t>SS-20875</t>
  </si>
  <si>
    <t>Sung Shariari</t>
  </si>
  <si>
    <t>Redmond</t>
  </si>
  <si>
    <t>TEC-AC-10001998</t>
  </si>
  <si>
    <t>LogitechÂ LS21 Speaker System - PC Multimedia - 2.1-CH - Wired</t>
  </si>
  <si>
    <t>CA-2018-129378</t>
  </si>
  <si>
    <t>NS-18505</t>
  </si>
  <si>
    <t>Neola Schneider</t>
  </si>
  <si>
    <t>OFF-BI-10002012</t>
  </si>
  <si>
    <t>Wilson Jones Easy Flow II Sheet Lifters</t>
  </si>
  <si>
    <t>CA-2018-118542</t>
  </si>
  <si>
    <t>CC-12550</t>
  </si>
  <si>
    <t>Clay Cheatham</t>
  </si>
  <si>
    <t>OFF-PA-10004735</t>
  </si>
  <si>
    <t>Xerox 1905</t>
  </si>
  <si>
    <t>CA-2018-138618</t>
  </si>
  <si>
    <t>MY-17380</t>
  </si>
  <si>
    <t>Maribeth Yedwab</t>
  </si>
  <si>
    <t>OFF-PA-10000520</t>
  </si>
  <si>
    <t>Xerox 201</t>
  </si>
  <si>
    <t>CA-2018-122539</t>
  </si>
  <si>
    <t>SC-20305</t>
  </si>
  <si>
    <t>Sean Christensen</t>
  </si>
  <si>
    <t>OFF-LA-10004853</t>
  </si>
  <si>
    <t>Avery 483</t>
  </si>
  <si>
    <t>CA-2018-155712</t>
  </si>
  <si>
    <t>KD-16615</t>
  </si>
  <si>
    <t>Ken Dana</t>
  </si>
  <si>
    <t>CA-2018-147844</t>
  </si>
  <si>
    <t>DD-13570</t>
  </si>
  <si>
    <t>Dorothy Dickinson</t>
  </si>
  <si>
    <t>CA-2018-107958</t>
  </si>
  <si>
    <t>AH-10120</t>
  </si>
  <si>
    <t>Adrian Hane</t>
  </si>
  <si>
    <t>OFF-PA-10000357</t>
  </si>
  <si>
    <t>White Dual Perf Computer Printout Paper, 2700 Sheets, 1 Part, Heavyweight, 20 lbs., 14 7/8 x 11</t>
  </si>
  <si>
    <t>CA-2018-137596</t>
  </si>
  <si>
    <t>BE-11335</t>
  </si>
  <si>
    <t>Bill Eplett</t>
  </si>
  <si>
    <t>TEC-PH-10001494</t>
  </si>
  <si>
    <t>Polycom CX600 IP Phone VoIP phone</t>
  </si>
  <si>
    <t>CA-2018-157987</t>
  </si>
  <si>
    <t>AC-10615</t>
  </si>
  <si>
    <t>Ann Chong</t>
  </si>
  <si>
    <t>CA-2018-123001</t>
  </si>
  <si>
    <t>AW-10840</t>
  </si>
  <si>
    <t>Anthony Witt</t>
  </si>
  <si>
    <t>OFF-AR-10001919</t>
  </si>
  <si>
    <t>OIC #2 Pencils, Medium Soft</t>
  </si>
  <si>
    <t>CA-2018-145037</t>
  </si>
  <si>
    <t>TB-21055</t>
  </si>
  <si>
    <t>Ted Butterfield</t>
  </si>
  <si>
    <t>OFF-ST-10000918</t>
  </si>
  <si>
    <t>Crate-A-Files</t>
  </si>
  <si>
    <t>CA-2018-101308</t>
  </si>
  <si>
    <t>FG-14260</t>
  </si>
  <si>
    <t>Frank Gastineau</t>
  </si>
  <si>
    <t>OFF-FA-10002780</t>
  </si>
  <si>
    <t>CA-2018-116113</t>
  </si>
  <si>
    <t>JW-15220</t>
  </si>
  <si>
    <t>Jane Waco</t>
  </si>
  <si>
    <t>Montgomery</t>
  </si>
  <si>
    <t>FUR-FU-10002963</t>
  </si>
  <si>
    <t>Master Caster Door Stop, Gray</t>
  </si>
  <si>
    <t>CA-2018-141117</t>
  </si>
  <si>
    <t>JK-16090</t>
  </si>
  <si>
    <t>Juliana Krohn</t>
  </si>
  <si>
    <t>FUR-BO-10001972</t>
  </si>
  <si>
    <t>O'Sullivan 4-Shelf Bookcase in Odessa Pine</t>
  </si>
  <si>
    <t>CA-2018-137414</t>
  </si>
  <si>
    <t>CM-12115</t>
  </si>
  <si>
    <t>Chad McGuire</t>
  </si>
  <si>
    <t>FUR-FU-10001424</t>
  </si>
  <si>
    <t>Dax Clear Box Frame</t>
  </si>
  <si>
    <t>US-2018-163790</t>
  </si>
  <si>
    <t>NL-18310</t>
  </si>
  <si>
    <t>Nancy Lomonaco</t>
  </si>
  <si>
    <t>Danville</t>
  </si>
  <si>
    <t>CA-2018-167227</t>
  </si>
  <si>
    <t>NP-18670</t>
  </si>
  <si>
    <t>Nora Paige</t>
  </si>
  <si>
    <t>CA-2018-120061</t>
  </si>
  <si>
    <t>SR-20425</t>
  </si>
  <si>
    <t>Sharelle Roach</t>
  </si>
  <si>
    <t>FUR-CH-10001973</t>
  </si>
  <si>
    <t>Office Star Flex Back Scooter Chair with White Frame</t>
  </si>
  <si>
    <t>US-2018-147221</t>
  </si>
  <si>
    <t>JS-16030</t>
  </si>
  <si>
    <t>Joy Smith</t>
  </si>
  <si>
    <t>OFF-AP-10002534</t>
  </si>
  <si>
    <t>3.6 Cubic Foot Counter Height Office Refrigerator</t>
  </si>
  <si>
    <t>CA-2018-164917</t>
  </si>
  <si>
    <t>MK-17905</t>
  </si>
  <si>
    <t>Michael Kennedy</t>
  </si>
  <si>
    <t>OFF-AR-10004344</t>
  </si>
  <si>
    <t>Bulldog Vacuum Base Pencil Sharpener</t>
  </si>
  <si>
    <t>CA-2018-147767</t>
  </si>
  <si>
    <t>SV-20935</t>
  </si>
  <si>
    <t>Susan Vittorini</t>
  </si>
  <si>
    <t>CA-2018-111738</t>
  </si>
  <si>
    <t>CM-12385</t>
  </si>
  <si>
    <t>Christopher Martinez</t>
  </si>
  <si>
    <t>OFF-BI-10004584</t>
  </si>
  <si>
    <t>GBC ProClick 150 Presentation Binding System</t>
  </si>
  <si>
    <t>CA-2018-127621</t>
  </si>
  <si>
    <t>RE-19450</t>
  </si>
  <si>
    <t>Richard Eichhorn</t>
  </si>
  <si>
    <t>OFF-PA-10001307</t>
  </si>
  <si>
    <t>Important Message Pads, 50 4-1/4 x 5-1/2 Forms per Pad</t>
  </si>
  <si>
    <t>CA-2018-123085</t>
  </si>
  <si>
    <t>EJ-13720</t>
  </si>
  <si>
    <t>Ed Jacobs</t>
  </si>
  <si>
    <t>TEC-AC-10000990</t>
  </si>
  <si>
    <t>Imation Bio 2GB USBÂ Flash Drive ImationÂ Corp</t>
  </si>
  <si>
    <t>CA-2018-117513</t>
  </si>
  <si>
    <t>BT-11395</t>
  </si>
  <si>
    <t>Bill Tyler</t>
  </si>
  <si>
    <t>CA-2018-127264</t>
  </si>
  <si>
    <t>SA-20830</t>
  </si>
  <si>
    <t>Sue Ann Reed</t>
  </si>
  <si>
    <t>CA-2018-145772</t>
  </si>
  <si>
    <t>SS-20140</t>
  </si>
  <si>
    <t>Saphhira Shifley</t>
  </si>
  <si>
    <t>CA-2018-145506</t>
  </si>
  <si>
    <t>MO-17800</t>
  </si>
  <si>
    <t>Meg O'Connel</t>
  </si>
  <si>
    <t>US-2018-126179</t>
  </si>
  <si>
    <t>CS-12460</t>
  </si>
  <si>
    <t>Chuck Sachs</t>
  </si>
  <si>
    <t>FUR-FU-10002554</t>
  </si>
  <si>
    <t>Westinghouse Floor Lamp with Metal Mesh Shade, Black</t>
  </si>
  <si>
    <t>CA-2018-106747</t>
  </si>
  <si>
    <t>TS-21505</t>
  </si>
  <si>
    <t>Tony Sayre</t>
  </si>
  <si>
    <t>Concord</t>
  </si>
  <si>
    <t>New Hampshire</t>
  </si>
  <si>
    <t>FUR-FU-10004188</t>
  </si>
  <si>
    <t>Luxo Professional Combination Clamp-On Lamps</t>
  </si>
  <si>
    <t>US-2018-143175</t>
  </si>
  <si>
    <t>GA-14515</t>
  </si>
  <si>
    <t>George Ashbrook</t>
  </si>
  <si>
    <t>OFF-ST-10003123</t>
  </si>
  <si>
    <t>Fellowes Bases and Tops For Staxonsteel/High-Stak Systems</t>
  </si>
  <si>
    <t>CA-2018-123022</t>
  </si>
  <si>
    <t>SC-20050</t>
  </si>
  <si>
    <t>Sample Company A</t>
  </si>
  <si>
    <t>La Mesa</t>
  </si>
  <si>
    <t>OFF-BI-10002225</t>
  </si>
  <si>
    <t>Square Ring Data Binders, Rigid 75 Pt. Covers, 11" x 14-7/8"</t>
  </si>
  <si>
    <t>CA-2018-161067</t>
  </si>
  <si>
    <t>KB-16405</t>
  </si>
  <si>
    <t>Katrina Bavinger</t>
  </si>
  <si>
    <t>OFF-PA-10000418</t>
  </si>
  <si>
    <t>Xerox 189</t>
  </si>
  <si>
    <t>CA-2018-153339</t>
  </si>
  <si>
    <t>DJ-13510</t>
  </si>
  <si>
    <t>Don Jones</t>
  </si>
  <si>
    <t>Murfreesboro</t>
  </si>
  <si>
    <t>CA-2018-142636</t>
  </si>
  <si>
    <t>KC-16675</t>
  </si>
  <si>
    <t>Kimberly Carter</t>
  </si>
  <si>
    <t>OFF-PA-10000157</t>
  </si>
  <si>
    <t>Xerox 191</t>
  </si>
  <si>
    <t>CA-2018-143329</t>
  </si>
  <si>
    <t>DL-13330</t>
  </si>
  <si>
    <t>Denise Leinenbach</t>
  </si>
  <si>
    <t>Las Cruces</t>
  </si>
  <si>
    <t>FUR-FU-10000629</t>
  </si>
  <si>
    <t>9-3/4 Diameter Round Wall Clock</t>
  </si>
  <si>
    <t>CA-2018-161130</t>
  </si>
  <si>
    <t>BF-11275</t>
  </si>
  <si>
    <t>Beth Fritzler</t>
  </si>
  <si>
    <t>TEC-PH-10002549</t>
  </si>
  <si>
    <t>Polycom SoundPoint IP 450 VoIP phone</t>
  </si>
  <si>
    <t>US-2018-101518</t>
  </si>
  <si>
    <t>PB-19105</t>
  </si>
  <si>
    <t>Peter BÃ¼hler</t>
  </si>
  <si>
    <t>TEC-AC-10001553</t>
  </si>
  <si>
    <t>Memorex 25GB 6X Branded Blu-Ray Recordable Disc, 15/Pack</t>
  </si>
  <si>
    <t>US-2018-105998</t>
  </si>
  <si>
    <t>CR-12580</t>
  </si>
  <si>
    <t>Clay Rozendal</t>
  </si>
  <si>
    <t>CA-2018-157903</t>
  </si>
  <si>
    <t>AM-10705</t>
  </si>
  <si>
    <t>Anne McFarland</t>
  </si>
  <si>
    <t>Des Plaines</t>
  </si>
  <si>
    <t>TEC-PH-10004345</t>
  </si>
  <si>
    <t>Cisco SPA 502G IP Phone</t>
  </si>
  <si>
    <t>CA-2018-158953</t>
  </si>
  <si>
    <t>ML-18040</t>
  </si>
  <si>
    <t>Michelle Lonsdale</t>
  </si>
  <si>
    <t>Missouri City</t>
  </si>
  <si>
    <t>OFF-BI-10002557</t>
  </si>
  <si>
    <t>Presstex Flexible Ring Binders</t>
  </si>
  <si>
    <t>CA-2018-149720</t>
  </si>
  <si>
    <t>EM-14065</t>
  </si>
  <si>
    <t>Erin Mull</t>
  </si>
  <si>
    <t>Frisco</t>
  </si>
  <si>
    <t>CA-2018-140326</t>
  </si>
  <si>
    <t>HW-14935</t>
  </si>
  <si>
    <t>Helen Wasserman</t>
  </si>
  <si>
    <t>FUR-BO-10000112</t>
  </si>
  <si>
    <t>Bush Birmingham Collection Bookcase, Dark Cherry</t>
  </si>
  <si>
    <t>CA-2018-156412</t>
  </si>
  <si>
    <t>CM-12160</t>
  </si>
  <si>
    <t>Charles McCrossin</t>
  </si>
  <si>
    <t>CA-2018-131282</t>
  </si>
  <si>
    <t>CB-12025</t>
  </si>
  <si>
    <t>Cassandra Brandow</t>
  </si>
  <si>
    <t>Waco</t>
  </si>
  <si>
    <t>Ibico Hi-Tech Manual Binding System</t>
  </si>
  <si>
    <t>CA-2018-168123</t>
  </si>
  <si>
    <t>JD-16060</t>
  </si>
  <si>
    <t>Julia Dunbar</t>
  </si>
  <si>
    <t>OFF-FA-10002763</t>
  </si>
  <si>
    <t>Advantus Map Pennant Flags and Round Head Tacks</t>
  </si>
  <si>
    <t>CA-2018-100223</t>
  </si>
  <si>
    <t>LS-16945</t>
  </si>
  <si>
    <t>Linda Southworth</t>
  </si>
  <si>
    <t>FUR-FU-10003601</t>
  </si>
  <si>
    <t>Deflect-o RollaMat Studded, Beveled Mat for Medium Pile Carpeting</t>
  </si>
  <si>
    <t>CA-2018-128328</t>
  </si>
  <si>
    <t>PO-18865</t>
  </si>
  <si>
    <t>Patrick O'Donnell</t>
  </si>
  <si>
    <t>CA-2018-102925</t>
  </si>
  <si>
    <t>CD-12280</t>
  </si>
  <si>
    <t>Christina DeMoss</t>
  </si>
  <si>
    <t>OFF-BI-10002735</t>
  </si>
  <si>
    <t>GBC Prestige Therm-A-Bind Covers</t>
  </si>
  <si>
    <t>CA-2018-156958</t>
  </si>
  <si>
    <t>PB-18805</t>
  </si>
  <si>
    <t>Patrick Bzostek</t>
  </si>
  <si>
    <t>CA-2018-117128</t>
  </si>
  <si>
    <t>BF-11080</t>
  </si>
  <si>
    <t>Bart Folk</t>
  </si>
  <si>
    <t>OFF-PA-10000007</t>
  </si>
  <si>
    <t>Telephone Message Books with Fax/Mobile Section, 4 1/4" x 6"</t>
  </si>
  <si>
    <t>CA-2018-168193</t>
  </si>
  <si>
    <t>RM-19750</t>
  </si>
  <si>
    <t>Roland Murray</t>
  </si>
  <si>
    <t>OFF-PA-10002254</t>
  </si>
  <si>
    <t>Xerox 1883</t>
  </si>
  <si>
    <t>US-2018-152492</t>
  </si>
  <si>
    <t>AH-10585</t>
  </si>
  <si>
    <t>Angele Hood</t>
  </si>
  <si>
    <t>CA-2018-136609</t>
  </si>
  <si>
    <t>TB-21355</t>
  </si>
  <si>
    <t>Todd Boyes</t>
  </si>
  <si>
    <t>Cedar Hill</t>
  </si>
  <si>
    <t>OFF-PA-10004381</t>
  </si>
  <si>
    <t>14-7/8 x 11 Blue Bar Computer Printout Paper</t>
  </si>
  <si>
    <t>US-2018-136868</t>
  </si>
  <si>
    <t>CR-12820</t>
  </si>
  <si>
    <t>Cyra Reiten</t>
  </si>
  <si>
    <t>TEC-AC-10001539</t>
  </si>
  <si>
    <t>Logitech G430 Surround Sound Gaming Headset with Dolby 7.1 Technology</t>
  </si>
  <si>
    <t>CA-2018-109099</t>
  </si>
  <si>
    <t>MM-18280</t>
  </si>
  <si>
    <t>Muhammed MacIntyre</t>
  </si>
  <si>
    <t>US-2018-109484</t>
  </si>
  <si>
    <t>RB-19705</t>
  </si>
  <si>
    <t>Roger Barcio</t>
  </si>
  <si>
    <t>OFF-BI-10004738</t>
  </si>
  <si>
    <t>Flexible Leather- Look Classic Collection Ring Binder</t>
  </si>
  <si>
    <t>CA-2018-154816</t>
  </si>
  <si>
    <t>VB-21745</t>
  </si>
  <si>
    <t>Victoria Brennan</t>
  </si>
  <si>
    <t>OFF-PA-10003845</t>
  </si>
  <si>
    <t>Xerox 1987</t>
  </si>
  <si>
    <t>CA-2018-154109</t>
  </si>
  <si>
    <t>ML-17410</t>
  </si>
  <si>
    <t>Maris LaWare</t>
  </si>
  <si>
    <t>FUR-CH-10003774</t>
  </si>
  <si>
    <t>Global Wood Trimmed Manager's Task Chair, Khaki</t>
  </si>
  <si>
    <t>CA-2018-144596</t>
  </si>
  <si>
    <t>CD-11980</t>
  </si>
  <si>
    <t>Carol Darley</t>
  </si>
  <si>
    <t>OFF-PA-10003302</t>
  </si>
  <si>
    <t>Xerox 1906</t>
  </si>
  <si>
    <t>CA-2018-150504</t>
  </si>
  <si>
    <t>HG-14845</t>
  </si>
  <si>
    <t>Harry Greene</t>
  </si>
  <si>
    <t>OFF-ST-10000615</t>
  </si>
  <si>
    <t>SimpliFile Personal File, Black Granite, 15w x 6-15/16d x 11-1/4h</t>
  </si>
  <si>
    <t>US-2018-168690</t>
  </si>
  <si>
    <t>TS-21085</t>
  </si>
  <si>
    <t>Thais Sissman</t>
  </si>
  <si>
    <t>Ormond Beach</t>
  </si>
  <si>
    <t>CA-2018-117023</t>
  </si>
  <si>
    <t>JW-15955</t>
  </si>
  <si>
    <t>Joni Wasserman</t>
  </si>
  <si>
    <t>OFF-AR-10003602</t>
  </si>
  <si>
    <t>Quartet Omega Colored Chalk, 12/Pack</t>
  </si>
  <si>
    <t>CA-2018-103877</t>
  </si>
  <si>
    <t>RD-19660</t>
  </si>
  <si>
    <t>Robert Dilbeck</t>
  </si>
  <si>
    <t>Independence</t>
  </si>
  <si>
    <t>US-2018-136721</t>
  </si>
  <si>
    <t>NH-18610</t>
  </si>
  <si>
    <t>Nicole Hansen</t>
  </si>
  <si>
    <t>Oak Park</t>
  </si>
  <si>
    <t>FUR-FU-10004665</t>
  </si>
  <si>
    <t>3M Polarizing Task Lamp with Clamp Arm, Light Gray</t>
  </si>
  <si>
    <t>US-2018-109316</t>
  </si>
  <si>
    <t>MG-17680</t>
  </si>
  <si>
    <t>Maureen Gastineau</t>
  </si>
  <si>
    <t>FUR-BO-10004834</t>
  </si>
  <si>
    <t>Riverside Palais Royal Lawyers Bookcase, Royale Cherry Finish</t>
  </si>
  <si>
    <t>CA-2018-134306</t>
  </si>
  <si>
    <t>TD-20995</t>
  </si>
  <si>
    <t>Tamara Dahlen</t>
  </si>
  <si>
    <t>OFF-AR-10004027</t>
  </si>
  <si>
    <t>Binney &amp; Smith inkTank Erasable Desk Highlighter, Chisel Tip, Yellow, 12/Box</t>
  </si>
  <si>
    <t>CA-2018-108560</t>
  </si>
  <si>
    <t>JC-15385</t>
  </si>
  <si>
    <t>Jenna Caffey</t>
  </si>
  <si>
    <t>FUR-FU-10002937</t>
  </si>
  <si>
    <t>GE 48" Fluorescent Tube, Cool White Energy Saver, 34 Watts, 30/Box</t>
  </si>
  <si>
    <t>CA-2018-140480</t>
  </si>
  <si>
    <t>HE-14800</t>
  </si>
  <si>
    <t>Harold Engle</t>
  </si>
  <si>
    <t>FUR-FU-10003247</t>
  </si>
  <si>
    <t>36X48 HARDFLOOR CHAIRMAT</t>
  </si>
  <si>
    <t>CA-2018-118773</t>
  </si>
  <si>
    <t>TP-21415</t>
  </si>
  <si>
    <t>Tom Prescott</t>
  </si>
  <si>
    <t>CA-2018-135279</t>
  </si>
  <si>
    <t>BS-11800</t>
  </si>
  <si>
    <t>Bryan Spruell</t>
  </si>
  <si>
    <t>OFF-LA-10004055</t>
  </si>
  <si>
    <t>Color-Coded Legal Exhibit Labels</t>
  </si>
  <si>
    <t>CA-2018-145128</t>
  </si>
  <si>
    <t>SM-20320</t>
  </si>
  <si>
    <t>Sean Miller</t>
  </si>
  <si>
    <t>FUR-FU-10000293</t>
  </si>
  <si>
    <t>Eldon Antistatic Chair Mats for Low to Medium Pile Carpets</t>
  </si>
  <si>
    <t>CA-2018-139444</t>
  </si>
  <si>
    <t>GK-14620</t>
  </si>
  <si>
    <t>Grace Kelly</t>
  </si>
  <si>
    <t>Plano</t>
  </si>
  <si>
    <t>CA-2018-144638</t>
  </si>
  <si>
    <t>MH-18115</t>
  </si>
  <si>
    <t>Mick Hernandez</t>
  </si>
  <si>
    <t>Chester</t>
  </si>
  <si>
    <t>OFF-AR-10003958</t>
  </si>
  <si>
    <t>Newell 337</t>
  </si>
  <si>
    <t>CA-2018-155824</t>
  </si>
  <si>
    <t>KS-16300</t>
  </si>
  <si>
    <t>Karen Seio</t>
  </si>
  <si>
    <t>OFF-AP-10000390</t>
  </si>
  <si>
    <t>Euro Pro Shark Stick Mini Vacuum</t>
  </si>
  <si>
    <t>CA-2018-140494</t>
  </si>
  <si>
    <t>CM-11815</t>
  </si>
  <si>
    <t>Candace McMahon</t>
  </si>
  <si>
    <t>TEC-AC-10004568</t>
  </si>
  <si>
    <t>MaxellÂ LTO Ultrium - 800 GB</t>
  </si>
  <si>
    <t>CA-2018-115070</t>
  </si>
  <si>
    <t>MG-18205</t>
  </si>
  <si>
    <t>Mitch Gastineau</t>
  </si>
  <si>
    <t>FUR-FU-10003829</t>
  </si>
  <si>
    <t>Stackable Trays</t>
  </si>
  <si>
    <t>CA-2018-150623</t>
  </si>
  <si>
    <t>DB-13360</t>
  </si>
  <si>
    <t>Dennis Bolton</t>
  </si>
  <si>
    <t>Waterbury</t>
  </si>
  <si>
    <t>CA-2018-137001</t>
  </si>
  <si>
    <t>GZ-14545</t>
  </si>
  <si>
    <t>George Zrebassa</t>
  </si>
  <si>
    <t>OFF-AR-10001231</t>
  </si>
  <si>
    <t>Sanford EarthWrite Recycled Pencils, Medium Soft, #2</t>
  </si>
  <si>
    <t>CA-2018-110905</t>
  </si>
  <si>
    <t>RW-19690</t>
  </si>
  <si>
    <t>Robert Waldorf</t>
  </si>
  <si>
    <t>OFF-BI-10003669</t>
  </si>
  <si>
    <t>3M Organizer Strips</t>
  </si>
  <si>
    <t>US-2018-155425</t>
  </si>
  <si>
    <t>AB-10600</t>
  </si>
  <si>
    <t>Ann Blume</t>
  </si>
  <si>
    <t>CA-2018-162096</t>
  </si>
  <si>
    <t>TB-21190</t>
  </si>
  <si>
    <t>Thomas Brumley</t>
  </si>
  <si>
    <t>OFF-AR-10002221</t>
  </si>
  <si>
    <t>12 Colored Short Pencils</t>
  </si>
  <si>
    <t>CA-2018-138156</t>
  </si>
  <si>
    <t>MM-17260</t>
  </si>
  <si>
    <t>Magdelene Morse</t>
  </si>
  <si>
    <t>US-2018-141558</t>
  </si>
  <si>
    <t>MH-17290</t>
  </si>
  <si>
    <t>Marc Harrigan</t>
  </si>
  <si>
    <t>CA-2018-162565</t>
  </si>
  <si>
    <t>RR-19315</t>
  </si>
  <si>
    <t>Ralph Ritter</t>
  </si>
  <si>
    <t>CA-2018-119424</t>
  </si>
  <si>
    <t>SB-20185</t>
  </si>
  <si>
    <t>Sarah Brown</t>
  </si>
  <si>
    <t>TEC-PH-10002564</t>
  </si>
  <si>
    <t>OtterBox Defender Series Case - Samsung Galaxy S4</t>
  </si>
  <si>
    <t>CA-2018-106537</t>
  </si>
  <si>
    <t>RH-19495</t>
  </si>
  <si>
    <t>Rick Hansen</t>
  </si>
  <si>
    <t>Orlando</t>
  </si>
  <si>
    <t>OFF-PA-10000223</t>
  </si>
  <si>
    <t>Xerox 2000</t>
  </si>
  <si>
    <t>CA-2018-103611</t>
  </si>
  <si>
    <t>JM-15535</t>
  </si>
  <si>
    <t>Jessica Myrick</t>
  </si>
  <si>
    <t>CA-2018-126536</t>
  </si>
  <si>
    <t>NK-18490</t>
  </si>
  <si>
    <t>Neil Knudson</t>
  </si>
  <si>
    <t>TEC-AC-10003709</t>
  </si>
  <si>
    <t>Maxell 4.7GB DVD-R 5/Pack</t>
  </si>
  <si>
    <t>US-2018-116659</t>
  </si>
  <si>
    <t>NG-18355</t>
  </si>
  <si>
    <t>Nat Gilpin</t>
  </si>
  <si>
    <t>TEC-PH-10002824</t>
  </si>
  <si>
    <t>Jabra SPEAK 410 Multidevice Speakerphone</t>
  </si>
  <si>
    <t>CA-2018-154088</t>
  </si>
  <si>
    <t>LB-16735</t>
  </si>
  <si>
    <t>Larry Blacks</t>
  </si>
  <si>
    <t>OFF-PA-10003651</t>
  </si>
  <si>
    <t>Xerox 1968</t>
  </si>
  <si>
    <t>CA-2016-100216</t>
  </si>
  <si>
    <t>HJ-14875</t>
  </si>
  <si>
    <t>Heather Jas</t>
  </si>
  <si>
    <t>CA-2015-167164</t>
  </si>
  <si>
    <t>AG-10270</t>
  </si>
  <si>
    <t>Alejandro Grove</t>
  </si>
  <si>
    <t>West Jordan</t>
  </si>
  <si>
    <t>CA-2015-113768</t>
  </si>
  <si>
    <t>AH-10030</t>
  </si>
  <si>
    <t>Aaron Hawkins</t>
  </si>
  <si>
    <t>FUR-CH-10002439</t>
  </si>
  <si>
    <t>Iceberg Nesting Folding Chair, 19w x 6d x 43h</t>
  </si>
  <si>
    <t>CA-2017-149461</t>
  </si>
  <si>
    <t>AS-10135</t>
  </si>
  <si>
    <t>Adrian Shami</t>
  </si>
  <si>
    <t>US-2017-154361</t>
  </si>
  <si>
    <t>HZ-14950</t>
  </si>
  <si>
    <t>Henia Zydlo</t>
  </si>
  <si>
    <t>CA-2018-159604</t>
  </si>
  <si>
    <t>CL-12700</t>
  </si>
  <si>
    <t>Craig Leslie</t>
  </si>
  <si>
    <t>OFF-BI-10003460</t>
  </si>
  <si>
    <t>Acco 3-Hole Punch</t>
  </si>
  <si>
    <t>CA-2017-155747</t>
  </si>
  <si>
    <t>JS-15685</t>
  </si>
  <si>
    <t>Jim Sink</t>
  </si>
  <si>
    <t>CA-2015-124464</t>
  </si>
  <si>
    <t>SS-20515</t>
  </si>
  <si>
    <t>Shirley Schmidt</t>
  </si>
  <si>
    <t>OFF-AP-10000576</t>
  </si>
  <si>
    <t>Belkin 7 Outlet SurgeMaster II</t>
  </si>
  <si>
    <t>CA-2017-117282</t>
  </si>
  <si>
    <t>DR-12880</t>
  </si>
  <si>
    <t>Dan Reichenbach</t>
  </si>
  <si>
    <t>OFF-BI-10004094</t>
  </si>
  <si>
    <t>GBC Standard Plastic Binding Systems Combs</t>
  </si>
  <si>
    <t>CA-2017-157588</t>
  </si>
  <si>
    <t>AR-10570</t>
  </si>
  <si>
    <t>Anemone Ratner</t>
  </si>
  <si>
    <t>OFF-BI-10003963</t>
  </si>
  <si>
    <t>Cardinal Holdit Data Disk Pockets</t>
  </si>
  <si>
    <t>CA-2015-113362</t>
  </si>
  <si>
    <t>AJ-10960</t>
  </si>
  <si>
    <t>Astrea Jones</t>
  </si>
  <si>
    <t>OFF-ST-10001809</t>
  </si>
  <si>
    <t>Fellowes Officeware Wire Shelving</t>
  </si>
  <si>
    <t>CA-2018-150707</t>
  </si>
  <si>
    <t>EL-13735</t>
  </si>
  <si>
    <t>Ed Ludwig</t>
  </si>
  <si>
    <t>CA-2016-123232</t>
  </si>
  <si>
    <t>DJ-13630</t>
  </si>
  <si>
    <t>Doug Jacobs</t>
  </si>
  <si>
    <t>TEC-PH-10001051</t>
  </si>
  <si>
    <t>HTC One</t>
  </si>
  <si>
    <t>CA-2015-103366</t>
  </si>
  <si>
    <t>EH-13990</t>
  </si>
  <si>
    <t>Erica Hackney</t>
  </si>
  <si>
    <t>CA-2018-118857</t>
  </si>
  <si>
    <t>AH-10075</t>
  </si>
  <si>
    <t>Adam Hart</t>
  </si>
  <si>
    <t>FUR-FU-10004460</t>
  </si>
  <si>
    <t>Howard Miller 12" Round Wall Clock</t>
  </si>
  <si>
    <t>CA-2017-152765</t>
  </si>
  <si>
    <t>LS-17245</t>
  </si>
  <si>
    <t>Lynn Smith</t>
  </si>
  <si>
    <t>OFF-PA-10000483</t>
  </si>
  <si>
    <t>Xerox 19</t>
  </si>
  <si>
    <t>US-2017-168095</t>
  </si>
  <si>
    <t>MC-17425</t>
  </si>
  <si>
    <t>Mark Cousins</t>
  </si>
  <si>
    <t>FUR-CH-10004886</t>
  </si>
  <si>
    <t>Bevis Steel Folding Chairs</t>
  </si>
  <si>
    <t>CA-2017-116911</t>
  </si>
  <si>
    <t>JD-16150</t>
  </si>
  <si>
    <t>Justin Deggeller</t>
  </si>
  <si>
    <t>Twin Falls</t>
  </si>
  <si>
    <t>OFF-BI-10001249</t>
  </si>
  <si>
    <t>Avery Heavy-Duty EZD View Binder with Locking Rings</t>
  </si>
  <si>
    <t>CA-2018-124205</t>
  </si>
  <si>
    <t>TC-21145</t>
  </si>
  <si>
    <t>Theresa Coyne</t>
  </si>
  <si>
    <t>US-2015-122021</t>
  </si>
  <si>
    <t>AC-10660</t>
  </si>
  <si>
    <t>Anna Chung</t>
  </si>
  <si>
    <t>FUR-CH-10003761</t>
  </si>
  <si>
    <t>Global Italian Leather Office Chair</t>
  </si>
  <si>
    <t>US-2017-116442</t>
  </si>
  <si>
    <t>BP-11230</t>
  </si>
  <si>
    <t>Benjamin Patterson</t>
  </si>
  <si>
    <t>FUR-FU-10002364</t>
  </si>
  <si>
    <t>Eldon Expressions Wood Desk Accessories, Oak</t>
  </si>
  <si>
    <t>CA-2016-112116</t>
  </si>
  <si>
    <t>JE-15475</t>
  </si>
  <si>
    <t>Jeremy Ellison</t>
  </si>
  <si>
    <t>CA-2017-122133</t>
  </si>
  <si>
    <t>JR-15670</t>
  </si>
  <si>
    <t>Jim Radford</t>
  </si>
  <si>
    <t>OFF-ST-10002574</t>
  </si>
  <si>
    <t>SAFCO Commercial Wire Shelving, Black</t>
  </si>
  <si>
    <t>CA-2017-148096</t>
  </si>
  <si>
    <t>AO-10810</t>
  </si>
  <si>
    <t>Anthony O'Donnell</t>
  </si>
  <si>
    <t>FUR-TA-10004152</t>
  </si>
  <si>
    <t>Barricks 18" x 48" Non-Folding Utility Table with Bottom Storage Shelf</t>
  </si>
  <si>
    <t>CA-2017-124527</t>
  </si>
  <si>
    <t>IM-15055</t>
  </si>
  <si>
    <t>Ionia McGrath</t>
  </si>
  <si>
    <t>OFF-BI-10004967</t>
  </si>
  <si>
    <t>Round Ring Binders</t>
  </si>
  <si>
    <t>CA-2018-136308</t>
  </si>
  <si>
    <t>MW-18235</t>
  </si>
  <si>
    <t>Mitch Willingham</t>
  </si>
  <si>
    <t>CA-2018-108091</t>
  </si>
  <si>
    <t>EK-13795</t>
  </si>
  <si>
    <t>Eileen Kiefer</t>
  </si>
  <si>
    <t>OFF-AR-10000255</t>
  </si>
  <si>
    <t>Newell 328</t>
  </si>
  <si>
    <t>CA-2015-124247</t>
  </si>
  <si>
    <t>SH-20635</t>
  </si>
  <si>
    <t>Stefanie Holloman</t>
  </si>
  <si>
    <t>CA-2016-162544</t>
  </si>
  <si>
    <t>SG-20080</t>
  </si>
  <si>
    <t>Sandra Glassco</t>
  </si>
  <si>
    <t>OFF-PA-10004948</t>
  </si>
  <si>
    <t>Xerox 190</t>
  </si>
  <si>
    <t>CA-2016-110632</t>
  </si>
  <si>
    <t>HR-14830</t>
  </si>
  <si>
    <t>Harold Ryan</t>
  </si>
  <si>
    <t>TEC-AC-10000387</t>
  </si>
  <si>
    <t>KeyTronicÂ KT800P2 -Â KeyboardÂ - Black</t>
  </si>
  <si>
    <t>CA-2018-131618</t>
  </si>
  <si>
    <t>LS-17200</t>
  </si>
  <si>
    <t>Luke Schmidt</t>
  </si>
  <si>
    <t>Skokie</t>
  </si>
  <si>
    <t>CA-2015-159835</t>
  </si>
  <si>
    <t>RB-19330</t>
  </si>
  <si>
    <t>Randy Bradley</t>
  </si>
  <si>
    <t>CA-2016-163090</t>
  </si>
  <si>
    <t>GH-14665</t>
  </si>
  <si>
    <t>Greg Hansen</t>
  </si>
  <si>
    <t>OFF-SU-10002537</t>
  </si>
  <si>
    <t>Acme Box Cutter Scissors</t>
  </si>
  <si>
    <t>CA-2016-126725</t>
  </si>
  <si>
    <t>BS-11665</t>
  </si>
  <si>
    <t>Brian Stugart</t>
  </si>
  <si>
    <t>TEC-PH-10003174</t>
  </si>
  <si>
    <t>RCA ViSYS 25825 Wireless digital phone</t>
  </si>
  <si>
    <t>CA-2017-155383</t>
  </si>
  <si>
    <t>SC-20680</t>
  </si>
  <si>
    <t>Steve Carroll</t>
  </si>
  <si>
    <t>US-2015-165589</t>
  </si>
  <si>
    <t>TB-21595</t>
  </si>
  <si>
    <t>Troy Blackwell</t>
  </si>
  <si>
    <t>Lubbock</t>
  </si>
  <si>
    <t>FUR-FU-10002396</t>
  </si>
  <si>
    <t>DAX Copper Panel Document Frame, 5 x 7 Size</t>
  </si>
  <si>
    <t>CA-2018-122007</t>
  </si>
  <si>
    <t>JK-15325</t>
  </si>
  <si>
    <t>Jason Klamczynski</t>
  </si>
  <si>
    <t>OFF-AP-10000358</t>
  </si>
  <si>
    <t>Fellowes Basic Home/Office Series Surge Protectors</t>
  </si>
  <si>
    <t>CA-2016-156734</t>
  </si>
  <si>
    <t>BV-11245</t>
  </si>
  <si>
    <t>Benjamin Venier</t>
  </si>
  <si>
    <t>Smyrna</t>
  </si>
  <si>
    <t>OFF-BI-10002982</t>
  </si>
  <si>
    <t>Avery Self-Adhesive Photo Pockets for Polaroid Photos</t>
  </si>
  <si>
    <t>CA-2016-153038</t>
  </si>
  <si>
    <t>RB-19645</t>
  </si>
  <si>
    <t>Robert Barroso</t>
  </si>
  <si>
    <t>OFF-EN-10000461</t>
  </si>
  <si>
    <t>#10- 4 1/8" x 9 1/2" Recycled Envelopes</t>
  </si>
  <si>
    <t>CA-2018-131492</t>
  </si>
  <si>
    <t>HH-15010</t>
  </si>
  <si>
    <t>Hilary Holden</t>
  </si>
  <si>
    <t>OFF-EN-10002973</t>
  </si>
  <si>
    <t>Ampad #10 Peel &amp; Seel Holiday Envelopes</t>
  </si>
  <si>
    <t>US-2015-123183</t>
  </si>
  <si>
    <t>GR-14560</t>
  </si>
  <si>
    <t>Georgia Rosenberg</t>
  </si>
  <si>
    <t>US-2018-108014</t>
  </si>
  <si>
    <t>JH-15430</t>
  </si>
  <si>
    <t>Jennifer Halladay</t>
  </si>
  <si>
    <t>OFF-BI-10003984</t>
  </si>
  <si>
    <t>Lock-Up Easel 'Spel-Binder'</t>
  </si>
  <si>
    <t>CA-2018-111556</t>
  </si>
  <si>
    <t>CD-11920</t>
  </si>
  <si>
    <t>Carlos Daly</t>
  </si>
  <si>
    <t>CA-2016-141754</t>
  </si>
  <si>
    <t>EM-14200</t>
  </si>
  <si>
    <t>Evan Minnotte</t>
  </si>
  <si>
    <t>OFF-LA-10004093</t>
  </si>
  <si>
    <t>Avery 486</t>
  </si>
  <si>
    <t>CA-2015-104780</t>
  </si>
  <si>
    <t>BT-11530</t>
  </si>
  <si>
    <t>Bradley Talbott</t>
  </si>
  <si>
    <t>CA-2016-169278</t>
  </si>
  <si>
    <t>ME-18010</t>
  </si>
  <si>
    <t>Michelle Ellison</t>
  </si>
  <si>
    <t>OFF-BI-10001636</t>
  </si>
  <si>
    <t>Ibico Plastic and Wire Spiral Binding Combs</t>
  </si>
  <si>
    <t>CA-2018-132262</t>
  </si>
  <si>
    <t>ML-18265</t>
  </si>
  <si>
    <t>Muhammed Lee</t>
  </si>
  <si>
    <t>TEC-AC-10000158</t>
  </si>
  <si>
    <t>Sony 64GB Class 10 Micro SDHC R40 Memory Card</t>
  </si>
  <si>
    <t>CA-2018-113558</t>
  </si>
  <si>
    <t>PH-18790</t>
  </si>
  <si>
    <t>Patricia Hirasaki</t>
  </si>
  <si>
    <t>FUR-CH-10003379</t>
  </si>
  <si>
    <t>Global Commerce Series High-Back Swivel/Tilt Chairs</t>
  </si>
  <si>
    <t>US-2017-135923</t>
  </si>
  <si>
    <t>CM-11935</t>
  </si>
  <si>
    <t>Carlos Meador</t>
  </si>
  <si>
    <t>FUR-FU-10002107</t>
  </si>
  <si>
    <t>Eldon Pizzaz Desk Accessories</t>
  </si>
  <si>
    <t>CA-2018-131037</t>
  </si>
  <si>
    <t>TM-21490</t>
  </si>
  <si>
    <t>Tony Molinari</t>
  </si>
  <si>
    <t>CA-2015-151967</t>
  </si>
  <si>
    <t>NB-18580</t>
  </si>
  <si>
    <t>Nicole Brennan</t>
  </si>
  <si>
    <t>Bossier City</t>
  </si>
  <si>
    <t>FUR-FU-10000193</t>
  </si>
  <si>
    <t>Tenex Chairmats For Use with Hard Floors</t>
  </si>
  <si>
    <t>CA-2018-119193</t>
  </si>
  <si>
    <t>SK-19990</t>
  </si>
  <si>
    <t>Sally Knutson</t>
  </si>
  <si>
    <t>OFF-BI-10000848</t>
  </si>
  <si>
    <t>Angle-D Ring Binders</t>
  </si>
  <si>
    <t>CA-2018-117079</t>
  </si>
  <si>
    <t>JR-15700</t>
  </si>
  <si>
    <t>Jocasta Rupert</t>
  </si>
  <si>
    <t>CA-2017-152331</t>
  </si>
  <si>
    <t>LD-16855</t>
  </si>
  <si>
    <t>Lela Donovan</t>
  </si>
  <si>
    <t>OFF-AR-10001547</t>
  </si>
  <si>
    <t>Newell 311</t>
  </si>
  <si>
    <t>CA-2018-124716</t>
  </si>
  <si>
    <t>BD-11560</t>
  </si>
  <si>
    <t>Brendan Dodson</t>
  </si>
  <si>
    <t>OFF-PA-10000740</t>
  </si>
  <si>
    <t>Xerox 1982</t>
  </si>
  <si>
    <t>CA-2015-165477</t>
  </si>
  <si>
    <t>RE-19405</t>
  </si>
  <si>
    <t>Ricardo Emerson</t>
  </si>
  <si>
    <t>OFF-AP-10003281</t>
  </si>
  <si>
    <t>Acco 6 Outlet Guardian Standard Surge Suppressor</t>
  </si>
  <si>
    <t>CA-2017-163951</t>
  </si>
  <si>
    <t>CJ-11875</t>
  </si>
  <si>
    <t>Carl Jackson</t>
  </si>
  <si>
    <t>OFF-AR-10004269</t>
  </si>
  <si>
    <t>Newell 31</t>
  </si>
  <si>
    <t>Ship Duration</t>
  </si>
  <si>
    <t xml:space="preserve"> </t>
  </si>
  <si>
    <t>Year</t>
  </si>
  <si>
    <t>Month</t>
  </si>
  <si>
    <t>Month Number</t>
  </si>
  <si>
    <t>Sum of Sales</t>
  </si>
  <si>
    <t>Feb</t>
  </si>
  <si>
    <t>Aug</t>
  </si>
  <si>
    <t>Sep</t>
  </si>
  <si>
    <t>Nov</t>
  </si>
  <si>
    <t>Dec</t>
  </si>
  <si>
    <t>Mar</t>
  </si>
  <si>
    <t>Apr</t>
  </si>
  <si>
    <t>Average of Sales</t>
  </si>
  <si>
    <t>Row Labels</t>
  </si>
  <si>
    <t>Grand Total</t>
  </si>
  <si>
    <t>Max of Sales</t>
  </si>
  <si>
    <t>Average  Order Value</t>
  </si>
  <si>
    <t>Total Order</t>
  </si>
  <si>
    <t>Delivery Status</t>
  </si>
  <si>
    <t>Min.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</si>
</sst>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409]* #,##0.00_);_([$$-409]* \(#,##0.00\);_([$$-409]* &quot;-&quot;??_);_(@_)"/>
    <numFmt numFmtId="165" formatCode="&quot;$&quot;#,##0.00"/>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2"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4" fontId="0" fillId="0" borderId="0" xfId="0" applyNumberFormat="1"/>
    <xf numFmtId="0" fontId="0" fillId="33" borderId="0" xfId="0" applyFill="1"/>
    <xf numFmtId="0" fontId="0" fillId="0" borderId="0" xfId="0" applyAlignment="1">
      <alignment horizontal="left" indent="1"/>
    </xf>
    <xf numFmtId="0" fontId="0" fillId="0" borderId="0" xfId="0" applyAlignment="1">
      <alignment horizontal="center"/>
    </xf>
    <xf numFmtId="14" fontId="0" fillId="0" borderId="0" xfId="0" applyNumberFormat="1" applyAlignment="1">
      <alignment horizontal="center"/>
    </xf>
    <xf numFmtId="164" fontId="0" fillId="0" borderId="0" xfId="1" applyNumberFormat="1" applyFont="1" applyAlignment="1">
      <alignment horizontal="center"/>
    </xf>
    <xf numFmtId="164" fontId="0" fillId="0" borderId="0" xfId="0" applyNumberFormat="1" applyAlignment="1">
      <alignment horizontal="center"/>
    </xf>
    <xf numFmtId="0" fontId="16" fillId="34" borderId="10" xfId="0" applyFont="1" applyFill="1" applyBorder="1"/>
    <xf numFmtId="0" fontId="16" fillId="34" borderId="11" xfId="0" applyFont="1" applyFill="1" applyBorder="1" applyAlignment="1">
      <alignment horizontal="left"/>
    </xf>
    <xf numFmtId="4" fontId="16" fillId="34" borderId="10" xfId="0" applyNumberFormat="1" applyFont="1" applyFill="1" applyBorder="1"/>
    <xf numFmtId="165" fontId="0" fillId="0" borderId="0" xfId="1" applyNumberFormat="1" applyFont="1"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2">
    <dxf>
      <numFmt numFmtId="164" formatCode="_([$$-409]* #,##0.00_);_([$$-409]* \(#,##0.00\);_([$$-409]* &quot;-&quot;??_);_(@_)"/>
    </dxf>
    <dxf>
      <numFmt numFmtId="165" formatCode="&quot;$&quot;#,##0.00"/>
    </dxf>
    <dxf>
      <numFmt numFmtId="4" formatCode="#,##0.00"/>
    </dxf>
    <dxf>
      <numFmt numFmtId="165" formatCode="&quot;$&quot;#,##0.00"/>
    </dxf>
    <dxf>
      <numFmt numFmtId="4" formatCode="#,##0.00"/>
    </dxf>
    <dxf>
      <numFmt numFmtId="165" formatCode="&quot;$&quot;#,##0.00"/>
    </dxf>
    <dxf>
      <numFmt numFmtId="165" formatCode="&quot;$&quot;#,##0.00"/>
    </dxf>
    <dxf>
      <numFmt numFmtId="164" formatCode="_([$$-409]* #,##0.00_);_([$$-409]* \(#,##0.00\);_([$$-409]* &quot;-&quot;??_);_(@_)"/>
    </dxf>
    <dxf>
      <numFmt numFmtId="4" formatCode="#,##0.00"/>
    </dxf>
    <dxf>
      <numFmt numFmtId="4" formatCode="#,##0.00"/>
    </dxf>
    <dxf>
      <numFmt numFmtId="4" formatCode="#,##0.00"/>
    </dxf>
    <dxf>
      <numFmt numFmtId="165" formatCode="&quot;$&quot;#,##0.00"/>
    </dxf>
    <dxf>
      <numFmt numFmtId="164" formatCode="_([$$-409]* #,##0.00_);_([$$-409]* \(#,##0.00\);_([$$-409]* &quot;-&quot;??_);_(@_)"/>
    </dxf>
    <dxf>
      <numFmt numFmtId="4" formatCode="#,##0.00"/>
    </dxf>
    <dxf>
      <numFmt numFmtId="164" formatCode="_([$$-409]* #,##0.00_);_([$$-409]* \(#,##0.00\);_([$$-409]* &quot;-&quot;??_);_(@_)"/>
    </dxf>
    <dxf>
      <numFmt numFmtId="4" formatCode="#,##0.00"/>
    </dxf>
    <dxf>
      <numFmt numFmtId="164" formatCode="_([$$-409]* #,##0.00_);_([$$-409]* \(#,##0.00\);_([$$-409]* &quot;-&quot;??_);_(@_)"/>
    </dxf>
    <dxf>
      <numFmt numFmtId="165" formatCode="&quot;$&quot;#,##0.00"/>
    </dxf>
    <dxf>
      <numFmt numFmtId="4" formatCode="#,##0.00"/>
    </dxf>
    <dxf>
      <numFmt numFmtId="165" formatCode="&quot;$&quot;#,##0.00"/>
    </dxf>
    <dxf>
      <numFmt numFmtId="4" formatCode="#,##0.00"/>
    </dxf>
    <dxf>
      <numFmt numFmtId="165" formatCode="&quot;$&quot;#,##0.00"/>
    </dxf>
    <dxf>
      <numFmt numFmtId="4" formatCode="#,##0.00"/>
    </dxf>
    <dxf>
      <numFmt numFmtId="165" formatCode="&quot;$&quot;#,##0.00"/>
    </dxf>
    <dxf>
      <numFmt numFmtId="164" formatCode="_([$$-409]* #,##0.00_);_([$$-409]* \(#,##0.00\);_([$$-409]* &quot;-&quot;??_);_(@_)"/>
    </dxf>
    <dxf>
      <numFmt numFmtId="165" formatCode="&quot;$&quot;#,##0.00"/>
    </dxf>
    <dxf>
      <numFmt numFmtId="165" formatCode="&quot;$&quot;#,##0.00"/>
    </dxf>
    <dxf>
      <numFmt numFmtId="164" formatCode="_([$$-409]* #,##0.00_);_([$$-409]* \(#,##0.00\);_([$$-409]* &quot;-&quot;??_);_(@_)"/>
    </dxf>
    <dxf>
      <numFmt numFmtId="165" formatCode="&quot;$&quot;#,##0.00"/>
    </dxf>
    <dxf>
      <numFmt numFmtId="4" formatCode="#,##0.00"/>
    </dxf>
    <dxf>
      <numFmt numFmtId="4" formatCode="#,##0.00"/>
    </dxf>
    <dxf>
      <numFmt numFmtId="4" formatCode="#,##0.00"/>
    </dxf>
    <dxf>
      <numFmt numFmtId="164" formatCode="_([$$-409]* #,##0.00_);_([$$-409]* \(#,##0.00\);_([$$-409]* &quot;-&quot;??_);_(@_)"/>
    </dxf>
    <dxf>
      <numFmt numFmtId="165" formatCode="&quot;$&quot;#,##0.00"/>
    </dxf>
    <dxf>
      <numFmt numFmtId="164" formatCode="_([$$-409]* #,##0.00_);_([$$-409]* \(#,##0.00\);_([$$-409]* &quot;-&quot;??_);_(@_)"/>
    </dxf>
    <dxf>
      <numFmt numFmtId="4" formatCode="#,##0.00"/>
    </dxf>
    <dxf>
      <numFmt numFmtId="164" formatCode="_([$$-409]* #,##0.00_);_([$$-409]* \(#,##0.00\);_([$$-409]* &quot;-&quot;??_);_(@_)"/>
    </dxf>
    <dxf>
      <numFmt numFmtId="165" formatCode="&quot;$&quot;#,##0.00"/>
    </dxf>
    <dxf>
      <numFmt numFmtId="4" formatCode="#,##0.00"/>
    </dxf>
    <dxf>
      <numFmt numFmtId="165" formatCode="&quot;$&quot;#,##0.00"/>
    </dxf>
    <dxf>
      <numFmt numFmtId="4" formatCode="#,##0.00"/>
    </dxf>
    <dxf>
      <numFmt numFmtId="4" formatCode="#,##0.00"/>
    </dxf>
    <dxf>
      <numFmt numFmtId="164" formatCode="_([$$-409]* #,##0.00_);_([$$-409]* \(#,##0.00\);_([$$-409]* &quot;-&quot;??_);_(@_)"/>
    </dxf>
    <dxf>
      <numFmt numFmtId="165" formatCode="&quot;$&quot;#,##0.00"/>
    </dxf>
    <dxf>
      <numFmt numFmtId="4" formatCode="#,##0.00"/>
    </dxf>
    <dxf>
      <numFmt numFmtId="165" formatCode="&quot;$&quot;#,##0.00"/>
    </dxf>
    <dxf>
      <numFmt numFmtId="4" formatCode="#,##0.00"/>
    </dxf>
    <dxf>
      <numFmt numFmtId="165" formatCode="&quot;$&quot;#,##0.00"/>
    </dxf>
    <dxf>
      <numFmt numFmtId="165" formatCode="&quot;$&quot;#,##0.00"/>
    </dxf>
    <dxf>
      <numFmt numFmtId="4" formatCode="#,##0.00"/>
    </dxf>
    <dxf>
      <numFmt numFmtId="165" formatCode="&quot;$&quot;#,##0.00"/>
    </dxf>
    <dxf>
      <numFmt numFmtId="164"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sales11.xlsx]Sheet2!PivotTable6</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layout>
        <c:manualLayout>
          <c:xMode val="edge"/>
          <c:yMode val="edge"/>
          <c:x val="0.27780475001600408"/>
          <c:y val="3.25157197076984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0.1714285714285714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0.1931972789115646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0.22857142857142856"/>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Sheet2!$K$3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0"/>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0-D298-4878-866C-4A73EDE7AB72}"/>
              </c:ext>
            </c:extLst>
          </c:dPt>
          <c:dLbls>
            <c:dLbl>
              <c:idx val="0"/>
              <c:layout>
                <c:manualLayout>
                  <c:x val="-0.1714285714285714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298-4878-866C-4A73EDE7AB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Sheet2!$J$4:$J$5</c:f>
              <c:strCache>
                <c:ptCount val="1"/>
                <c:pt idx="0">
                  <c:v>Technology</c:v>
                </c:pt>
              </c:strCache>
            </c:strRef>
          </c:cat>
          <c:val>
            <c:numRef>
              <c:f>Sheet2!$K$4:$K$5</c:f>
              <c:numCache>
                <c:formatCode>"$"#,##0.00</c:formatCode>
                <c:ptCount val="1"/>
                <c:pt idx="0">
                  <c:v>2787.248</c:v>
                </c:pt>
              </c:numCache>
            </c:numRef>
          </c:val>
          <c:extLst>
            <c:ext xmlns:c16="http://schemas.microsoft.com/office/drawing/2014/chart" uri="{C3380CC4-5D6E-409C-BE32-E72D297353CC}">
              <c16:uniqueId val="{00000003-D298-4878-866C-4A73EDE7AB72}"/>
            </c:ext>
          </c:extLst>
        </c:ser>
        <c:dLbls>
          <c:showLegendKey val="0"/>
          <c:showVal val="1"/>
          <c:showCatName val="0"/>
          <c:showSerName val="0"/>
          <c:showPercent val="0"/>
          <c:showBubbleSize val="0"/>
        </c:dLbls>
        <c:gapWidth val="65"/>
        <c:shape val="box"/>
        <c:axId val="365996672"/>
        <c:axId val="372446720"/>
        <c:axId val="0"/>
      </c:bar3DChart>
      <c:catAx>
        <c:axId val="365996672"/>
        <c:scaling>
          <c:orientation val="minMax"/>
        </c:scaling>
        <c:delete val="0"/>
        <c:axPos val="l"/>
        <c:numFmt formatCode="General"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2446720"/>
        <c:crosses val="autoZero"/>
        <c:auto val="1"/>
        <c:lblAlgn val="ctr"/>
        <c:lblOffset val="100"/>
        <c:noMultiLvlLbl val="0"/>
      </c:catAx>
      <c:valAx>
        <c:axId val="372446720"/>
        <c:scaling>
          <c:orientation val="minMax"/>
        </c:scaling>
        <c:delete val="0"/>
        <c:axPos val="b"/>
        <c:majorGridlines>
          <c:spPr>
            <a:ln w="9525" cap="flat" cmpd="sng" algn="ctr">
              <a:solidFill>
                <a:schemeClr val="dk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659966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sales11.xlsx]Sheet2!PivotTable7</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Sales by Category and Sub-Category </a:t>
            </a:r>
          </a:p>
        </c:rich>
      </c:tx>
      <c:layout>
        <c:manualLayout>
          <c:xMode val="edge"/>
          <c:yMode val="edge"/>
          <c:x val="0.21123383714966665"/>
          <c:y val="7.9415687793124214E-3"/>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3"/>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0178634567230818"/>
          <c:y val="0.12473796308248354"/>
          <c:w val="0.49586798201948895"/>
          <c:h val="0.85188158857192031"/>
        </c:manualLayout>
      </c:layout>
      <c:bar3DChart>
        <c:barDir val="bar"/>
        <c:grouping val="clustered"/>
        <c:varyColors val="0"/>
        <c:ser>
          <c:idx val="0"/>
          <c:order val="0"/>
          <c:tx>
            <c:strRef>
              <c:f>Sheet2!$M$3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Sheet2!$L$4:$L$8</c:f>
              <c:multiLvlStrCache>
                <c:ptCount val="3"/>
                <c:lvl>
                  <c:pt idx="0">
                    <c:v>Accessories</c:v>
                  </c:pt>
                  <c:pt idx="1">
                    <c:v>Machines</c:v>
                  </c:pt>
                  <c:pt idx="2">
                    <c:v>Phones</c:v>
                  </c:pt>
                </c:lvl>
                <c:lvl>
                  <c:pt idx="0">
                    <c:v>Technology</c:v>
                  </c:pt>
                </c:lvl>
              </c:multiLvlStrCache>
            </c:multiLvlStrRef>
          </c:cat>
          <c:val>
            <c:numRef>
              <c:f>Sheet2!$M$4:$M$8</c:f>
              <c:numCache>
                <c:formatCode>#,##0.00</c:formatCode>
                <c:ptCount val="3"/>
                <c:pt idx="0">
                  <c:v>224.346</c:v>
                </c:pt>
                <c:pt idx="1">
                  <c:v>1999.692</c:v>
                </c:pt>
                <c:pt idx="2">
                  <c:v>563.21</c:v>
                </c:pt>
              </c:numCache>
            </c:numRef>
          </c:val>
          <c:extLst>
            <c:ext xmlns:c16="http://schemas.microsoft.com/office/drawing/2014/chart" uri="{C3380CC4-5D6E-409C-BE32-E72D297353CC}">
              <c16:uniqueId val="{00000000-839C-41A5-A9CE-961ABF491261}"/>
            </c:ext>
          </c:extLst>
        </c:ser>
        <c:dLbls>
          <c:showLegendKey val="0"/>
          <c:showVal val="1"/>
          <c:showCatName val="0"/>
          <c:showSerName val="0"/>
          <c:showPercent val="0"/>
          <c:showBubbleSize val="0"/>
        </c:dLbls>
        <c:gapWidth val="84"/>
        <c:gapDepth val="53"/>
        <c:shape val="box"/>
        <c:axId val="372491392"/>
        <c:axId val="372494336"/>
        <c:axId val="0"/>
      </c:bar3DChart>
      <c:catAx>
        <c:axId val="372491392"/>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2494336"/>
        <c:crosses val="autoZero"/>
        <c:auto val="1"/>
        <c:lblAlgn val="ctr"/>
        <c:lblOffset val="100"/>
        <c:noMultiLvlLbl val="0"/>
      </c:catAx>
      <c:valAx>
        <c:axId val="372494336"/>
        <c:scaling>
          <c:orientation val="minMax"/>
        </c:scaling>
        <c:delete val="1"/>
        <c:axPos val="b"/>
        <c:numFmt formatCode="#,##0.00" sourceLinked="1"/>
        <c:majorTickMark val="out"/>
        <c:minorTickMark val="none"/>
        <c:tickLblPos val="nextTo"/>
        <c:crossAx val="372491392"/>
        <c:crosses val="autoZero"/>
        <c:crossBetween val="between"/>
      </c:valAx>
      <c:spPr>
        <a:noFill/>
        <a:ln>
          <a:noFill/>
        </a:ln>
        <a:effectLst/>
      </c:spPr>
    </c:plotArea>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sales11.xlsx]Sheet2!PivotTable8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0.14271383974185647"/>
          <c:y val="0.25105878304611445"/>
          <c:w val="0.85728616025814353"/>
          <c:h val="0.61657395181468877"/>
        </c:manualLayout>
      </c:layout>
      <c:lineChart>
        <c:grouping val="standard"/>
        <c:varyColors val="0"/>
        <c:ser>
          <c:idx val="0"/>
          <c:order val="0"/>
          <c:tx>
            <c:strRef>
              <c:f>Sheet2!$P$3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B03B-44B8-BCA7-C5069533648A}"/>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0-F7A0-4201-97E8-9C4D1BC279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Sheet2!$O$4:$O$11</c:f>
              <c:strCache>
                <c:ptCount val="7"/>
                <c:pt idx="0">
                  <c:v>Feb</c:v>
                </c:pt>
                <c:pt idx="1">
                  <c:v>Mar</c:v>
                </c:pt>
                <c:pt idx="2">
                  <c:v>Apr</c:v>
                </c:pt>
                <c:pt idx="3">
                  <c:v>Aug</c:v>
                </c:pt>
                <c:pt idx="4">
                  <c:v>Sep</c:v>
                </c:pt>
                <c:pt idx="5">
                  <c:v>Nov</c:v>
                </c:pt>
                <c:pt idx="6">
                  <c:v>Dec</c:v>
                </c:pt>
              </c:strCache>
            </c:strRef>
          </c:cat>
          <c:val>
            <c:numRef>
              <c:f>Sheet2!$P$4:$P$11</c:f>
              <c:numCache>
                <c:formatCode>"$"#,##0.00</c:formatCode>
                <c:ptCount val="7"/>
                <c:pt idx="0">
                  <c:v>69.930000000000007</c:v>
                </c:pt>
                <c:pt idx="1">
                  <c:v>95.84</c:v>
                </c:pt>
                <c:pt idx="2">
                  <c:v>12.99</c:v>
                </c:pt>
                <c:pt idx="3">
                  <c:v>1439.982</c:v>
                </c:pt>
                <c:pt idx="4">
                  <c:v>694.08600000000001</c:v>
                </c:pt>
                <c:pt idx="5">
                  <c:v>89.97</c:v>
                </c:pt>
                <c:pt idx="6">
                  <c:v>384.45</c:v>
                </c:pt>
              </c:numCache>
            </c:numRef>
          </c:val>
          <c:smooth val="0"/>
          <c:extLst>
            <c:ext xmlns:c16="http://schemas.microsoft.com/office/drawing/2014/chart" uri="{C3380CC4-5D6E-409C-BE32-E72D297353CC}">
              <c16:uniqueId val="{00000001-F7A0-4201-97E8-9C4D1BC27990}"/>
            </c:ext>
          </c:extLst>
        </c:ser>
        <c:dLbls>
          <c:dLblPos val="t"/>
          <c:showLegendKey val="0"/>
          <c:showVal val="1"/>
          <c:showCatName val="0"/>
          <c:showSerName val="0"/>
          <c:showPercent val="0"/>
          <c:showBubbleSize val="0"/>
        </c:dLbls>
        <c:marker val="1"/>
        <c:smooth val="0"/>
        <c:axId val="372378624"/>
        <c:axId val="372406144"/>
      </c:lineChart>
      <c:catAx>
        <c:axId val="372378624"/>
        <c:scaling>
          <c:orientation val="minMax"/>
        </c:scaling>
        <c:delete val="0"/>
        <c:axPos val="b"/>
        <c:numFmt formatCode="General" sourceLinked="0"/>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406144"/>
        <c:crosses val="autoZero"/>
        <c:auto val="1"/>
        <c:lblAlgn val="ctr"/>
        <c:lblOffset val="100"/>
        <c:noMultiLvlLbl val="0"/>
      </c:catAx>
      <c:valAx>
        <c:axId val="372406144"/>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3786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sales11.xlsx]Sheet2!PivotTable9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Customer</a:t>
            </a:r>
          </a:p>
        </c:rich>
      </c:tx>
      <c:layout>
        <c:manualLayout>
          <c:xMode val="edge"/>
          <c:yMode val="edge"/>
          <c:x val="0.44947870596134004"/>
          <c:y val="2.573871814410295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649396780552864"/>
          <c:y val="0.1249117185413858"/>
          <c:w val="0.51729215321214783"/>
          <c:h val="0.83869456764554551"/>
        </c:manualLayout>
      </c:layout>
      <c:bar3DChart>
        <c:barDir val="bar"/>
        <c:grouping val="clustered"/>
        <c:varyColors val="0"/>
        <c:ser>
          <c:idx val="0"/>
          <c:order val="0"/>
          <c:tx>
            <c:strRef>
              <c:f>Sheet2!$S$4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Sheet2!$R$5:$R$15</c:f>
              <c:strCache>
                <c:ptCount val="10"/>
                <c:pt idx="0">
                  <c:v>Mitch Willingham</c:v>
                </c:pt>
                <c:pt idx="1">
                  <c:v>Aaron Smayling</c:v>
                </c:pt>
                <c:pt idx="2">
                  <c:v>Kean Nguyen</c:v>
                </c:pt>
                <c:pt idx="3">
                  <c:v>Dionis Lloyd</c:v>
                </c:pt>
                <c:pt idx="4">
                  <c:v>Laurel Workman</c:v>
                </c:pt>
                <c:pt idx="5">
                  <c:v>Andy Gerbode</c:v>
                </c:pt>
                <c:pt idx="6">
                  <c:v>Eudokia Martin</c:v>
                </c:pt>
                <c:pt idx="7">
                  <c:v>Dean Katz</c:v>
                </c:pt>
                <c:pt idx="8">
                  <c:v>Justin Ellison</c:v>
                </c:pt>
                <c:pt idx="9">
                  <c:v>Nat Gilpin</c:v>
                </c:pt>
              </c:strCache>
            </c:strRef>
          </c:cat>
          <c:val>
            <c:numRef>
              <c:f>Sheet2!$S$5:$S$15</c:f>
              <c:numCache>
                <c:formatCode>"$"#,##0.00</c:formatCode>
                <c:ptCount val="10"/>
                <c:pt idx="0">
                  <c:v>1919.9760000000001</c:v>
                </c:pt>
                <c:pt idx="1">
                  <c:v>1439.982</c:v>
                </c:pt>
                <c:pt idx="2">
                  <c:v>1075.088</c:v>
                </c:pt>
                <c:pt idx="3">
                  <c:v>837.6</c:v>
                </c:pt>
                <c:pt idx="4">
                  <c:v>575.91999999999996</c:v>
                </c:pt>
                <c:pt idx="5">
                  <c:v>559.71</c:v>
                </c:pt>
                <c:pt idx="6">
                  <c:v>494.97</c:v>
                </c:pt>
                <c:pt idx="7">
                  <c:v>482.34</c:v>
                </c:pt>
                <c:pt idx="8">
                  <c:v>384.45</c:v>
                </c:pt>
                <c:pt idx="9">
                  <c:v>370.78199999999998</c:v>
                </c:pt>
              </c:numCache>
            </c:numRef>
          </c:val>
          <c:extLst>
            <c:ext xmlns:c16="http://schemas.microsoft.com/office/drawing/2014/chart" uri="{C3380CC4-5D6E-409C-BE32-E72D297353CC}">
              <c16:uniqueId val="{00000000-1DF9-46D6-99A4-DAAEE55886A4}"/>
            </c:ext>
          </c:extLst>
        </c:ser>
        <c:dLbls>
          <c:showLegendKey val="0"/>
          <c:showVal val="1"/>
          <c:showCatName val="0"/>
          <c:showSerName val="0"/>
          <c:showPercent val="0"/>
          <c:showBubbleSize val="0"/>
        </c:dLbls>
        <c:gapWidth val="65"/>
        <c:shape val="box"/>
        <c:axId val="372426240"/>
        <c:axId val="372429184"/>
        <c:axId val="0"/>
      </c:bar3DChart>
      <c:catAx>
        <c:axId val="372426240"/>
        <c:scaling>
          <c:orientation val="minMax"/>
        </c:scaling>
        <c:delete val="0"/>
        <c:axPos val="l"/>
        <c:numFmt formatCode="General"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2429184"/>
        <c:crosses val="autoZero"/>
        <c:auto val="1"/>
        <c:lblAlgn val="ctr"/>
        <c:lblOffset val="100"/>
        <c:noMultiLvlLbl val="0"/>
      </c:catAx>
      <c:valAx>
        <c:axId val="372429184"/>
        <c:scaling>
          <c:orientation val="minMax"/>
        </c:scaling>
        <c:delete val="0"/>
        <c:axPos val="b"/>
        <c:majorGridlines>
          <c:spPr>
            <a:ln w="9525" cap="flat" cmpd="sng" algn="ctr">
              <a:solidFill>
                <a:schemeClr val="dk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242624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sales11.xlsx]Sheet2!PivotTable10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State</a:t>
            </a:r>
          </a:p>
        </c:rich>
      </c:tx>
      <c:layout>
        <c:manualLayout>
          <c:xMode val="edge"/>
          <c:yMode val="edge"/>
          <c:x val="0.41468996325826468"/>
          <c:y val="2.23194380789833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386464233508286"/>
          <c:y val="0.16743078122699362"/>
          <c:w val="0.82613535766491708"/>
          <c:h val="0.53249383558376862"/>
        </c:manualLayout>
      </c:layout>
      <c:bar3DChart>
        <c:barDir val="col"/>
        <c:grouping val="stacked"/>
        <c:varyColors val="0"/>
        <c:ser>
          <c:idx val="0"/>
          <c:order val="0"/>
          <c:tx>
            <c:strRef>
              <c:f>Sheet2!$X$5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Sheet2!$W$6:$W$10</c:f>
              <c:strCache>
                <c:ptCount val="4"/>
                <c:pt idx="0">
                  <c:v>Texas</c:v>
                </c:pt>
                <c:pt idx="1">
                  <c:v>Wisconsin</c:v>
                </c:pt>
                <c:pt idx="2">
                  <c:v>Nebraska</c:v>
                </c:pt>
                <c:pt idx="3">
                  <c:v>Oklahoma</c:v>
                </c:pt>
              </c:strCache>
            </c:strRef>
          </c:cat>
          <c:val>
            <c:numRef>
              <c:f>Sheet2!$X$6:$X$10</c:f>
              <c:numCache>
                <c:formatCode>"$"#,##0.00</c:formatCode>
                <c:ptCount val="4"/>
                <c:pt idx="0">
                  <c:v>2229.9079999999999</c:v>
                </c:pt>
                <c:pt idx="1">
                  <c:v>397.44</c:v>
                </c:pt>
                <c:pt idx="2">
                  <c:v>89.97</c:v>
                </c:pt>
                <c:pt idx="3">
                  <c:v>69.930000000000007</c:v>
                </c:pt>
              </c:numCache>
            </c:numRef>
          </c:val>
          <c:extLst>
            <c:ext xmlns:c16="http://schemas.microsoft.com/office/drawing/2014/chart" uri="{C3380CC4-5D6E-409C-BE32-E72D297353CC}">
              <c16:uniqueId val="{00000001-7E19-40B0-8348-757763F52DC5}"/>
            </c:ext>
          </c:extLst>
        </c:ser>
        <c:dLbls>
          <c:showLegendKey val="0"/>
          <c:showVal val="0"/>
          <c:showCatName val="0"/>
          <c:showSerName val="0"/>
          <c:showPercent val="0"/>
          <c:showBubbleSize val="0"/>
        </c:dLbls>
        <c:gapWidth val="150"/>
        <c:shape val="box"/>
        <c:axId val="372823936"/>
        <c:axId val="372825472"/>
        <c:axId val="0"/>
      </c:bar3DChart>
      <c:catAx>
        <c:axId val="372823936"/>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825472"/>
        <c:crosses val="autoZero"/>
        <c:auto val="1"/>
        <c:lblAlgn val="ctr"/>
        <c:lblOffset val="100"/>
        <c:noMultiLvlLbl val="0"/>
      </c:catAx>
      <c:valAx>
        <c:axId val="372825472"/>
        <c:scaling>
          <c:orientation val="minMax"/>
        </c:scaling>
        <c:delete val="0"/>
        <c:axPos val="l"/>
        <c:majorGridlines>
          <c:spPr>
            <a:ln w="9525" cap="flat" cmpd="sng" algn="ctr">
              <a:solidFill>
                <a:schemeClr val="dk1">
                  <a:lumMod val="50000"/>
                  <a:lumOff val="5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8239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sales11.xlsx]Sheet2!PivotTable11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 by City</a:t>
            </a:r>
          </a:p>
        </c:rich>
      </c:tx>
      <c:layout>
        <c:manualLayout>
          <c:xMode val="edge"/>
          <c:yMode val="edge"/>
          <c:x val="0.41468996325826468"/>
          <c:y val="2.23194380789833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386464233508286"/>
          <c:y val="0.16743078122699362"/>
          <c:w val="0.82613535766491708"/>
          <c:h val="0.53249383558376862"/>
        </c:manualLayout>
      </c:layout>
      <c:bar3DChart>
        <c:barDir val="col"/>
        <c:grouping val="stacked"/>
        <c:varyColors val="0"/>
        <c:ser>
          <c:idx val="0"/>
          <c:order val="0"/>
          <c:tx>
            <c:strRef>
              <c:f>Sheet2!$AB$5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Sheet2!$AA$6:$AA$13</c:f>
              <c:strCache>
                <c:ptCount val="7"/>
                <c:pt idx="0">
                  <c:v>Austin</c:v>
                </c:pt>
                <c:pt idx="1">
                  <c:v>Houston</c:v>
                </c:pt>
                <c:pt idx="2">
                  <c:v>Franklin</c:v>
                </c:pt>
                <c:pt idx="3">
                  <c:v>Coppell</c:v>
                </c:pt>
                <c:pt idx="4">
                  <c:v>Omaha</c:v>
                </c:pt>
                <c:pt idx="5">
                  <c:v>Tulsa</c:v>
                </c:pt>
                <c:pt idx="6">
                  <c:v>Milwaukee</c:v>
                </c:pt>
              </c:strCache>
            </c:strRef>
          </c:cat>
          <c:val>
            <c:numRef>
              <c:f>Sheet2!$AB$6:$AB$13</c:f>
              <c:numCache>
                <c:formatCode>"$"#,##0.00</c:formatCode>
                <c:ptCount val="7"/>
                <c:pt idx="0">
                  <c:v>1439.982</c:v>
                </c:pt>
                <c:pt idx="1">
                  <c:v>694.08600000000001</c:v>
                </c:pt>
                <c:pt idx="2">
                  <c:v>384.45</c:v>
                </c:pt>
                <c:pt idx="3">
                  <c:v>95.84</c:v>
                </c:pt>
                <c:pt idx="4">
                  <c:v>89.97</c:v>
                </c:pt>
                <c:pt idx="5">
                  <c:v>69.930000000000007</c:v>
                </c:pt>
                <c:pt idx="6">
                  <c:v>12.99</c:v>
                </c:pt>
              </c:numCache>
            </c:numRef>
          </c:val>
          <c:extLst>
            <c:ext xmlns:c16="http://schemas.microsoft.com/office/drawing/2014/chart" uri="{C3380CC4-5D6E-409C-BE32-E72D297353CC}">
              <c16:uniqueId val="{00000000-22DA-4B48-9DD7-F2CA182B44CF}"/>
            </c:ext>
          </c:extLst>
        </c:ser>
        <c:dLbls>
          <c:showLegendKey val="0"/>
          <c:showVal val="0"/>
          <c:showCatName val="0"/>
          <c:showSerName val="0"/>
          <c:showPercent val="0"/>
          <c:showBubbleSize val="0"/>
        </c:dLbls>
        <c:gapWidth val="150"/>
        <c:shape val="box"/>
        <c:axId val="372823936"/>
        <c:axId val="372825472"/>
        <c:axId val="0"/>
      </c:bar3DChart>
      <c:catAx>
        <c:axId val="372823936"/>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825472"/>
        <c:crosses val="autoZero"/>
        <c:auto val="1"/>
        <c:lblAlgn val="ctr"/>
        <c:lblOffset val="100"/>
        <c:noMultiLvlLbl val="0"/>
      </c:catAx>
      <c:valAx>
        <c:axId val="372825472"/>
        <c:scaling>
          <c:orientation val="minMax"/>
        </c:scaling>
        <c:delete val="0"/>
        <c:axPos val="l"/>
        <c:majorGridlines>
          <c:spPr>
            <a:ln w="9525" cap="flat" cmpd="sng" algn="ctr">
              <a:solidFill>
                <a:schemeClr val="dk1">
                  <a:lumMod val="50000"/>
                  <a:lumOff val="5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8239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sales11.xlsx]Sheet2!PivotTable13</c:name>
    <c:fmtId val="1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Sheet2!$U$5</c:f>
              <c:strCache>
                <c:ptCount val="1"/>
                <c:pt idx="0">
                  <c:v>Total</c:v>
                </c:pt>
              </c:strCache>
            </c:strRef>
          </c:tx>
          <c:spPr>
            <a:ln>
              <a:noFill/>
            </a:ln>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8712-4C15-AF85-183F5D4C790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712-4C15-AF85-183F5D4C790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8712-4C15-AF85-183F5D4C790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Sheet2!$T$6:$T$7</c:f>
              <c:strCache>
                <c:ptCount val="1"/>
                <c:pt idx="0">
                  <c:v>Corporate</c:v>
                </c:pt>
              </c:strCache>
            </c:strRef>
          </c:cat>
          <c:val>
            <c:numRef>
              <c:f>Sheet2!$U$6:$U$7</c:f>
              <c:numCache>
                <c:formatCode>"$"#,##0.00</c:formatCode>
                <c:ptCount val="1"/>
                <c:pt idx="0">
                  <c:v>2787.248</c:v>
                </c:pt>
              </c:numCache>
            </c:numRef>
          </c:val>
          <c:extLst>
            <c:ext xmlns:c16="http://schemas.microsoft.com/office/drawing/2014/chart" uri="{C3380CC4-5D6E-409C-BE32-E72D297353CC}">
              <c16:uniqueId val="{00000000-8712-4C15-AF85-183F5D4C7906}"/>
            </c:ext>
          </c:extLst>
        </c:ser>
        <c:dLbls>
          <c:dLblPos val="bestFit"/>
          <c:showLegendKey val="0"/>
          <c:showVal val="1"/>
          <c:showCatName val="0"/>
          <c:showSerName val="0"/>
          <c:showPercent val="0"/>
          <c:showBubbleSize val="0"/>
          <c:showLeaderLines val="0"/>
        </c:dLbls>
      </c:pie3DChart>
      <c:spPr>
        <a:solidFill>
          <a:schemeClr val="tx1">
            <a:lumMod val="85000"/>
            <a:lumOff val="15000"/>
            <a:alpha val="94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sales11.xlsx]Sheet2!PivotTable8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0.14271383974185647"/>
          <c:y val="0.25105878304611445"/>
          <c:w val="0.85728616025814353"/>
          <c:h val="0.61657395181468877"/>
        </c:manualLayout>
      </c:layout>
      <c:lineChart>
        <c:grouping val="standard"/>
        <c:varyColors val="0"/>
        <c:ser>
          <c:idx val="0"/>
          <c:order val="0"/>
          <c:tx>
            <c:strRef>
              <c:f>Sheet2!$P$3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8A56-47ED-897B-38F872162745}"/>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1-F81E-46DA-9795-431865233C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Sheet2!$O$4:$O$11</c:f>
              <c:strCache>
                <c:ptCount val="7"/>
                <c:pt idx="0">
                  <c:v>Feb</c:v>
                </c:pt>
                <c:pt idx="1">
                  <c:v>Mar</c:v>
                </c:pt>
                <c:pt idx="2">
                  <c:v>Apr</c:v>
                </c:pt>
                <c:pt idx="3">
                  <c:v>Aug</c:v>
                </c:pt>
                <c:pt idx="4">
                  <c:v>Sep</c:v>
                </c:pt>
                <c:pt idx="5">
                  <c:v>Nov</c:v>
                </c:pt>
                <c:pt idx="6">
                  <c:v>Dec</c:v>
                </c:pt>
              </c:strCache>
            </c:strRef>
          </c:cat>
          <c:val>
            <c:numRef>
              <c:f>Sheet2!$P$4:$P$11</c:f>
              <c:numCache>
                <c:formatCode>"$"#,##0.00</c:formatCode>
                <c:ptCount val="7"/>
                <c:pt idx="0">
                  <c:v>69.930000000000007</c:v>
                </c:pt>
                <c:pt idx="1">
                  <c:v>95.84</c:v>
                </c:pt>
                <c:pt idx="2">
                  <c:v>12.99</c:v>
                </c:pt>
                <c:pt idx="3">
                  <c:v>1439.982</c:v>
                </c:pt>
                <c:pt idx="4">
                  <c:v>694.08600000000001</c:v>
                </c:pt>
                <c:pt idx="5">
                  <c:v>89.97</c:v>
                </c:pt>
                <c:pt idx="6">
                  <c:v>384.45</c:v>
                </c:pt>
              </c:numCache>
            </c:numRef>
          </c:val>
          <c:smooth val="0"/>
          <c:extLst>
            <c:ext xmlns:c16="http://schemas.microsoft.com/office/drawing/2014/chart" uri="{C3380CC4-5D6E-409C-BE32-E72D297353CC}">
              <c16:uniqueId val="{00000002-F81E-46DA-9795-431865233C9B}"/>
            </c:ext>
          </c:extLst>
        </c:ser>
        <c:dLbls>
          <c:dLblPos val="ctr"/>
          <c:showLegendKey val="0"/>
          <c:showVal val="1"/>
          <c:showCatName val="0"/>
          <c:showSerName val="0"/>
          <c:showPercent val="0"/>
          <c:showBubbleSize val="0"/>
        </c:dLbls>
        <c:marker val="1"/>
        <c:smooth val="0"/>
        <c:axId val="372378624"/>
        <c:axId val="372406144"/>
      </c:lineChart>
      <c:catAx>
        <c:axId val="372378624"/>
        <c:scaling>
          <c:orientation val="minMax"/>
        </c:scaling>
        <c:delete val="0"/>
        <c:axPos val="b"/>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406144"/>
        <c:crosses val="autoZero"/>
        <c:auto val="1"/>
        <c:lblAlgn val="ctr"/>
        <c:lblOffset val="100"/>
        <c:noMultiLvlLbl val="0"/>
      </c:catAx>
      <c:valAx>
        <c:axId val="37240614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3786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sales11.xlsx]Sheet2!PivotTable7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 and Sub-Category </a:t>
            </a:r>
          </a:p>
        </c:rich>
      </c:tx>
      <c:layout>
        <c:manualLayout>
          <c:xMode val="edge"/>
          <c:yMode val="edge"/>
          <c:x val="0.21123383714966665"/>
          <c:y val="7.9415687793124214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0178634567230818"/>
          <c:y val="0.12473796308248354"/>
          <c:w val="0.49586798201948895"/>
          <c:h val="0.85188158857192031"/>
        </c:manualLayout>
      </c:layout>
      <c:bar3DChart>
        <c:barDir val="bar"/>
        <c:grouping val="clustered"/>
        <c:varyColors val="0"/>
        <c:ser>
          <c:idx val="0"/>
          <c:order val="0"/>
          <c:tx>
            <c:strRef>
              <c:f>Sheet2!$M$3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Sheet2!$L$4:$L$8</c:f>
              <c:multiLvlStrCache>
                <c:ptCount val="3"/>
                <c:lvl>
                  <c:pt idx="0">
                    <c:v>Accessories</c:v>
                  </c:pt>
                  <c:pt idx="1">
                    <c:v>Machines</c:v>
                  </c:pt>
                  <c:pt idx="2">
                    <c:v>Phones</c:v>
                  </c:pt>
                </c:lvl>
                <c:lvl>
                  <c:pt idx="0">
                    <c:v>Technology</c:v>
                  </c:pt>
                </c:lvl>
              </c:multiLvlStrCache>
            </c:multiLvlStrRef>
          </c:cat>
          <c:val>
            <c:numRef>
              <c:f>Sheet2!$M$4:$M$8</c:f>
              <c:numCache>
                <c:formatCode>#,##0.00</c:formatCode>
                <c:ptCount val="3"/>
                <c:pt idx="0">
                  <c:v>224.346</c:v>
                </c:pt>
                <c:pt idx="1">
                  <c:v>1999.692</c:v>
                </c:pt>
                <c:pt idx="2">
                  <c:v>563.21</c:v>
                </c:pt>
              </c:numCache>
            </c:numRef>
          </c:val>
          <c:extLst>
            <c:ext xmlns:c16="http://schemas.microsoft.com/office/drawing/2014/chart" uri="{C3380CC4-5D6E-409C-BE32-E72D297353CC}">
              <c16:uniqueId val="{00000000-4953-4CB3-BA40-8DC3926FB005}"/>
            </c:ext>
          </c:extLst>
        </c:ser>
        <c:dLbls>
          <c:showLegendKey val="0"/>
          <c:showVal val="1"/>
          <c:showCatName val="0"/>
          <c:showSerName val="0"/>
          <c:showPercent val="0"/>
          <c:showBubbleSize val="0"/>
        </c:dLbls>
        <c:gapWidth val="150"/>
        <c:shape val="box"/>
        <c:axId val="372491392"/>
        <c:axId val="372494336"/>
        <c:axId val="0"/>
      </c:bar3DChart>
      <c:catAx>
        <c:axId val="372491392"/>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494336"/>
        <c:crosses val="autoZero"/>
        <c:auto val="1"/>
        <c:lblAlgn val="ctr"/>
        <c:lblOffset val="100"/>
        <c:noMultiLvlLbl val="0"/>
      </c:catAx>
      <c:valAx>
        <c:axId val="372494336"/>
        <c:scaling>
          <c:orientation val="minMax"/>
        </c:scaling>
        <c:delete val="1"/>
        <c:axPos val="b"/>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crossAx val="3724913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sales11.xlsx]Sheet2!PivotTable9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a:t>
            </a:r>
          </a:p>
        </c:rich>
      </c:tx>
      <c:layout>
        <c:manualLayout>
          <c:xMode val="edge"/>
          <c:yMode val="edge"/>
          <c:x val="0.44947870596134004"/>
          <c:y val="2.573871814410295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649396780552864"/>
          <c:y val="0.1249117185413858"/>
          <c:w val="0.51729215321214783"/>
          <c:h val="0.83869456764554551"/>
        </c:manualLayout>
      </c:layout>
      <c:bar3DChart>
        <c:barDir val="bar"/>
        <c:grouping val="clustered"/>
        <c:varyColors val="0"/>
        <c:ser>
          <c:idx val="0"/>
          <c:order val="0"/>
          <c:tx>
            <c:strRef>
              <c:f>Sheet2!$S$4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Sheet2!$R$5:$R$15</c:f>
              <c:strCache>
                <c:ptCount val="10"/>
                <c:pt idx="0">
                  <c:v>Mitch Willingham</c:v>
                </c:pt>
                <c:pt idx="1">
                  <c:v>Aaron Smayling</c:v>
                </c:pt>
                <c:pt idx="2">
                  <c:v>Kean Nguyen</c:v>
                </c:pt>
                <c:pt idx="3">
                  <c:v>Dionis Lloyd</c:v>
                </c:pt>
                <c:pt idx="4">
                  <c:v>Laurel Workman</c:v>
                </c:pt>
                <c:pt idx="5">
                  <c:v>Andy Gerbode</c:v>
                </c:pt>
                <c:pt idx="6">
                  <c:v>Eudokia Martin</c:v>
                </c:pt>
                <c:pt idx="7">
                  <c:v>Dean Katz</c:v>
                </c:pt>
                <c:pt idx="8">
                  <c:v>Justin Ellison</c:v>
                </c:pt>
                <c:pt idx="9">
                  <c:v>Nat Gilpin</c:v>
                </c:pt>
              </c:strCache>
            </c:strRef>
          </c:cat>
          <c:val>
            <c:numRef>
              <c:f>Sheet2!$S$5:$S$15</c:f>
              <c:numCache>
                <c:formatCode>"$"#,##0.00</c:formatCode>
                <c:ptCount val="10"/>
                <c:pt idx="0">
                  <c:v>1919.9760000000001</c:v>
                </c:pt>
                <c:pt idx="1">
                  <c:v>1439.982</c:v>
                </c:pt>
                <c:pt idx="2">
                  <c:v>1075.088</c:v>
                </c:pt>
                <c:pt idx="3">
                  <c:v>837.6</c:v>
                </c:pt>
                <c:pt idx="4">
                  <c:v>575.91999999999996</c:v>
                </c:pt>
                <c:pt idx="5">
                  <c:v>559.71</c:v>
                </c:pt>
                <c:pt idx="6">
                  <c:v>494.97</c:v>
                </c:pt>
                <c:pt idx="7">
                  <c:v>482.34</c:v>
                </c:pt>
                <c:pt idx="8">
                  <c:v>384.45</c:v>
                </c:pt>
                <c:pt idx="9">
                  <c:v>370.78199999999998</c:v>
                </c:pt>
              </c:numCache>
            </c:numRef>
          </c:val>
          <c:extLst>
            <c:ext xmlns:c16="http://schemas.microsoft.com/office/drawing/2014/chart" uri="{C3380CC4-5D6E-409C-BE32-E72D297353CC}">
              <c16:uniqueId val="{00000000-63FD-4729-868A-3FC5C2295D75}"/>
            </c:ext>
          </c:extLst>
        </c:ser>
        <c:dLbls>
          <c:showLegendKey val="0"/>
          <c:showVal val="1"/>
          <c:showCatName val="0"/>
          <c:showSerName val="0"/>
          <c:showPercent val="0"/>
          <c:showBubbleSize val="0"/>
        </c:dLbls>
        <c:gapWidth val="150"/>
        <c:shape val="box"/>
        <c:axId val="372426240"/>
        <c:axId val="372429184"/>
        <c:axId val="0"/>
      </c:bar3DChart>
      <c:catAx>
        <c:axId val="372426240"/>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429184"/>
        <c:crosses val="autoZero"/>
        <c:auto val="1"/>
        <c:lblAlgn val="ctr"/>
        <c:lblOffset val="100"/>
        <c:noMultiLvlLbl val="0"/>
      </c:catAx>
      <c:valAx>
        <c:axId val="372429184"/>
        <c:scaling>
          <c:orientation val="minMax"/>
        </c:scaling>
        <c:delete val="1"/>
        <c:axPos val="b"/>
        <c:numFmt formatCode="&quot;$&quot;#,##0.00" sourceLinked="1"/>
        <c:majorTickMark val="none"/>
        <c:minorTickMark val="none"/>
        <c:tickLblPos val="nextTo"/>
        <c:crossAx val="37242624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sales11.xlsx]Sheet2!PivotTable6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7142857142857143"/>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9319727891156463"/>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22857142857142856"/>
              <c:y val="-9.2592592592592587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22857142857142856"/>
              <c:y val="-9.2592592592592587E-3"/>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9319727891156463"/>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7142857142857143"/>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1945261559286227"/>
          <c:y val="0.2458201224846894"/>
          <c:w val="0.34848247742617078"/>
          <c:h val="0.63329868766404196"/>
        </c:manualLayout>
      </c:layout>
      <c:bar3DChart>
        <c:barDir val="bar"/>
        <c:grouping val="clustered"/>
        <c:varyColors val="0"/>
        <c:ser>
          <c:idx val="0"/>
          <c:order val="0"/>
          <c:tx>
            <c:strRef>
              <c:f>Sheet2!$K$3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0445-4DEE-B9BF-63C74635895D}"/>
              </c:ext>
            </c:extLst>
          </c:dPt>
          <c:dPt>
            <c:idx val="1"/>
            <c:invertIfNegative val="0"/>
            <c:bubble3D val="0"/>
            <c:extLst>
              <c:ext xmlns:c16="http://schemas.microsoft.com/office/drawing/2014/chart" uri="{C3380CC4-5D6E-409C-BE32-E72D297353CC}">
                <c16:uniqueId val="{00000003-0445-4DEE-B9BF-63C74635895D}"/>
              </c:ext>
            </c:extLst>
          </c:dPt>
          <c:dPt>
            <c:idx val="2"/>
            <c:invertIfNegative val="0"/>
            <c:bubble3D val="0"/>
            <c:extLst>
              <c:ext xmlns:c16="http://schemas.microsoft.com/office/drawing/2014/chart" uri="{C3380CC4-5D6E-409C-BE32-E72D297353CC}">
                <c16:uniqueId val="{00000005-0445-4DEE-B9BF-63C7463589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Sheet2!$J$4:$J$5</c:f>
              <c:strCache>
                <c:ptCount val="1"/>
                <c:pt idx="0">
                  <c:v>Technology</c:v>
                </c:pt>
              </c:strCache>
            </c:strRef>
          </c:cat>
          <c:val>
            <c:numRef>
              <c:f>Sheet2!$K$4:$K$5</c:f>
              <c:numCache>
                <c:formatCode>"$"#,##0.00</c:formatCode>
                <c:ptCount val="1"/>
                <c:pt idx="0">
                  <c:v>2787.248</c:v>
                </c:pt>
              </c:numCache>
            </c:numRef>
          </c:val>
          <c:extLst>
            <c:ext xmlns:c16="http://schemas.microsoft.com/office/drawing/2014/chart" uri="{C3380CC4-5D6E-409C-BE32-E72D297353CC}">
              <c16:uniqueId val="{00000006-0445-4DEE-B9BF-63C74635895D}"/>
            </c:ext>
          </c:extLst>
        </c:ser>
        <c:dLbls>
          <c:showLegendKey val="0"/>
          <c:showVal val="1"/>
          <c:showCatName val="0"/>
          <c:showSerName val="0"/>
          <c:showPercent val="0"/>
          <c:showBubbleSize val="0"/>
        </c:dLbls>
        <c:gapWidth val="150"/>
        <c:shape val="box"/>
        <c:axId val="365996672"/>
        <c:axId val="372446720"/>
        <c:axId val="0"/>
      </c:bar3DChart>
      <c:catAx>
        <c:axId val="365996672"/>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446720"/>
        <c:crosses val="autoZero"/>
        <c:auto val="1"/>
        <c:lblAlgn val="ctr"/>
        <c:lblOffset val="100"/>
        <c:noMultiLvlLbl val="0"/>
      </c:catAx>
      <c:valAx>
        <c:axId val="372446720"/>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59966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sales11.xlsx]Sheet2!PivotTable11</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386464233508286"/>
          <c:y val="0.16743078122699362"/>
          <c:w val="0.82613535766491708"/>
          <c:h val="0.53249383558376862"/>
        </c:manualLayout>
      </c:layout>
      <c:bar3DChart>
        <c:barDir val="col"/>
        <c:grouping val="stacked"/>
        <c:varyColors val="0"/>
        <c:ser>
          <c:idx val="0"/>
          <c:order val="0"/>
          <c:tx>
            <c:strRef>
              <c:f>Sheet2!$AB$5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Sheet2!$AA$6:$AA$13</c:f>
              <c:strCache>
                <c:ptCount val="7"/>
                <c:pt idx="0">
                  <c:v>Austin</c:v>
                </c:pt>
                <c:pt idx="1">
                  <c:v>Houston</c:v>
                </c:pt>
                <c:pt idx="2">
                  <c:v>Franklin</c:v>
                </c:pt>
                <c:pt idx="3">
                  <c:v>Coppell</c:v>
                </c:pt>
                <c:pt idx="4">
                  <c:v>Omaha</c:v>
                </c:pt>
                <c:pt idx="5">
                  <c:v>Tulsa</c:v>
                </c:pt>
                <c:pt idx="6">
                  <c:v>Milwaukee</c:v>
                </c:pt>
              </c:strCache>
            </c:strRef>
          </c:cat>
          <c:val>
            <c:numRef>
              <c:f>Sheet2!$AB$6:$AB$13</c:f>
              <c:numCache>
                <c:formatCode>"$"#,##0.00</c:formatCode>
                <c:ptCount val="7"/>
                <c:pt idx="0">
                  <c:v>1439.982</c:v>
                </c:pt>
                <c:pt idx="1">
                  <c:v>694.08600000000001</c:v>
                </c:pt>
                <c:pt idx="2">
                  <c:v>384.45</c:v>
                </c:pt>
                <c:pt idx="3">
                  <c:v>95.84</c:v>
                </c:pt>
                <c:pt idx="4">
                  <c:v>89.97</c:v>
                </c:pt>
                <c:pt idx="5">
                  <c:v>69.930000000000007</c:v>
                </c:pt>
                <c:pt idx="6">
                  <c:v>12.99</c:v>
                </c:pt>
              </c:numCache>
            </c:numRef>
          </c:val>
          <c:extLst>
            <c:ext xmlns:c16="http://schemas.microsoft.com/office/drawing/2014/chart" uri="{C3380CC4-5D6E-409C-BE32-E72D297353CC}">
              <c16:uniqueId val="{00000000-47E8-4683-8606-BE36190396C7}"/>
            </c:ext>
          </c:extLst>
        </c:ser>
        <c:dLbls>
          <c:showLegendKey val="0"/>
          <c:showVal val="0"/>
          <c:showCatName val="0"/>
          <c:showSerName val="0"/>
          <c:showPercent val="0"/>
          <c:showBubbleSize val="0"/>
        </c:dLbls>
        <c:gapWidth val="150"/>
        <c:shape val="box"/>
        <c:axId val="372823936"/>
        <c:axId val="372825472"/>
        <c:axId val="0"/>
      </c:bar3DChart>
      <c:catAx>
        <c:axId val="372823936"/>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825472"/>
        <c:crosses val="autoZero"/>
        <c:auto val="1"/>
        <c:lblAlgn val="ctr"/>
        <c:lblOffset val="100"/>
        <c:noMultiLvlLbl val="0"/>
      </c:catAx>
      <c:valAx>
        <c:axId val="37282547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8239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sales11.xlsx]Sheet2!PivotTable10</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State</a:t>
            </a:r>
          </a:p>
        </c:rich>
      </c:tx>
      <c:layout>
        <c:manualLayout>
          <c:xMode val="edge"/>
          <c:yMode val="edge"/>
          <c:x val="0.41468996325826468"/>
          <c:y val="2.23194380789833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386464233508286"/>
          <c:y val="0.16743078122699362"/>
          <c:w val="0.82613535766491708"/>
          <c:h val="0.53249383558376862"/>
        </c:manualLayout>
      </c:layout>
      <c:bar3DChart>
        <c:barDir val="col"/>
        <c:grouping val="stacked"/>
        <c:varyColors val="0"/>
        <c:ser>
          <c:idx val="0"/>
          <c:order val="0"/>
          <c:tx>
            <c:strRef>
              <c:f>Sheet2!$X$5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Sheet2!$W$6:$W$10</c:f>
              <c:strCache>
                <c:ptCount val="4"/>
                <c:pt idx="0">
                  <c:v>Texas</c:v>
                </c:pt>
                <c:pt idx="1">
                  <c:v>Wisconsin</c:v>
                </c:pt>
                <c:pt idx="2">
                  <c:v>Nebraska</c:v>
                </c:pt>
                <c:pt idx="3">
                  <c:v>Oklahoma</c:v>
                </c:pt>
              </c:strCache>
            </c:strRef>
          </c:cat>
          <c:val>
            <c:numRef>
              <c:f>Sheet2!$X$6:$X$10</c:f>
              <c:numCache>
                <c:formatCode>"$"#,##0.00</c:formatCode>
                <c:ptCount val="4"/>
                <c:pt idx="0">
                  <c:v>2229.9079999999999</c:v>
                </c:pt>
                <c:pt idx="1">
                  <c:v>397.44</c:v>
                </c:pt>
                <c:pt idx="2">
                  <c:v>89.97</c:v>
                </c:pt>
                <c:pt idx="3">
                  <c:v>69.930000000000007</c:v>
                </c:pt>
              </c:numCache>
            </c:numRef>
          </c:val>
          <c:extLst>
            <c:ext xmlns:c16="http://schemas.microsoft.com/office/drawing/2014/chart" uri="{C3380CC4-5D6E-409C-BE32-E72D297353CC}">
              <c16:uniqueId val="{00000000-E496-4FE9-A5A2-4A7AA950B1E0}"/>
            </c:ext>
          </c:extLst>
        </c:ser>
        <c:dLbls>
          <c:showLegendKey val="0"/>
          <c:showVal val="0"/>
          <c:showCatName val="0"/>
          <c:showSerName val="0"/>
          <c:showPercent val="0"/>
          <c:showBubbleSize val="0"/>
        </c:dLbls>
        <c:gapWidth val="150"/>
        <c:shape val="box"/>
        <c:axId val="372823936"/>
        <c:axId val="372825472"/>
        <c:axId val="0"/>
      </c:bar3DChart>
      <c:catAx>
        <c:axId val="372823936"/>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825472"/>
        <c:crosses val="autoZero"/>
        <c:auto val="1"/>
        <c:lblAlgn val="ctr"/>
        <c:lblOffset val="100"/>
        <c:noMultiLvlLbl val="0"/>
      </c:catAx>
      <c:valAx>
        <c:axId val="372825472"/>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8239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sales11.xlsx]Sheet2!PivotTable13</c:name>
    <c:fmtId val="18"/>
  </c:pivotSource>
  <c:chart>
    <c:autoTitleDeleted val="1"/>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Sheet2!$U$5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61F-47B7-BACB-B1E5EE8A37B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61F-47B7-BACB-B1E5EE8A37B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61F-47B7-BACB-B1E5EE8A37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Sheet2!$T$6:$T$7</c:f>
              <c:strCache>
                <c:ptCount val="1"/>
                <c:pt idx="0">
                  <c:v>Corporate</c:v>
                </c:pt>
              </c:strCache>
            </c:strRef>
          </c:cat>
          <c:val>
            <c:numRef>
              <c:f>Sheet2!$U$6:$U$7</c:f>
              <c:numCache>
                <c:formatCode>"$"#,##0.00</c:formatCode>
                <c:ptCount val="1"/>
                <c:pt idx="0">
                  <c:v>2787.248</c:v>
                </c:pt>
              </c:numCache>
            </c:numRef>
          </c:val>
          <c:extLst>
            <c:ext xmlns:c16="http://schemas.microsoft.com/office/drawing/2014/chart" uri="{C3380CC4-5D6E-409C-BE32-E72D297353CC}">
              <c16:uniqueId val="{00000006-E61F-47B7-BACB-B1E5EE8A37B1}"/>
            </c:ext>
          </c:extLst>
        </c:ser>
        <c:dLbls>
          <c:dLblPos val="ctr"/>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CB71424A-9563-42DA-8D10-51B4D65C0760}">
          <cx:tx>
            <cx:txData>
              <cx:f>_xlchart.v5.2</cx:f>
              <cx:v>Sum of Sales</cx:v>
            </cx:txData>
          </cx:tx>
          <cx:dataId val="0"/>
          <cx:layoutPr>
            <cx:regionLabelLayout val="showAll"/>
            <cx:geography cultureLanguage="en-GB" cultureRegion="IN" attribution="Powered by Bing">
              <cx:geoCache provider="{E9337A44-BEBE-4D9F-B70C-5C5E7DAFC167}">
                <cx:binary>1HtpU9xI1u5fcfjzKzo35TIxPRGTkqqKAorF2Mb9RYExSKklU/v2699TYLuBpnH3nZ57b5cdxpSk
3M72nOcc/fNm+sdNcXvdvJnKwrb/uJl+fpt2XfWPn35qb9Lb8ro9KM1N41p31x3cuPInd3dnbm5/
+tJcj8YmPxGE2U836XXT3U5v//VPGC25dcfu5rozzp73t818cdv2Rde+cu3FS2+uv5TGhqbtGnPT
kZ/fvru2b1bNtb0x7Y17++bWdqabL+fq9ue3T299++an5yP+ZvY3BSyw67/Aw1QcCImQkFKqh8/b
N4WzydfLHibkgME2fUnVt2l31yU8+WRFbwLX227+nzfBdWHuXGPN9f+8eW9Nd/vlzbvuurttvz38
4prvV3z95Utz27aw9fuf/wczPDmJn98G/377+jl+XfXbNzf71e+FlYDcfn77bOGmdffba+bA7c/s
/bv7Q/7pqbj/9c9nX8CxP/vmkUY8l9GPLv1mI8euffNvm9wWPzjaP6kO7AD5hFDJ/AdtkM/UAcsD
wihlAgu0/+Bvcn1Qiker+q+oxJ8c/w8oxG9H/Fuqw+52fPPJNfmbAPzCN5m8aGt7hfgv6uW72+uu
K27/ny4BfGVobpO/1E+SA4F94SvyG4sQB5hTiSX9ajLftv6rm7xfzH/FHvZO+A+P/ges4fl4f0tb
OEtNcf3ltqhSc/1NGL9rCk+d+KuhUh0oHyOOiX/v+hB56huFD4rgc/w9koKmPMTpB014vKzvynB2
a207F8P1XxIx//wUz3Ti7IWQ+cKgf0u12NzaL7dN6+w3sfwVOuEfUCwU5pK/GC8loCdfYQUQ6+Hz
LF5+X9N3hdi5pksBRjWuMPYvAFF/eoZnGrELfguino/591QH17fdX6sMGJRBUsnRsxihfNACgRj3
0XcteewZNg9L+a4Dl7fTdfuf4+c/NuwzeV9evSDvJ+v7W0r75PoLwPi/1PTVAXh6iPrf4j7kR48z
J0kPGEOcIEif7j8QLh4L/euKvgv9NDXuP5f5Hxr1mchPN78V+dNx/pYi/zfYt/krJU72AAAx6RP6
XaKPJa74AfEFBxiIX3T2Dwv6LvC/yMr/0KjPJP6SkT8Z528h8Nez9gdbe4jxT+78swyJOvAR9QWj
Dxkvok/tXKkDBF6fU8UenDt7aufPyITfX9bLJMizx5/s5P8SU/H72eJ3uBxed9fRPSf1iMh4/eo3
BuTZo1995AvY7NuxHn75+S1hALQfCXI/yBPvetpA/vfd+B89cnvddj+/9TDmBwwwGxZECRDePq0b
bx8uEXbgQ0Ynpc8AuMFdb9/YPSr7+S0DC+dEwXMCCUQhE3j7pnX9/SV8AOJnQkD8Z4JxpL4Tgmeu
mGEx34/j6+9vbF+eOWO7Fmg4wt++qR7u2y/WRz6jPhc+5BqE+hIRBNdvri+AdYTb8f/kbb/kY6/M
WZYrmqmAYjTVuklyfqriirFzxuumXbsC2WYVx4BBfT0Ohgd5PLhx2tWU40qLvM41uMm8oxepLLxi
+ujLwctRwPOm1NVg802yWDSedUWNvpSoGtGoRWuNDBqcSqRJj12SapeSXA5rp1gSlWmdbcvM4jua
2NRp1dbys0dyE0xcJluRs1o7lyzB1IniwpdjvE4Wt4RUFeg0z40bAkt53+uaNGWul6JqfL1Q5r0X
yPssJ56Gpe9l2lIldjwdzKFZlux4ypk5FIPf/zJmPYkYqhTXjeXpRSNknoatm+azoV9iFVZkLJuI
VrBjLfulk1FbF1WoUJoe1XG+SgaTBF0y8s9mHLr37cDTbOeTyQtbU4lT0yA26tlMqQkKPvtBJ9I0
1bGa1KBb1Jn5nfC7zoYgifkqnp3VHlJDr+cpTt6BJ4mVbt0c58EMyz80PE6PlnGarpgx2F9zNqHD
xNIhUjxvbYBwVuKV6HiaaGFo9XFupiZIkjprAymGcuu1Fjnt+bLqgzJe5KnMR9FrWjBQiWwxJNNi
StslzPy2bUJeiPlT1881P4OdEBSQfCinUBXpFBrU06hFDdell6V3oilYlCYm37SG9asxoTz0a9OH
vUvFeb2wKdE2zZOQzJ07z3nZbGfHYo3KGp97vhojO5R8GzMxe7ppfP5lrBQOJzCanSB4qXQ6uzLN
dTIriVe19apjlqBsPkG2R6LakpyNsgqUb1spIzgIVgXlkNrqjOV16g4XazDTiJo5sTqVhje6L1t2
PMa5xUanFtLxXFeYURaWC5zeed8mIKsFD+JdWVkzhsKbVPWhaAZRa9+1KJxTxWPdoNSVAZ0m0Yac
JK3bZi5u1DGvkvRLWYu5CrJC5EIXci6948E3SRvEcnK71pPmeLBdesRjO16TMuWVztuxj+bKlvPh
lMypH7SO2EZ7BUfpZs4K4jYKsQLrDs8dDsYl8boNakqxAjLenJlpxkuQ1kOaadfEJVh2LEWsaTWb
Lmwy149BFVfDcLwspq9D4jEauBSkGVZDOeAAWa9ZdOZZlZxxi0wbNGVfipNpKcdd0fpo3eSiD9OE
JjNoHPOGIBOVDAtPmJ3nXDGshjguUr2nQJqwLOR4RQBSrzs11cmWofZimbpsOVe9d+MtyoJNedxN
gfSz2d91jrbLqqvTslsl/eyuptghpuXcp5fLIolbs7hq7Bq+zBKtPNt1G/BE8ztWq8kdEp93dWCK
gvB1gVIyHoospofUVc3d6LH3fs/lMTV+u7wbcjJUmzFPsTts4nkKZeXhI9q26GSJM3LO7Aj2GDOV
lVGWgDfze2R1PtfZepmo3GaenPNQjt40HU94dEeCtnYJYaZ8LWXcRgVOYi8wICu3SqolC8nC6LlX
zWhY0T4tQq4ycuS4VRGVmaciz1RlGrJ0wpfVwkyIaEFAzjlLss9NLbLrDHXee9oUw6cWTUMTNY4x
sDU2DaGXLTQqMfe6wyZJWFDQPmsjnrZJcwQ3sF5jr/IK7RNezYnmcinTLWs9n5TBzIRfIZ3NBRvC
qedpQFqOEu3zJqHaDtWw8eqGuijuyjHptPPLnp04W/VSSxsXl3hO6IdhXD4yUOFOm3bKQTYWkQ2X
ozjnvsFh0sVz2JG0PhTKChTZpSNR4flxErhpnC5s3LJdUZJ+0GUjSnwyNs6dLN3Cs7WsHb2qu+kq
maZB6Y6bBYfYxIUMhgF1re6HbOpPyqrEu2XG7UWZuawJHMSv5BxPQ9wQnbFiXuZNSUUn/CxgXpzE
27oFr7FjMserx6WaJ4H4xlVzY5L0a3Hu+6//unQl/L3nyH/9cl/b+/W3k29FwVfvWt+6PfPXPr9p
j6e+jwWo4Cu+2mOYJ7/8BlD9DmR6qDH+zsXfx1Pf89E94ICMhQI9ASjke/nwN5jqO+3zGIn9+uBX
ZAWUF+EYWC8KIEbCj1+RFVwSzIdqIsYI6omSAVT+iqyoDygbMSQBkHEkGIHVfUVWcAkzxogkPnBt
VAJU+7bXJwKF0usLyAqIl6fIiknGpYIVYip9JIiERTxGVomY6LIkRm7yyXtPqjJa2B2ecRibu0xW
a3/EIeCScOjIcTzLj5naFBkN+waFiSNBVbUBLead6NPN2BRBYytNgM4pWi15E1jZb+OmvCxIEhDh
76rSBPMM8a9Vp8Ysq2rKNgBhIHJBCOKxOmz8/HjA42lOq6OiRUdpOkbxZPUyjiZgIyCLKoOlgaNO
hK8LumyaPF0R1UZoUWvWuSjj7H1aJKEoTIDr8eM0Z2ExjUMwK7pKudtUMrurfEODprGbhQ4Xfd69
r1F6Qj0cKox1wsHV2mlrKQvy+pbn9HIy5abvm1BM5Xtli3CC4mhrync1J2GcLVu2SO2b64T1Ud7f
zIaHnhGrZSDRUNuz2coVsuu6/5KlEOJrwBCR8d4t5n2FLUDZetcPeAVp15Hg+TvqpzrLne77YxG3
h64ofyF9phWzh2YCiNCpo0lhbVsAYuaXfXQaeLLOBhNh544m6VY07QOb1EHCf7HymLj6nOCdiZcL
rxrXM7lpHQ/YIHdLrq68gR3xrD5Hy6dxKS5ilQTpALGUiiiuqxXuPiY5gjiJNLPdhtUiYMiPOiYD
T/BV69FI1E7zgRktK0veyWaO+oRf4gnxqLBBXBbvbd4c9cVsjVYlWoOtbDpLomkgK48WN3NLQlSD
T5/GGzS6tcniSOTTevFxQJL4JKnRDLhJasBcQW6IZp38RPPT2kvW3phFKRKHOa4A7ziNayhaT/Wm
aOudn8/hENdbFpdBpTKdFypYFhFmVX1SjkJPUwtRaYxYQk+Wpdn2ahn1IpdVZgYI432khuWwnrq1
l2TnBmoWydKHFH1BxsdRk31mQLesfFatyRAfL2jekRkFg/A/84pd1eNh74lM485u/bpfL+XwfqH1
ahz5JrZqs0yxHrh3mlu0i+OJauMth4rGGzQC0KrHD2pqjuM+js9bJ/x4lS3pCfEhDnv5qWzqwKOX
6QJrb5OgLN0q7e1q6U04pvkqX5rdZJNN7bEIYGQorVt1yukkS9b+1OsWZ6Ev6I1lSZiKj2ipAwZi
wfFwbPEYlpQHHSvWnIvjsk7DYjjP+yHgrNMioTdTVZ42JD4RdXYEsK6b7MrVo3bUO6P9smqX/X09
C2g1DjoteeR5x5R9KgBK9aY9i+ci7JALlG1PfJ8EPKmODSNR1+ZUp3225vmifYW0LfKwkPxwmZTR
RZEdzkV85NPlGNTo0JG50kttApn3pUZLF81Ff+iVX1jVbP2WBKSK7+yQ30GedRRTB7ihqL33MpvD
AtY8L5/b4pYuFs7kXVwdonj+RJTdpjbmOl7ij9apTSnYzrGI4OSsEQIgwLLOFVmJBHLQFkzQHz+y
LNcAhnfEQ01o0jZSBmCKT/OgEEhX9TvX4BPfcyvXQzY6J0EOngKyBzSxlZmJXqYmZALgRXeOVK6N
mgF7ozL0K3uF8/5sSJL3CNV6WmbNK7pJkiYch/h93LYfCmtClszvSJNFnJDV6GdamvKTQlOQZaMG
dA3WITYyxpdpIYooKedVzT/hOd3myTTrGVWn+cJW05iE2cghWcqCPmXhQL3rpcBB1U4hzukFpJm6
JeYjJGjvCGk1pH6h8cvzouohi8iOhk5c9tSL2picW24hja3b0NZuzYmog8Xvr3mG1pnzblFZBjZP
IT2ZNyPrz8bcP67i/Fr1xYWokitakSYPG+VP/jqVqur02CRlYDL/0IBgOkKPE68JhChOybB8SAAi
26QKSXyUJUVoZLHrW4E/uJiHNV2PFVhlmjCdJLKN+j4etx6Z2QU2sgO7hKM0aIm6qQsgm9JWSF3R
k3TmG5OLkOb+Clu5Jry+6DjTrt76ifn8X0FXfzfcBHHqVdz0pFPqOXZ6ePgbKwXdVgQgkISQIjgW
GKin76wUPcDQpyUUUFNcQFr7K3YSBwpYLIbUr099w07igCsKOAxhClVKhPmfwk5PkROMLgWDKhb8
gUGhuPEUOfkFQjKLm+V06T7WMtbArOhHgPIFdLYf4VfWC/AYjIokEpwRBSz7HiA+xmZLFfNqqig+
bSfgE9DKL8AW/S/DACWM78D1hXn247w2D/B4j+dxHq7qBsLaqV8NAW6OR/Hl9Qn2TOCrM+xR6CP+
LsG1JX0KOyGT0AN7L9Sd8+ZAeaeqHyIKrEw7fKr6TW/OOhdrbG6zdJUkZ8Sdd/ZdMla6q4+4n0Qy
Bq/Nzvvs3QhZ5qTKHxwFBmT96kpBsR6vlBov7sZmfxY0ipdS19XHfjCBw+x0jI2OY3DU853wiAbq
DECugYrxa7IQ+wmeCwNj6XOomjAfP6c6rUxwNyAxn85DZnCAVVMc54zQLpgrVgM5lAFZdJhJuW0A
wfj9eIGLkevRuiQYkLcEjV+nmlQ9JOhdgraj6vpmXZRXpKTbMUYt1cTL8PuJltma5iqTOpadtlkW
Nbw5rPpZk6EG5AfwqZvX6XI6cBOV4Eld7emeL+tmUmclOYuXbBX3V21cAJ6/bBN5QrtCNzkPBwsL
GN0h9f1ALIWesyrM/UtX1XXIaQKhu4FDxEGPAeOiMhqrzVxftVmpZ4/qerRHuGPnWXaSTeV6sMS9
L/0C/DOQA05ddoyHLPN1NgAdBzwUC5mpZYhkySKXF586r9JluTRa+XEb5gk7fl1CdE82/yohyOOe
Gj57Zi6jUW3WTe1yitZ0Ex8ux91HupaHzWmr8XG3qYMmkqEK5hUNts22XLlw+uQd5qtujdb8xKyy
k9cX9DSF+62bgJLMY5VlRdGLcq+yLj90ubZj2LS6XtXoB+7oJc187I6eOTyAF0uRpjCPZ3VxOX2p
k8D0ASMhj39gBPjpET9s6bERQHXj8ZYUyKOhypDTlAbZWT6F/RQ0iR7bCMj/5HT80dZe8oCYgo+l
0PgLafozkZa8nABXUHI6Zq22y+fBO3tdRi85wMcTPDs7ZI2wQ0LIaTuEvZ/r0QuAX/qBgH40yTMv
C4Q8X2YJk6jhaKm3Hb8k/JfX9/FSSHq8j2fucYZY3TSlT04J2PZUjBrxC5XtVDo97OUru3P2YE8P
RaDH7M9jMug/4p7+P6GVHgMcIjgHxfseDX5DKV2k0FH95rAtri0E2Ifa6H2x7uHBr7BI4AOICgTa
LLniRKo98PgKi+CSVNBnAYU8xaUA/fhWqiMH8ARmkkvM930YcOkrKGIwHPMRVMTuK3h/gkyCuv9T
z8igSigBp0Dxl8G6qNgH10dhvm6SvimVchsPimZAxabuncpJZ6JEqjIyxL8ay2E4KbzK6KyvrorE
9w7RKHbE9UUelEuah1XLynM1lPas6NEHP0aJ0VVRZysHLGe49B49bLAoAjZ7YpXN06hlK3ZVMeTA
POGzbBqba0XLEz4WQOmM67ir4rBrfBX0Ywmc0QB879CYux71ZlfCOQa1qKzuras18uSiJ5+MGpKD
I6fQGccQL1UzXu/pXe3nTTQzILCazty1RZZDupzMkXByJ+i0Ho2ogiqxdyq3JyMeLuIJyBxm+hUj
+Uk/L2csm49QAnc1maehoHY9V50LXb3c+F2+LQZ84wS/qud25YoY6LQypR/jmm1MIyHEo1ZFro0X
bT25wx29yofiWqAFr1AyXqAmP9mfQFf2MmR5cZdVFrxM0mUroOhcSMsx130iUj2Mw2VCxwtpJx5I
wpPDplA3UERSa5wyyDPno7wnUG4qgETzxhYOBqGA+WZL0p4EUz5d8nS+GIHoSGm+Tabiuqmza7f4
O5FSqKZx1kYMNjQyeD2im88Y1FVWM+1Wtapq7bF8u7A+1lOXltqSJNPEwUGRtIl17DedVgQBRZar
Lui9wR11lZmjxNufZVpe93gGtzMvue5GNwMz0UYVgxu8ejkbW3TWkXHdp8sRlpA9egM6qoTzgiFP
72gBt/nYnOT5dERAOBvpoGqaGdihY/OHJe5iXXQcsklFvTBvYaLByCxMFVuOGz/bunn50LA61qk/
XZbID6fZjoFNmy6Mnbm2w6iigkw3EoiHgSQmyNLG7PJaXJkJfZY1PVUjgDo+4tVMug2kx82mnobL
pfY3xlQdKCrk+SXIyEOyCPJu6IAIXI64m9NoHEGeimK6VQI0YVq6DorGJdVViz7YBN8oOna6nBqr
u6TYYjFc1k1/yabiroQiY4C468K+nC5pjFOdm65aQSFORQv30gBjY4L7c8eW76C2f+Vqm604A9bW
Z2LV7Z+Dfep0EqCKlF8Z0cwbPoE6enjaVcSrfsliTwUiS+ew8eLhnHJQu2JK4mCumQ8MbDdsoJQ4
bGvnD4dtyeXhNHjAgqVzEdULUEtQEZ1XKC2GLZTV24B4Bb3pcPvLPDT8GMu8SkBrnKlZCLwvUMGq
rGko8mW8joVrPJ1UpODrjNX2Q27jD+Xk8T5cWAskUkmgIp/GO2bzXxo6D0E+FdGU8jlYqAmrbm6i
mk0pDhvOeabN1CRb6YAr4KLeFV56Zh1zEZTfPkC+lARt7/vR0PvXk52bGwvpDVhllkYFr7UUc6ar
RfFVacoeqsUuPsOd3+nEgvovGblx2FW6rUuoCA/QfTARvKICCnWwivtEMobsAqNwIkyeMiT69URA
6eZcXAmP73oC/GI8NHfe2Bwxnm8fBZ2vkfdxu8XTGO+DF1dEKGjcANMXvoAs+YkXN0Ch99mYuw2D
3ghN+7rbV3p3xq+hpoj5nwItD7MpCGjUZ4hhaBd9OptiY2/5LOwmAVMPLc63pKCp5hQc+uv7eopf
72ei0D0iYDIEDMF99HoUnUYBtY4srtyGdMA6xeAN9+44w+Mc0BZaFA7hf2j1+pxAUTzOFfZnSaFI
I/bvRKj9z6e7S6hVqWxju5k7P438drh0Exi2R9lm9Pwi2O+3KJajpgXv9vrUdI/7H+UpD3MrqGMJ
eFkDC/YMq1V5Mi7ZLO2mLRsaZq6UZ3PMgYCDwgqUFvMNUtPN2E7DKh+HYZsNLditslQ36Xyzr8gk
djnqkwGiLvU3SpVekPVNROR4NHJw35KTKsih/6F22Ynlzar0h4upTD4gPy1DPrFdDy0nweScWvu+
qz4lvg+VBwnu4fWdPsW9D4JlGBEfc7x/YeuZCpHCqNIRZjcpaVfMoTOkljPIAOsfnKj/0olCpWwP
rSR0JO1Zp8f4Ro0Y+nHkXldVwQ7baTqbsWERKsAJWyiEh63MT7oEAz06zGeiQ+V5mkAMZUtyVw/g
l/dQJcsBQGAyHSVeG2s19pee4jvaDMB6grv3K1NCu0vK1/VEoFjsk3ldJqSKJjObox417YXNpw9T
A2G/J4ZtOyMhheadO2LW3MXG59rmBUgRakHrycvuYrd8kEm/WjqgxoFP2qSzv0lTa4KkXPZNFdNR
LrwiIP1yJuYa+AECYyvp/QLluDkQGDDW6wJ7wcPAS3NSCah8CgJ83NNzXITnauZRqL+N+B5OTODZ
/Ipw7Y108/pcT1O7B+WAUi4DaQmhfLK//sjqGzIbUbDZbvx8uGCt2ZbuRw7z3pKeWRoQlISx/b/w
UtSzOUxa5x3QgXbj1FCtWjORgMXLzd7Tm4XO666JtzlhG+WR3RirNBK22HpT/LHNss+SD1aTcmi0
hNLqZsggiKcKvFM1lycYJ3cLH6HMFkNbUkE5dLX4dNQ9WtrjwvBokNV72cHXvJXJIZvNHBQ+4BaM
gTGqFdTwSENSTVVN1v0EpDoi5s63oIK1yU+GKd/mPvTASJ4BQMUjoF9cBdZCrxf0JFw4S9KI0eXo
BzJ5wWJBFopJBH6YQRX8qVAsqbrJzaXd4AIShSGFujC8gwsI3sthzymcgAG4FRaz3JU+r4K4bRB0
MZWn0HPzQUK3U+RBrWE1xlCz6zh2YZ+iqzGraAh06qLzge/iXvCgj/1dqghUvBrwRJUbXSiy+QMi
483SIm2EeTdRQIeqhg033rTOU/RhBiCmqzit1rQY16oaLxKf9zprQD9ZBY6v5QNUWDyWhWVcqDXx
lw+qaoYf0DovGAnEjP0H2GrI3p6d0ZjUoujGwW5GaUOAOJMWIyyHoV7HVfIDiUDTARz5Mx2WEIXB
rWFM5G9ssmZ0poT1dtOQ1kaYty6UcbaNIVIpDPJZHKgk0AuLHgi4qSwDBJgUJzwHANhD0UU7q6rA
lEMNjXxAnJqiBVZxlp/bHB97gzwtVNkGqQK0P1lHQ1q1N2W2XEzFfFSKfTAGNUtofh2Pe5Q6kiBb
0End2zCboNMA4Go0dJlcdSDS+/QS2vEolKLgRtXkW+gZgieg6riq4r7TxdKlh5Oczu6ToNhOLhy7
3G1tP16aDhJJmSd9sNSQ6vnLeNkAU6pnprSiwyXJ8VntmS2lgNYwtIkZC7Xk/X+8Er6Jh71CVv2w
wqxpo70ZtZO/c2K85NAfpAs/98CeKi8oakBLKM5OpjqXoajg7sbzr+rMBxPr4voYal03TdeFYw8H
nBXmxFDIWdQEUJwV7CpLh4uRMh5Q528GC62PQ7Zdynrf+QoGDG+ebiEpXpcxRBaTDKCYYB187E4K
7P+StqPd5tjfDUA5UQIdC/vEaFoasx7rxh3BS8+7omNXpDE/isf8BfMGrONDoRZahxndvwH02OcW
M81qaFouN62Yb2w7XLQI4t4AaVbsg1nv8dd9qu06haE4DUjv3uZt2q3msR11ncFjdUnDvLNZpHIV
yqGhIiw6aGsgRNpITf28KXDrQYKWlzXUBExU2yK5qb1CnVSNSsMlgbjYLak6tmAHwSIoVGrBx2Td
/GHYd1mghlYBR8BhTkmXQ2cjIOsEEkOIhyl1IJAEYLbI+stuAA/akO6ikZCSQr3yZOj7CwaNK9Bx
zKfINDkN6/9l7suW68a1LL8IFSABcHglz6DZsmTp2nphSJaT4ABi4ACQX1+LzltxU85uZ9RLR7+k
Ii3LhwOwsfea5LdrJf2XtlLZQUUEPLZevyfjZk7OTA8ppoOLrknuFhwiGDLnLywJ93s3P6X/c77+
PwPPPqBw//8RkN//GlDwASjbKbL/O772i3vgLwDb/nP/hteS5L+ggYf8K4WNIY9+8np/wmsQY/0X
CJmcoqcXAropLOt/42sA3jC//Cmd/6sOHgEBOUNfihoeg79M4/R/wzj+0tHvn4jZBWothkECUrJd
pv9hX0Wtg0ajEz+yqJrm/BgbDjlkSc3SbM9CzKZ75cSJ8TQAQlo5lIoAoEJJdEXf6sFx4Ac6Rq91
lUuxzocOylN74XPVj7e9UIashe6CMG+im1B0DyRJ0JGUdZry6EeKA3t+gGo67V9hFjDVd6aYTe7q
pLGGFSpqRlwKN8KpTzKikx8OdS9cZwrthVI3EVpLXHKtVLReA7UY2j/IuGj8zF9e6f9hev3IhsCf
QPOY5yLheYLXB8PZx2eU4qyaZSKzHxWUr629mBRK6QVEoaNLLzbAYY0vt8YguKOnVRNX/zDw/TyW
/3OO4vNhekhxUjJo+jCO5L8c21vLMuhOk+a9hXwCLgBogQXm2TyPCUBMB70FwCInp5oD5OFkM8O9
x9mL1jzie6cH2F4OYwfPgGUuustFZvG93z+jj60Fh1kDoRUw6cL1wOGF+BWnBfBIALYx8p4Qt9D4
UG9pndpTn/GJQXvjpiR56QStpsvff+4v72b/XA5XSLz7OGAW/PVzwS1qYHEse69XrLmkWKjpx6+S
V/EAcqdt5ubTUMkJuJaUOka79fuP/ziM77eNIRggeJxjGoj/PoyLpSE0SPZO0j61rBSeJuIVGwl6
Y71hTLhrSKSjW9bZdX7sRko3WYzw1+Oh/P5KPh6QuBIolGGdExnEA3ga7JdFAu0vADkgVN+rfBuE
O2trVAUIE1L3fD2vmQt4K7//yL/ffJYC00nQ2QGaR5v4cV/IVFZ9u1L3zhOPXX5ao2SLupNwfh75
sckqnry4GU/dor9N0+RFU6Bu+XFpNHww/7AQoo+T9P4AoEDCLsFGBeXGfp0A63xrRW4m8iYb6KTJ
BaDgfUOooCXyZ2bf8o2jmRzX2BQB4ghclWionOFiSABlDiRyw2OupHLDwQrt4ge1NMP49vtnttfT
v+zlFEMSppOdhk9Rw9nO3vy13s6+yhy1W3gLDsAsLejcUTwsGjwTwO8dW8ijgaJz3zQAo/cvjann
/+3DiqIEHipGE4iEGbxev1xGZuNxWsdEvw29IKjhLaoXBp9lpdMqrlklUPdHUC/dq2rFgIrqjHIR
0G3SEvRWsCGwn5V/hWYQV7j1yzUPnYHh4/ePaxfk/PK88JBSoIbo/tD6Jb+cT4H5weTDxt6gBksI
HAfTaPr53m5TY4bS2xXdGYSjasH39GqVXtGHbyt59MZUlyOkDi0EjRvUlGilLFrkYgD9VYEGEJT0
D4nK602VMcvDLvIj7RoNVxD+wsmF+aDyaIz/4YY+DkWoVAiwgMENUiH4z0AL74X0L+ABVuZgF3gH
XlKhRStKQ+GHRRdbzXnuyghABkp7tf5ZPfuZ43vzz3JioirDt4KfWGJPs2f/vKH5r1U8hlEPHTY0
yYgoQiH5ZVl0oRtVJbV5MQ67yB7Z2GX8No4kW+EAgePJFnm19NuzkmFd02KWzluJuT72yUNtt4pc
OMUxMjgyj8kd7ER7gxD4ojDUdrPYX48e2d6erxC2Lg/Gtd32vPVJh3GN9v1+aDV4+nhBGP4k/pDB
ZIABXYWAd8fghcGXcaP1lB2MGNl4StJ5f3ddqBs0GPbnx+dZTYBYZDoAdYa3LqK48oYMe28wGaG6
1zAmA5CMfHHR8siZ3qYb57rKQRmqHLwfpK5UuIBDxNffBpg5+PNClwiLLM1q9BkQYWu0KL9fG7+W
cDx92B4hPQOSlYA7/WVpsGoF5ZKb/gWwxAhtQojh4BoLr1vdXwI09ygUv//EX6tRDLkZcACc2xHa
jL99IiCQUXrF/De2zfti9DPfy188wpdlT8liRfJStWzDIvTxPI31LbD9FOv095cR/3rnDHQ0pjuQ
yKChObrkj5sCmvnZArJUz4oPamLFBH0r+aGttKhGEh4+6KNBxzT3CyApVBwjha5BAU/xosGNpL5f
oOas7XVfZQnwFwdPWTH6KFkepozQprRiC/oai4hCCk951ZiCV0m0b3ZJsQ71ItFdXFZtN+07f+GC
fYpx3pu1YJ1jYTn//o5/rWsZIHyKdgN3vVubMRN8vOMOlsXB2zF9WuaBookVDrDiNVSo+7rlaLL4
hYx8wLIN8KfiSz397GxJYvYlDReTj6vHKiT7ko5tsyl30ZiY7SXSAoiCF7BfzNhA9L522HWVV3tP
Ha2Zwu5MI4tt9A+39LGypWjZUdfQCoHEx0QB5PzjLQ10klUbTP6dtrCbvXDgz+QxTjqBg80xAM4X
i8+AOZRUcRenBbyRWGfAVWg0lhP8EelT6+lMHv/huv5s0P9z6Aq0hsCEc4xNP9s1KBY+Xhml2K0p
5NRnt4EGHo+xCHuPOlMez/qPcYNWNyn1WBs/5gUMoBIgyyTqKVLXGGWgeoAXqwO+yG5iHoaW3qtK
1LWGxMyjU7irQtNFYS2rGIXo22itsjX0/KAP7FH18xZPJdU0GdUhc4I2/Q0LkWbJff5nle+SbCHs
UzWoyIbbrpZLjkFqhkYuygvaooG/sFuSNgpewhYev0PfLwJ7MCX4MbCusB7gS93rDNs0AaOXvMS5
k/Nl9/NpeqlibO2chBWLwy8xQXOk4wzqZlCMeNwRZq45vWNjvx9EpI335sPgyMR7oyaLtgbmy0lF
EAmMIHOaQ2LSvp0L3QBldGVipwSfT2FBI495W+O/qLcez3ezmXXVKbULg7uNki6JjybT+EjVhZYt
VxRrGEbhPqgRK7UPtm/7J6bnNmd3yTrl3Fy2CSXxAgn+4lDk14YBtgTDsY7MHiS0+jnwrDakbFBF
K6dMVyWZde0pZJZwoIv4PodAIPXH2gLPt1/ECg+G/kLpute5KuponNzpafQ6+dIYYP6w+cA8xfOT
dDaK2lJF2ej+WNPYjtmVSIKPXyIR1gnuOOUr83nI87aLj+0wEgpBIaUJ9N/wuqPDOg56xbs9+BBv
boUSJBg4sy2Wu8jgLVwrf9Pl4zRuBZoU31wNJM8cTstG0vHMKZDaN2j3u1UeKng7h6FQ6aDc18Ha
jMwFVDl7Ica+39+aRZdUJzeZamCjOA2yT+K5rMQc4c0rziu8oHWY9v7hz6XRN0AjXoa07xIYV3PM
SQYSFpqoqHBjrVNcRtx1ceE7suTAMp3OHs2Qkx78s6hFIevaP4q1AfS2NvCfN3xhFw1l26VyYbmY
Xa0fUpeAHMqFvEsbcBml5Yv7UmFRX/AaPuECu0++tc70X2vaQNGYR9B9Zj2bzhHUSKWPB3GdGfqi
O2zHwZvkJvGNOaRcQuNhKXGnNg382Opm/rS1/USPWLnTMVvhD8WKTdR3aebHOOLm2nFSX6tlnMCX
8lBiPKkvFj3nkGH47HNqpEW3ZxpE3Njq0EtTA7kdhoOocnuVbbE6rdWA3mCAbgH/dLYOJW+H9ATp
0XiZkVW+uaDnc7zK6t3mXX/uQtRvxZq34iRbqh8NT+Kt6Gtqx4IwXT/5sGWvPRkE4OFZffFZ3Bxp
PFH4gHPZFJoQdsMnsZ3cNA4/xjatPlMiGkyxE8vfI2hnlyKNTPSwxK1sTmYdyDEa1fQwLny63EvB
YVzDfMVGB1hXKJ+VVZpXMvvaLHG+XqIvnb+PMW+jo57NBDd8o+RaAMTMfmSTSNWBVARK0xxN6oFH
U/s5LHChCHRw12KcIgv+XupX2o7mJkA5fz0m0b5CK7GfrPXir4Kbwy1Nu+UyU5pcNR2TMaiUpn+P
vGfw320ZJCMT0KZv3lj/wxISyriJttdxbHWMPtMAVNq2EStX9qaHJES7+WA234WrZK5tXdDINHdr
lKIQKxPKxbOeXYEg6g2EzNadoFiOr0WvQtEy8Sz8+p3C/3THI2yfZZyng0otbYo6qCU9iFWzI0+n
4c5I7r6tBiR2S9H01LDRQt3TdWXa1MIUZGb8Ff2KLljcw3CNya2IqZo+h2joPo9ynTqobKb6yUpI
kB3sTRB2B6hNq8iZtmhxfTiHs6TqsPGC3EoeMn+fx6MEd78tcDMrAwFMTdXzAF1KYcwSfc41zy7h
ZslK+CSrK94M/HXMknDTbpFbCgNDEj60mopqJrZc67m+STKiYXSKuvzVEUgXDpk1ti1EO9r7xCfd
CYU+Scq82dKLKdLyHtMbOn4v3VMMD/N5mUN0bs2SvDpWPfl2a582q7bsbA1fi9aq+seKB3KWUzrP
Ry3o+jjBagPjP7frddTVIAblslwmeWfOFtwdfJAQGcHtOOVvDKTxl9ZV+m3Zlu3HjAV+WFId33K0
m2eKk+Jgg50eFai0QvhhuSFu7F42qgdQaFGFeX3e+J1cKcdZFlCRaNtkBKd2l1yAH6zgNhracwc1
1BMmfobrX+KriA7s1CZs/Nabyt7nUFldRGufPyrlwBSNrT2GFCW3aAfV3A2cTldu5v5+GCv3xWUZ
/866BcUhtutyx1eFzWOZ/wRedL4OLvWXjQf3V+g5G85VovhB2gS4G/RZ+eVGXHVTVdJ93uJMPmWo
29/slk1fcODXF9hs6e0WkQmTbdKc+rwSN43vI1ZOKu8P2bZCREGBUJyQa6Dvuy6T93WA/L3EvEBP
zrf2m5lmXoMO2SAsy/l8jfEVvliiNJR5W65Qs1U4srTLLiIdoOyHl/5TttTsLGdH3kkVA5m4WQXf
GijNVQCld0hno7LsphNsSacjRT5qDyIshxHKE1Pf53PU3xEw4c/95F7xM/WehRI9jwodTDun7V3I
W4BywkTNVa5N/DKTCkELvfT0FgPg/NTEy2LPEvocXuYySq95pV12yqkacgi2MnPQYeQgCMGDHLJ8
UynyOEDvFIpVw50maHSvV2JTPOuE+snd2Hzx/SkKLvKXA7fqEwucfE6HvAExE5zURwli9aGtm0Ud
XQ8R3LVqOt0ciBsEcLKqisg5XcZxe4DOxc3yvLce9JDboHvd4alpX+8MN8zIfRml6FxK2P6r5bbr
kSxQsjmqv/h0g4xQ0z65AYhTRQcfoUW8njBxT8+ikVvmUEfA4QhoZ2g9YNi8WKYkvUJECh3aLyD4
q3hB2oml+XwVo9jRy4zLZT1bmF7dQS6jmB9zUnct5rK6z10BdVwNvSvheXhsGGYpaB95/1mvoI3O
PmFrW9LUxvTG520YythZmt6mPcrpAbAJ4hmGrblqIawtYZvqriayhrH91K8kyTeGxz/QoA4QzKhu
n91NLECcT7zNpsOatEkfF8M8auyHbBstXBhrrI48mnt5s4vqEIYymLCV2xTsUDC1bo+Y2iEXGhou
9LH2wt92DQYlELNNuGA1VF2HJKMyBXDYuuiyq52BemEWKawkPqxfkime7pCPEtJStRUfi5R3zMEJ
XifPkSHufcnRmjBn1visdRWxY73IGEpTtHCS6HIad4ACSTwyeVgJ1ykaszlbm75EJZ3wFzQlTWi+
owjZLDlK05tC1DYK+bFTyG6WRxMHLcRtRJZkfmqzQVUXrc34a70sLxtsgk+1NC91buCixJigHr1P
22OVVe5McXhQFInEPUL5s133a9zfOQZN7yJdXhprEOsC+RfdTSdCPbqhTw7OJWsxZw1HfV0m9X2q
q+2U6r4vbB2qW9PhXCmjMHp72HDY8Pt8lAwpOs7Blrhk1a6FxYIpgJL4d0gFu8/Gwst7HNO0vkGw
n36c7TjVxzmA9b1MBlWnBVEhv1S6RRrKYPtTZyvxOHQ0OuaT1NddJcht3AUOejNZSl2PtOxyjEWH
OK6QxzpDY7iFOO4LmuIQPiDAx0JXGyUIeOkyP10a5yFWGj38pbarET2RjIspoAxAOogGTDZfjglu
7rhCHfm4Va55r+Kxt+eWyOXgsClhrl47d4dTHod/k3QQ2bboL3AJ1QNOneY071rseTDyuW3q6AW6
tnAKXZQjJSVXp9Sk7T1pqSsRsSO/0kE99S3wgRqD2ymNq/ab9vGkC8G0/sZoBUN3zKpQVC60GbJU
Zn5VGfjMuppWJ94EeLxhqvrUYiy5WnzUfO8kS1+6qo6+dhHzSCEY2EEYCxfTWq/POu1j5KTkWzAF
a6m9TaqKoW9FcdwXIf/OO4VBbB3UfmqHeHzTS0YayEGbBieUwshyOYih0eXomgCdb79Bb25T30YI
UEAdKRICp+ttb8b4DR5b8NEx5OAQ0fepzMoO/245JAnWhFyNuFTJHKcHjPBLj1QdHN9XyujpXwZT
myw7wxh9wcHr4YEimUfwyQRX1mRactFYET8lLZenaFu6GTYsYj4JEdq3GUoiHA+YPOFXruKh0JVg
N6PI3LVZtwjOLohr3U0YZ/MGTX9oypE7NLbN0ofv07Rir2BTYk6bjWD8HUpofDNvl+U4tAucZ9ZC
u+ubsKGZB5j4Ay6CpTpB6jxd8xXzW0HQjkyHvrJEQMutgATTbRHP09j331KzhLIDgHjoKbH0bvZp
9DhhystP1YQerkgmL/uzR1N1heo3+GOwEuFBNuRoPd02En3HpI8IFEE7PrNCu22ODolfdWFHg0VU
QlouW94tiMNKjM1VV7YdmjQI/jHGLmW12iZGT82Gavs6jPPQfYp15McDpoqqQ0nLE71B1x/Ndb+e
CY3bgX9KZlZlRRfZhr32ABPJUC4kC211wi8N6AK97aROdF5i2g7cwEEq1TiXKQ5csR5khHOrL2Zg
/Hw9DMtaqe56zSpAOlAfYwAz9/0CIpsVAeB/Pp/cbGzzta47ruuDx1ZJF5RvxhC8tASrE2QRoVcb
Lmc5E/XHaKH8FEeJCDI1HIVdo+6xojFJl7MhbYM8L7dyQtv7FrQy3gMnemwQRDHPgw8LyA/c/g9F
oO/CcxzbYT3kRgbxVWDElY82YLW+EJMAP5j6HDADiaMqmGvInSgmYYE6jkkY+3BL32te0ZCcgbZv
2G82glz722y8JLIYMr9uBJNttZvUmUM5np5nCUAhu5nQUIY72uZ05eVcj7PtzltDke9V4siDwvWN
ZTMSuQ4Ccot1uGYzbm8r8EsP4ngsE+DRqnpkEwSXyTEBfNmwKzrPFmrtA2sm9DiYHWp7MkgMQT0m
MGp0oq9vY4mpARKsHBVzhbB8nDJ+bqZUras5Sb7EDMkEA7qR3vNjPQTe9EfjPdc5sINBZzcbWr/s
WCEMqwIQulS5Qa4Rtzk/puvG+NkhcOXZZHP/RDYNERU0+jQr+Iy9A12WVO906NBlgRORrjvqZITY
ZXHxkIZii+30GTTyvP7kXq5yyILu4WhcLpidmxtNK1Z2cTLfttG6qqNharqclhxGRugIHts8+PQS
cUJbWrDBrBxKLd8NZzfRGFEPmUEAC4D17t1sFObXynGF2Baco/NhYtv6MDbEBzQIpD+iA8WEWLVG
iLNL+KQOkMWEN7JVAdkNUe1t9JB1TScO+NUiw3cHnaCDfGnBaDBsBPoy6tpIHtFOuPFiltBuvtck
7IgLOup4KLdO1iew90tFTmoGifM0xzZH3gjlWh/5SseLCNEZ3/ql5wAs0yqudQlAsYHuZ03X8U5B
iQ5pPhXz9HXckDSAl2MqJcshyu2CBimKrzl08PldjclbFdyiD78NZuYB7ocuRUZJAg0nktJAcMwC
lFu2IN9mhT5pnUekbojcFimZ5BlsFl5MGmpSsJDZC7u7mcoZgNnb1iL/ykAR+nkmVOM+IRZKIgNZ
MV72gedVlh/bWfsfpN2bgq419Q1BGR5fMFx6+TltkTKFrovFzQU6mOTK8VQ0byiREJ2yhbcP2rPq
NihSv9cuwpPP/BYuJvBXQEaQnRYK01D/lAWBPAbXS9wCxA3gD1KlUU1TBQqrE/lDBPgwPeSt9pcR
QAskjbC6+Re0aVCXiG7kFwNv29LCOP1oqxqBI/FAvyZujIo8DdtBun4DbzMiyAKs+HoHpU3cHOJ5
XED19wNok7xZ8uWyThwyXhBABmdzXUHxmHnk9BXeYRouzZCu8SlGxlJaUAa5yaFeYBIARgMWrCkm
k1ZIAaxHuJ/rYR1v2WzmmzqOoF+nojYwi029+eJDOsF8Mw24S9Ul6Qt3MqvhDpH8kyV7xztmPIMT
g6xrU0DdmIMy7WwjDzjQWw9YaPH3mwICUGyJMcmxWyCyRzCMao6bDfgZqNzHyzpQZRCmYf7woxyO
cTWG0k9i/ZaiWizXYRqcOfR2yR5G4aYZHycEYl3gFbtiKta3rK/i60z2XfqWk2pVhYuq/JoQGb+t
fdNdBWLGe6bGtkSgRfwKrnQeEPeS5muJXDjEhqXwXq2H2a8wtPYum6rjLJGRgfrrWA/TQ7yK05R4
8UwgdA13QK6QwOK4VmvRI4HsW5MP9VooE7k7XeUjPaZerBgK8hhcl62oUAhqa+WXTgTnS5yb6OrQ
nx8kczbbn1vyyTMPGJrFurrLoJCHrc1FdbHM/Tc2Kv3VTVoXshmAPU7YNlleL1jyvftWE4/ctg6h
ByVB53HrZpC+I3CXl6GeyaVrsakPrunST9M86atJWDCALu1ugAukF6Si2TMQ4ybFMqiTNxPDNh44
HR8Wt8aX3ah3oeiSwUO8DlRdCgQ6sSIdx+xiZHJIDlsOW02hmjycBxEv/QM0VM3BAdyC6WjkvLQM
6UBoX6LrYdXypFoffZXI3vuaV1MEd8WMbKxNdEeV9dUfEEXRAxd8esrQ7p8jXkVvul66rxQ/IgoS
8OBABH0FE5tBJ0qas1km7LpsftVKT/fw8a+wWkyaRtgH231eE8TSuYirM84DCD/nbITqORXXQNHI
jbex+1cLsOOQBQwqFomrcDTKSD+TrOePrWRclRyo/qUxQyR00fq+Y+z7OgP9d8fOAA9ybzigOrUc
QLKB2/6KiVYr8+D4qLmAAltaVHkEVOYWQiYLVRwocMRsKZj7DSTY+hNf113G4mMwePGBaQp1xyWd
JeS+l9AUr9NT1QQvvouB6+6i1ZmaeFlxRycCoafg3qF4dXnykioFaU6bR01CD8tkow1tY0ZXaLW7
xNFwOa8BKGaRQOd24sg6zF6SAWGK8MWZrg896pgAY3hAnzcooKRrUtdHa3mtl8vQoY1vT2GFQg6b
BjpWLsBzS6N/UEvWPQcTsH5aH0fj124P0WzqDtItWNAikBtYgxY0CFKVNmo/LyybMMI0LCTOPWuE
vC7twW8iw9wHIrkJ7V3b6nHWh9HjtydER2rYPNq3uduWaN2zmWBxLL3maMmKzUhUhguENgq43YFY
73fCk5rm/VnWAcmd/5pJvcWiaKoMLrYCsdxpEq7JNGJgvm5XRDIkZaA54lJPv6fnPgq4wBrC4IA8
OsSr7L/iBdqYj9wcoLJsorIefihtdkJjaYTB2MPE4EB3j6nksysRXxFIXMoGcuzxHy7gI/e8XwBn
CaRTcCuDJQQp9PECGrGCma6b9L378wIU1gnWn+ryHiuOaPBi/8CUxh+ZUg4ddAaaFCSoANe9Z/V9
/EgLtmrT7RDDZiEZVAiTqXeqdiJs3kUOPxUPcJytYHErGXYxRJxEu/jCGQtJDpERBI9REPsfaduN
3Wuftyk8vR4cGmbAFbPhXWUD/lYj2U4Gr7VKxlNHUsdOJnMLG8sVyhoQw79/m1CfftDr4NbgLeCw
FkQZFRzKuI+3NmG8TvtZr08MFQn44+QsSPit3xr9faJZhykQqWt2e07jYVcSKaIjUNchUX29HjeV
RFN9glV29k/Q8zk8DuAmDDw9WzboLoaG5CDjue8NvjXOEJhcNDEWBbpJaLfwgc2EQBIsFbFGeBQg
SvAoJuQLk6kUQOjAHu7uDfzfn8+nhmike/39Q/i4ovB6EwYdWgoXEgS69G+iwMhvPFkTS74sKtXQ
UfwpBIxlFpauhAYXq/2fBBQ7t/4fhvvnR8JmQWOKxgws5a8SVYpoXY5kn/TLOEdYIRhgJywoqKTw
fHhruBbHyhNgqUXSM3CfF/1SDRB3cb4rY7wL/XSfwu9TIYAFUXyQTUC6sDwAIMXfQrMHiQSC2SDp
+fdrg459wKMMfTZAVQC9wf466i7sLwKj3l7O8rUFOUtx5OBKBGbC7blLgLv9kzqX5+xvN7/LZSCn
iBA6+XftKYRzI+gSoIIYo5K+KmD7gQy/8vBJ3IF34wgQtNIlJoMLPM5bCO+dbewV7WcWRIFsWUuu
kQtG+C269ZSh6QQ+/h1UFb3w1YxsmC6F3v+dt/3mHpRGSPOrB3zhP/EFoeHbIWuHHP4L+F34CAeR
R+7unbOyCogxVFRFN4y6KD9ggMujsg3TDEcuPJt2a5GvvDgQknXoFmyGZXN+7YtARMvbUx5HM39M
+mnlAC5CNPv5bHIvowpKt6rGmCVBqvd7Ho7fNgiAsRQNDqEVTSsQiDY5LTkC9g5CkbB98YmOm+eZ
9zVmUT7FUblCyauRA1dPY35AMorvyhrT6AWK5HSwmsJ9UCGsFkF+PpLxCd7CTNKj6bTiT6tY6o48
5TiIw5cAZcR0S8ZpIA+gXtL5XcDx7J62dKkHDXJKR3L8nIet785VAx34aQOdpRBs3mkWyzIFmoKE
80gBRn2XMVjycMBSWe2PfJ68B8LWe2QMYsgYrMgOUEwKWLIrBWjqDkwx6bozABZgg/KHzAYGB0gZ
IpY5frsxvWBJgyMbjYR5nE4JEnYHbkx6OedVI/ubQYQOco12qeGMuvHI3W2aUwVyfxYP1YDJ+3LH
turshLWSMIDQy7ajDf2YNT4HvcIT9CwSoV3teunrkUiYYRoFXQ7AUEzoiDwyzSy+ajIDHrjE4vCk
Kj36bCixZ6SV4h+ZVgYT6Kc+TlN8mf78Q9I0Pb5Hc+ifQfPrkdu3bbZ5DFtt4oAvXUSBkDQt11Z0
c3qGLiVSyLyEwxoKImg3kLx+UzOBQ+U1VCvy9MtWyFzUn1ZvvEnv4axHp3ZKO0Zic9nNCBBfPiVg
Spu8sHm+q7dTB4tx95zWVUU2zK4IwayPZLUo2beo2laKa8Iql/Y3UWObqL9HTiDGyiMUGX6sj/8j
EGHxfknrgr41PtJaro09UCDWLjsME2jt4WtcA2uw6Hv7HGN3nVkkHkExjCcbZ3ODE6QESrH/I7h+
iLuQCJjvfSCXI+6+NBLIanJqpd+fGOuRwZkXepQTeRxUupd8vkx1lpb5fzN3Httx69gafiLexQAw
TCtXKZYVHCZclgNzznz6+0FSd1sltdTuO7lnYK8jlQsEiLCx9x+GtmACzGRrbHS364zPlU9dDSm2
M3xVrAIGzpLGp7U0NEgzoYOuXo9RitCUn410VOOco39N6KZ1Ws2r0HIKcuIXtQIPbGYdRWDSloNr
TAgWRm4oO403KLqqu2/jvItyxksL54LK2yyM8cKNHfXIEW+6pDTCzKIFi19VD742qglm15p68+S4
+Bm0NzU0fY9tFqng1q0GnqHPG5pdPvenri2reoCaEPIzCfLEvkmk8D1rKQYPqPyidEA56evn2ePP
jYq9nVhTnSMB+jgYHbOmXj6jAT05K9SRaTUyubD0qNZunodae/r4Pwb56XNgqlEocUwKiM7SyMnZ
P8BVKqN6G+XWRKcrc8Y0lmw79379BqhyUHgL+fSiipnQnDi5nUCS7MmfTITkRkIFzL7ysq5glHoz
S/mIiRw+TwUg3EcBO9EnBQ8MkBPih4TaesVl93EEC1Rg6GH11KfQjECzQt/M7cHYcVVROGb96dU+
TQ/q80jLr23uz/wlnVR1frSnkHkaGCR3CCREaPPDqaCWFt7NWkTpCBRPaKnhfZpIczd1PCWdVN9i
RDWJIWJbx2J2NW2oHv1pQLV5mPmfIrUK4aw1XeZJvCcgd8ZyG+gSTef1EJG36c+fIFZlM/B+ox5g
0oNhBznTh8R6pjpf98ACrxoweuoLzV79JXr0chiRXFfLIZulev68s4NwuOvSIA0iZPKBod2ElWUE
1i5pJsdoz6ynuRLFjdc62+chJwNf8zjjExaLE6Cg8biMEs753qB+rd8RucVuvyorrYUTrjeBT+My
DslRU6coYYGkZO8J85/QSE5BcgM8HucrP0umzoaVmRAsjtPB8pp0LHYtJHzUPlNPpFm/8BvU/ffA
hDo+H5K15y+CRpleZlXHnxOYOPub1AcDDFsF6ym97Mm8E9YPdUzrRsh97d7O/RFInD/Nau5TXbDV
7c3ivgsOqQ7Tzl2nGUdsth61nIwFF3uOqvErGK+Y/QbEXZEku2fiDamgsI436NeDDP4xiQaX110Z
hwzH1npcM1Xhpox6Q1nen++t0C2G9g78QIiCL8Ub1fXRCxqGCP78nNAj5BYaubZnDCwQmSWVwu+M
sVSzBmS/muJPTBO3SQb+tdGZqr9thCwSkEsmOJ+vIkgjGtzZmey5h2pQ7qHGEE12dmGRiuETNnl6
JnUvuwbuwRMcfTZkCnSvywHwmfvAr2a+Y34iKfjc44AQVlIkXJDA0AH2zDJQpvmyTYFwyzOyYGo9
tWKIoCsFiduyVVq2T7bmsuEizzBT7FWD10WWAlWbHUIs+XWckiEi7TCl9PLrQHjmawgMNjWKN5i0
KDoH4EC2HyfxLZu0NID/yV+PfgwGa2MPpUxRiqVcaAvQUUCBvyHFbFAU4DBUd7pZEzO9orqpjo1M
+mrMyY0bTL6nkYxbynKXVqRHwBO5bWe+c0zmbtBuaoJpLqQzhRz7G/st80sbUGSZtrHQVR+A6Gls
/s+AvJSqAQ0DHy2G8pvtTWFlPKCbY6eXtl2VExVDk0y89htwSDz6pBA8K5WLJoUpBNc3NZz6Hu7G
kLS3elDFQQCab7LC8dPgENtUP70+6ivApj7wRGU90fWZt9TMuUnuZ9GZArVvTgeqKq1hFMSUDtar
iCMyy7PYM5c9P6QuA/8bDt+4eu7J07usSrA+EqyXpQCj/iOi8xly6lFfZ9YR/avFGzWZ+gTIAcYM
awj1M2noGp+gwKk+6Fud5BNgnBULLEr9kqUcEC36l3M7GeWaMqZK9vBU6jfPU/YZSiod9auGOMD+
prZTLVjW4wRpd2GYte5ed6ETDAUaVjlQRjHhS2PuhypXqzzQZlULamDU8ZcgLGv3AC+Z30KHqXUJ
w0M9efKIgvSeGpK1x5FGuoyX/XRjy6N4BqAcY+ggjsnThgXKQ31z5RqKtqMhAq2eEZlLgT9KkFVI
jQL6oUTVPeUx2gG+Y3+IzECFcaEYacPp0QWE1vG44LQi4RwBtvOI1SxNRchcUQ9Tc9LxZ1x/FjJs
yDWtwzhVcNqnAYExoza9xLUVBlc0hoZ6tmmljvsBReDkQk9Cjv2BGUwWnEzNKwJO2MK2gtlj3oRF
YfPUThCMrIahYJtFEFytIITS1Orqo0o9+/t3aZX++eNiq5onOUNl3pMSLZZTRgogwkIbGgdQ/9PW
GIPpVeMP/ia9fL+pE6oRq0kHBkdbgPv501bX+j+YOYOboLlLKPmPOaIn6Mwsq9IX4srxYPexI9uh
Sk51UcwbLihWs06eN8f3n+VlCkHqOvPHNchI2Y5lMc/Nl8/i9xaGQCy9G5U3s79F0lDxOBllx1rP
BaHzR+P8ukEA8iQOsG7AgUt6J+D9JKx1I810/9NTmTVIOPH3ziOY/Hllv9/BEz1O1UNYLgifAiMz
DYh7Jw2OaSyCvE3tT887xgAqikk0AVWScjOKxgV/WfpzfewG0EurrMvVfv5IKtAQhec8+uCJXs50
noirlOtxeIFFJDN7SiCcPF0bnMmqPkHbV4tqIK5jjY8dlYdqE7l9xCsgHTmxMj2Lw4HQQgvVg5Ci
rrp52Vfc7DcSzKLkKAdgjZQcmEs+zvrwMUxADsOqlsMT86982mbf78Tpa+TFCR09akva6HG4p+JQ
nLtVi81Wfxk2idqZMCdSu2cj8+44aW73kXLtW+1JnRep/kPF7ITG4oxEI6ard5fPx94Y4F220At2
1gIkeRT8VWpN6pCjUOamf6SK0fY63Q4swHRG3kcxx40iGhAkq7fhJCnrIm8qdWC8P6Av9x/ys55O
PpMVCHNfkNE8yWcCFRijmtLLDrWFOkF8OMsc65uNVtyHS/B1U7w6UtC2K7jpI9H9cs1nvplNGF0E
u6dQpJdkR5hHJqoVz2Thv1Jz+HciDC+UGv4vXj3/T/RS2Tr/Jctg6LrFFsfW/+81HU6sbP/p3vP4
z54lHTCfJc/Kq7KQB0NFQQmjPium8iuykSoZaUE3MnSP9/gPzVT9f1iVltKRNySiX4qtDntI2Rta
HkLyklKTMs0BmmD/lZD8a1kxnehOWqhEENgxd2noz7MMVkmucd2f9hMVlPssDn1zVefOocuAYLhl
RmpTWBgMppEL2owQ32vqXUaubUvufgc74Ka3wdpmaUmMWFvn5JwTwJL+Mq/C+84Eo9K3sX9WIUw5
DuOB68S5bPLPRoxIdlaIz3UCXrmay10JiAvtgWwVjc7npu3DRZUZSEqPztDcgV/u7zyZRMFexvnY
3UH/S7/3E6DQld/gusedrN6AARPaNiNGPcsLUC+7BD+fPeu1/BE1NZqOSeJ0GLqM4FoR0TTdr6MR
TeLCy+s8XD3OhL9aOP/Bmvh3a+v/yZJ4sSJU3PP+cojyX2/8iz/ETZA2oeZBPQu3ZjXd/6UdrMS9
KSoaBhv3n+LBDobdbHWu48HNU7y8fy4EYf0PUYHDVq9TPMGm4K/0TU7OJ6EE2tR6w2hUaWec7qk4
NAmrnbR5V/jrCZblRK7t6o/RuH6KRf/UtnzdBFQrdBfUWoO6ZZxs2/7QpVpgevOuV/BNbJu0CVU+
myH95xb0X7SinuKP4LTGGxPQAK04+bdG+1aMv1r5QRHpo46cRGROVIi86Gmim4+OfpyiVTU/vN8L
g92WB/1XQM8B6hKXcKCiqYjGCwp3LzvSoNTM0V3VO3QHaqVNrA9rAEMmaBCalmTdPoF88VV1xoe+
pHebsbHGtR3DRpnGfthGJfVwM5wtYxnNTbyqW+cIHL2XwOLH4dyr4U9gNKmvrBYKj4Hp4k0Ejydc
OFkX306Ji+pZ7MQwlnpn6cJ1z2AZYH6AMWFhQF0D6QLQKtRBjxqUfjQnBEILDzipOuo5ETpXdt3F
+5BK/pnuzvZXDV6egXzvFF5Q5rfPSKehDaVrzTqkbnbWBlk3LpKxTZGaTrrzzsvmuwilrVVYhuBG
nOqHbWbOwY8ya+1qVb9qnDnbCrM5F6Bi71CDFUfqUMZW63DdKaw63mOvBHG2M8QGKDV3MqKwC1dP
4P5agMkQeew/4efHl5B6OXcoTawLPCLhd02NcQHMmPUQ48sVFF149ON++OG12XTsZxAES9sfnaXT
x7QXzb+G3Pa/hGVXE4F76XwHc0ha4BCMX3U9UnyCT9f+1ipkbpcjHLx7zyTfvRntVhx7PCeWjhpg
CsUXxSRNpITbDB7GJO1VRhbwHLyihTCfCMgzyBwRa54vway0dZZdGmuXpHx+UTIUi2Fq8Tqbxzsx
m788ym1fR1MGS9Fp0ZcWMulenyqGpCbLss0H8Wtui9pbhEM1g8rXIYBhLoTYtj8D9dT5vmzkOeIR
pgMUt+Y+Ap0BDbVyzjK3Cy9KqJ1rS9bGtmvAxA2pGT/6ya7Iz9ebgYB3i6oJctHStoOl55ODcsdJ
j5dzij+vnIS5mw0k3WJzRgu8itvtkLnAUmTc3yTF3N0gIM6Ha69hYriRPFL7Lkg/+8mB+EAsAMZ2
6x7F5CvXYzgX5GT9VVaXpkIXOpctHI54H5t2tgH4B0VspPjiwwzzjU+IYAfHSWXUKTQkgPGGSF6Z
qRGD8wgo5Ynaf/AJGTxmieZfmoMHZTYJHexuhYHXUuz74grwtLlSKZwl2GpxmMq6Oq80x/hkZLMi
dJX2ta9Z2paimnWNPFJwPgh572fVfKTS3gzLUfY62MPKNvdVjYVH140paOso9B/aEaAgCohFu6DK
r21h4Li/8b1yf8OCaZeN1gxn8NO9h5DIfB10lQDxx5VgTX3RW/iFp8bDB3W8MubxJ4gZRrLpEV4O
g1IHoYkVVMYd9zzF7fNWH5OZ/K5rAFvWpLFFaLXeykEMX1yAnt9yX4ZHrHb1XR+h8rwSHRh0FBx7
xKegoPww4D0fKmxeL0lFDt8pqeQXeRd4V6MxW7ep18Kt5E6uAQ035BlMnOkalNGMq2ntXsdRnX/H
qHY41tM0Xo/Qky/HpkJ0enSmi6by5Bmw+nxrVBJ08dTaNyV1wFU7T/OuGjS3X1Lvp4HKUJtXavrt
sZ51B+YkSFlnARhaYlFlFdjKDvpvEdktFK+0AChd9/FPOdvgVXs2oUTD7JapgbI4EShU0bLZtpCY
slVTgnjkVBHrThdoJwy2qkgDW76F8uoHi6BP+U7pg8GLPcfHbzGfDzxtcGsaxXyY8Hw9k7Gp5EH9
qFrG2OLCVCC/uCe7KzcFgo6wdQNvLxsPAKc9FutSD7RtHQIQpwOwFJauFcNj8XTYZVNd77Ua5Vsy
aO4E8sXX0CjtwMubOk57PfpkoNiKeVyYOTKMeVpXD0PVtmxjfXJMKSlvIdsiSsgu8C2KvHld9Pis
tWbc/3LAAG/MwJVnZm7k26GIUjxaodN/b5LCeGidvAGl6EWg6xDju5+acbjyDB3laPVxM7flTQYt
dD+NAXTOWTrDFUrI41XjTohIuigsrJnD2E/CDF8JI8jqxWOT0VwmYmE3ol92E6aSqjqpP8ACaD47
Y9usenSN6wVZNG0dRfZ0kZcQYcwmMD+JfPS/Unku7vsoy6hWdvlWytlfR7OBJ62mZ8sBehjAgA6p
yqL7Tgms3ZMRwK45IEmO1Gai79CKgH841f2l1wKXwydSamvACBEqm2MPe6kNvMUEDnlXaB4Gcm5p
YIZgWj3sWhdn7Lgx8BRxQPp3K3RdZnwWEQKC7G/POy9K7BsoR/qXtunnYyQaXh3lvmgpSwiQzgD/
BORZR7NRMvgHKM/Y2dRY/wGK0W7ByA8DaEVevWvNxnnhWPW+Q6j7p2fw6SSN7ZustuWZb6D2HNhN
szIrWFysfs3dEo3WeyDmyf3gRd42zyv7xqtsbS0FHCoX8/BtkHig+tRh13gGmF7Y4teD7Whry+i9
ZeE1+AP6KCZasBK+G1mVrvOSCW77ykyAGb2ER9quM6Hnv2LO8L3Z6M1tk9jzPRMpuKYgHQBd7Lyb
PM6UnWHjbaO6zLdubdlfWgJShPbBk5+nA1WNZQOjcWtSzr1u22Q+zpre/+pzX7vLnNKHGdfGACzR
bnx6T0k7+r8nnYcdhTVsdFEalzJKtdvAT9hkrGQ6YHndrTU5Rl+h3rkwhPtxo+md/Gx1k/jc15r4
jCrodMlJZW/CKtRg6kfaSqOMvXN8Hw9hvO8+FSFUDbPOs7WWWOPl46i3EiOsAjjmlZno+IzmBQdf
E5/JujBQ5g4LRb7l2shE3Iyy0M+cCkBy7sXtPptaa11yxVuOtS5YxMCHoU1N6ZXvGsHegGSeUF1n
LkP/no8o3qJsyQ3lbHaj8RKLDx/FDCdYGqLt0eeiCnoFpDLb29NoA4b1+y3wLlCVbsRhqM+C1z9X
8wUQ3PnCqBqcfCj0oDACvJIt0DA+hVr0UCcTcOSwmva4OOZX1PDmVVTIDpZ/U073FDClxKIH50/K
tc3GgTJ9DvYPYkrixFdWEmqbzjKTg+gyeRYDd782nEFb+3U5XlVOw9HthHm7xbZUgzkDRzVZmUaN
tRcMd9TOxrTfe48FY4iK5cXQprmxzIEU3XYFZpfwbCDVRrnTnBnCbK+qYO6XdQfmIQjT+WIajPJQ
+fawsUwDOcUqybVbdOQKit5ZT8QMCJ4MPNuGHqDKvoB8EgPIUsoMbo/ydgVSddsaeXqvd0wnuOWE
1V5kPOiBmC5Ehrei4N7/APwDw4ExKiw0BBv/EDYszMiQ5oGy33zE3Nw52IOY1m471Xt3MuHq4XmA
em3m2f0I66Rgp8sbaz5SH2XN48QKCdbnf26FVsEGR36gP4dcGS99PnqtUH1oM82VvwPcA99FqUeA
HrERk0UMhB5dOSGy17NSkECEBIJNF2U35ohjSgHkilJcqG1bWbQ1FfXJ/DYhDQytJq9urN6i5JVE
2lng99ddiVJVIdCpGmLtl1u1DjK7+Rerwywe/Tr/nG5gDaoX7JyS+uvGdethXaSBufX9COIGcQm8
ZFl3y5RK/5oIMTyU1AaX0IWuzRIGXqLUJsgQ/mhmeQVVz9qY46AkSIxq74aOuXDm6HYoIPvXrhbs
2K22DASoFl2gaeln9cZL3C9aDoW1jaEbUlpDiMIdAkDrFrVT3W01yH6lWKcOag3PQhQdioDs2Dkc
EhigeYgdKICrtR2lEP8LNJW28xyH34Kul7tnRYpu7NejO79UpICpcBbGdnmd50n5BVYxHEFzyr42
Wtn9KHuKL46hqoSpWyb7rp/mgxl5yVakYbfTQuD6qyKoxLVwAZPHEC5uyiBK1n3WOdNyHLF6tqk9
w6yv/aVfh+E2Rapv01cJV3I9jQ5BbEzQlVqgGvWcnRmeZu3mROEtVkOBqUy5cTvkF86a/IHw3vg6
2rl7YQAN05e1KYtjT9lJg9LUDRjITcW+nUJPkUSbTet2LMUsg0mLMGkIyL3mLa5GXz6IUFTDsg/n
6UooeYtctsWmi6b6KyhwmEgjkLfLCXHer0kaOgc8S/PPINd1rAnyzrrX1QlpG7ht6KEb7sY8784g
Q4gL6HbtZ6qdcje21XBIZdCfDdqU/GhFDN8G2LzSB2j9694ps59Z4+Dwi9rTn6IXRmKKcyRkAKFr
XLABTuWCu26DFfSkteLOyh1Kl740ALv2fQgLfvqV9I77xSycfI1RgYvYfzpvJHZC0BKgXxDjzRyF
0BG7RaeNAyX/mp0sTuMdAg+AVWxH5/Vy2h4mbhWrIrTmxQAHO2jKeYUt9a2WRl/GvEWGil1+QeIG
6JY3cSk2ys+1hX031KUhQtLFqTrIcV67xQYHG/gkK87bOTX3NTgCVLwC6vUBGKQEMpq2s5pBy3Zc
l2zt19SmaNBA99kbne3etxq8Ge6d7pZbzICKe+TfpZbWnnMopteEivF36uDFXVwl1ZcSIJ0DxxDM
LwB25LO3fSFBDCUJIY0Ag3IUljHky6aIxm9JDbJ10dVDfOjN7lcwuGjfk945Hz0XRh+R7Y+81O3l
5CvAvpZczkWfQsmytHTbApRYDuiTnKMDMSDBWpXtpTDd4DImGFrEIo2bNbJD1UUdYGEHCsb8xPr/
2ebwijvONG/ROSbyXX47I4jQdNfQqbl3BGmI/UJjcXA5xtqATH5soD08WDjgiLgZKG+PN3NnNmLj
2LCftXxAm6Oa2dlLzYK/3KU3eCMM7TIMq/qT1NMmW/ogvu2w0zdz33cAA0Ox09xCbMMQI2YzsSc2
l7pz9mHmcTeNzeBBThKvOnZCOM9asHEDAMVcdThPAi/75oOFgavgfRajGM50Cj9bvuVZqENE4qeT
uvVVX7TTQzD7/Qb8twuXkeLdhYcT9ravMSHyChcFkSAeIRl7DIrlO5+dPhS3UV8g6NNFLFiktjGf
JKaawFdtpCa3LeIx19xB7tmQk6uxnO1DhbQGdk2tvS7T3P9eeMm8TOvB3cFUA/aLiVC+kIgiLMya
6HZs4ELBs8o/5Qj2EuFqxyxTTEV3yo5+pNnXTqUHK6QMzEsj7K3fRpDnyyIeoPR2UXDw87C7Aioa
nqPFLm9EGUNmWoI50Lqvca4tfETqtshMxuu+tMoVQgf6EUqcvUuHslsW6MRvp95KIa4GlI/HvFx7
Xg9uI+1ugw7HDGRH7IMVFBg7DPW30MudXRyEnFgEggc2Um2XQW4+J5RzsMDKgssmqBLi3yL/3bU4
taNjXj5YVVx+bdwW1uoiqMLkodDjWD8zMBg4gz8Sr8iWDEy2xrztTOTAlmAKpXcZpUAYkVusqnFh
1UUpN1U+zlzNUCO4xIoovc0zD20ftLO2YdQEq5IU1q1tNr/GEZ6ZPhOq1JVVo5s5/HAktwaZoqBI
UMUlqeqnBaKw8R72k7HmOrHTTDM+sP7lFyez7zOswXC2KKh6EQcBQ3aRJYq6FVKx/hJF22tzGoZd
N9rfHa4gYzyfy1o/EkPZZM5IE2mda/yA4zWcgXG31naF/oqe5PUVnJpdD9Htd2hbEsKqZh6b0ftd
jUK7D1h6d6j71eFKNkWFi3w9+qsG4+AFkkzFFhebbm1GFdioNugXbk4G4P1E6OssKDqbDja/jxXn
VxQBe0zNHN52jW01+bteIxkXlQVzstpyH8+277f2KrOLPrHuQMzQXXAN9inHxhnlSJzk1LupUEo5
DX9EmTOu06BMnwokFAWDX8V/kqemKcRDMXuSJriRUz1xvbFL0o8GHYMDeTvimwUVqTcu9BZ8+/u9
OqnXk0lWTYFGFwJtP9jwLzPJ4M70KbVoijpPd44yTbKza5R8fSavUsXItkXP5Hq/0beG0jQswyIP
B4j0tFEZ+YaJrlKzmxJG0UTJbGHXpOy4k4oP+vcSj6Iy5Ri/UGKkFgwugyLjy/6By0YIBC2TXTaF
FiYQ4LXZ3Nx4n5hkNFPSH9clQNpFks7hRZeOz36Z//ZVqkz8y0w97YM+QdYRD0bzlFMyBaIM9SRo
di4EgjVBF4mMarh7fzxVJ04bAfUAqhBEiE5Z4GUnR4PjovXMetfCxSNnEBJFBI7lX6amPu/myRyh
d3rjuqgJkt9v+q35Y5k2kqMexRvjVIKTauxoAMytVZJkgrgu24C8ColgBym/Ct4vEdgUQnN9v9m3
lr4l0BVUxSl4W4rN8kclx2qQdXAimkWpLz0YWX8HOnDeBTaz1sNK5r+YsBBHXZh1sIzR+X/ZXIDQ
j6G5E801rbytzGrL5X9cV76jf7DLnEJ6Hies5eGHxA2cjUY/AYMg1vb8Lu25G340j3MTMspP+CHj
QmtS44KUMobF7qx/D32VTBpIxb8/um9NWgunOeATcLDcV4vGsdp5CPR6ZzmBOMquIJsPn+CDVt7a
BXiFqnylGFen4CUx+qITGVvP4y7Qxz6lCA9OvgHX6oP391aHBP4Q6HSTlfdUEfXP6ZKM6E1M6cCG
OlTpCg/sb7ZbfGDB+1EbJztpJFvT5qBGDM1sL2a73sLOOb7/Xt6cHMw/JEGZihLA0Mt+IJPpDrXZ
1ruS2PUi6HTzgMwchbJ+iL6EiP9httLrVwEK6KvSChC88q2PdrTXSw/UkKSEwvrzSF2ocfhj6QlZ
dpZWeNUuMIB4t0VrLwcjqc7RVa32Sel9BKp7Pa60hykZTgzSNJzTtVdxrXInsGG7LB8JUOzpCOnC
+SCUeD0Xob65AEpI7UJffXSP+KNTXmC0M7ps1S5q8R9qSmxmirI/d5DS+mAqvtESnXAlyvFAE4Vz
Mk28JormaXKLHVsbsh1ac2ZNzi0S3vfvz5U3XhPegqYOtEbh8YTauP/okV1mCfg7ZB2RXkGj7Ts8
c5Rz8mVU+R/4Upqvz1jrRVMnZyw5KtvPbJrqeo/EfY6AHog52N6j13drhNpnqG7EY4Bj/XpVCbL7
el35X4EGaTgBmS0IZocCAdI3FOgsEuCZmJODdOPy0Fqjtg/ANV5gk0BCvwISA7dJW3OvavF0beP2
ABR4vBxQIt3msB6Q2SfjuBjsaP6go+Il5VgFE5zg1PWA6YE8AtD7ckwxhNQsL+8YU3hRnz0UjS6N
3v002Xb0PZs7kEFpSv009b/WYxLACkPZIxntvW3jsiypzBrw3/Hzu8t8LkYYiizzIvtUDi4Gnkid
4oBXrRULYYEwkYOOS2yZC9DZ/aLuTeeAawCWSKIQ2DehONe2rgmWO4lXpPCc8wSlU16w5y9H9uuV
F2Cn4gSolRBJeIyWiWqPB8f0wfGH/IND6425hncHdgigfpWBx8lc8zEXI/qYGJdYa5Do8qw9bx3l
97iOi8XoW8Pu/cn9OuCBHIzsuhRY31qvjFKqQvT9UGbFznNbsSffmq2roG7Pbatst74btOchqddb
EXkfGbK9sXyJ5kBpws1WdgonyxeDr14LOzuHdDFNX3qIT98q6j234K7jX3/dSQAeikyP7RvF2ZON
lroo980J5zc8CKmK9AZFPCpBzUqL83qPJmbkLhsK7BPyhSTt32/8jX4SV4F5A5nHIJ96dzrYsJF2
yvNdg4HyFqLybTAGQD3iqf7rMABgPOvJAWEEaPjUy4EcUBMURpzuUNP+POHbvDLdsWMVWdZfT1PC
DQBTAKO4feinONuyKRAhR+cEXEE3rGabxKsVX8EmtTcknn7+7QAqDDEEA+jUVJFPj60gSstcpBXd
Asu8wz8ZEu+AAMhSsVOaD8bw9QKkMUIbQgNJQfv0+IJFZIR2l9EzTdyGlvYZUdSf8WjdBoP9QQyi
1vLLuwZNcS216RrHy6lFZGZBe8LnPNlZZbq2yJV6kBgWTtrPiznvD6QpP4pG327RIxTFmJRFd3q8
iNJxC9ViZfSHxCu/o8d5a9UJ5I/QThdhZ57//asj8LYeo47X+G/ZcO9ofSfZaV13mNJ+J0RyhdTJ
B828DmzAQoNuBa/qEH2cJhR6V8dQkK/e9Zqp3WpOLvblyIn4fmdeb5W0YugEG9hI4lRzcmah+AGp
OTag2FlktMj0LJGd/+3k9jGuWgrq7ry0puID28oTcQ51UiqcN4IkUuIo9ArS7mfoy3LtS0DBTmTB
U480XF4m88UIwxDuMEXsZvJQPNUKkUBen72SspfubBE3DfYpdeTNQFg0T7L65KEcvQrKkuBAhQVV
YcozYHH2nWdC+oN4Lz94+jdfDCRjZpzheuL0xQBJCFMqG+mO7HS+jlEgxxSWPOf7L+b1DssQgask
peSZzquQMxMVx0hQpLu8dVJsxfqdnhi3rtN+FLW8sWBhNCiwNNwC7rAvgxZIt2jG4cG4M8fSAsji
Y8Bpo+H5fm/e2oFsQgBooFzKGbuXrcyofI9BpyWAh5p4gSqxAsV07bpp0oc+Fn8fRXNnBCbKkYEW
OYSbl825bWT3AK4S7o7+TzV2dWQfs9r//H6v3lo8LqvdAZLLxeD0xBibJDfmgsWD1L97nUwGJTZf
/qTYUmzqQLo/kFCJ92QLmw+Oqrf2PBCxgrgahYpXlx5SpzqSUH2yCwLzCkmI73McbMr4HrrLDdv1
B629NeG59phMdm6Wr5JkKX107LJJdkjoJNsMD8bjgLzL6v3BfPQuOT06GEQ0XQS4feBLL1+ah8Rs
h/5vsnO7Qb/HoaHYaCCOF6iV9ym1OWe4iw0Xm7Gi7a+qKU8uJZSUbeiC6ZynEgnsIC5XRuV363Rw
wWN0XfzR7dZ4c+QdbtisTAhAp4FP7Te6HLKM02YUlAna6rvResUSVFmzjxz3czeSncDsgCJGbkX3
yYB7ge8V33DGW6I81x7KIRN7skgeNiJaufBC+vH+QL6x1qhpK9sbxyK5eHogpg7PEI2E28jHoPlo
tBu9BEzpp+BXpg+4Qm8Mh1KWUnGFMn85DWNMY4JChMzZbvaNnzoJh1Um9e/NlOY7x8MEVqlxfxBh
vLHokHNCN4HWoIechth9nU4j1hd0L5ZfwijQliaoHeoYtVKtm6q7qkagGTRGv3t/XN/qK9QSZdwl
CBBPd0qhYeFRu02x4652WdmozSFPfiQbj7pvEtxPrgz+Pm6jQZUGgFSuWIgvVwRrZYAPXRU7DX7y
cjIwG8/RXjkOCN3uMoxUPmjvjTOH9oihLA42gsWTFYgjsQijgqEd+4DKhaiHlV4V1QoynPPfNIVm
LOxLAkb39BAtHRG1Wc4VzfCK/FqmFUKeTmufRZ1hfLB9vfXeFOtQ8RBUpt98OYo9kLh8JjOwa7Lu
tguLX2g23qYN7y8KqiNas+1fX47YwCBd4CBrUj45XYDGSK3NxPFoN5szGD9n+FR39aokD/BBQ29s
zKTUYeopTTdoHOp9/pHEKXEXB0jBFTAN5OdgHLfuXN2+P+lfs5xcFMb+aONkTnhanMRCGYwD6DcW
IorKQyMb+cnsbH/hIxrEKOrYcQ8oYyIkH9wVQ40OLfKiW3SlE5J/HWjIPKLSK0YQcGi1rQd3SneR
1daHWYjwaHrBuMyn3v/ql3q+zRrAWdxupyUwWH8fSpciBXz1a2koo5WY8v0nvBYAW+VGk2yKrFF6
75XvcYEag6s41YkOiyhCADSqr3C+DbdoE017bG37y94Ks4teq/udm3i3UZE0S3qfbDJyRfUiBCi4
A5yYLYphLtc+EraAhZPhvBBWtBygJG/eH9635ianOAxdKofKIfjlG7SrpmqRMct3wIS/V2P73Q3L
K2FpGysr0BqGev9+e2+tcGJugj3S9xSETtqT4ZRXVjDlu7YKVc7pcjCT/dDmHwSvr1N+glwphS1i
E9J0p2662FSGVj16+Q4Q+bFEkAbMoPujSu4oQl8ASFl20vwW1PkHVybr7XbJ0jKiXK5PAzKvzKqs
HCQ5kWKav4RKoB2JKu0I0UVP12BmuONUCE6s26SvVmkOSFDrENq2K7PfS1D+Mh60vaV32sZoBbrE
AEOZcOX/kndmu3FjW7b9lYN6p8G+AaoucNlEH+otWX4hZMsmN/u++/o7aGeetGQd+2ahHqpQD+nM
tB1iBGNzN2vNOeaWficdbCf5ZCik4Y0TUsDUWiLf6RST2ou1+JES3qqp3nr2YtQuScyY+bqlgnrF
+1mBLF/wfChXCXySbTWN9QZHF78PJsaL2y4JLMlS72uQjL/5Kt76xk2NMYbnnIniW0jeD3OEkFsj
L9Kh2Mnd00w71J0xIKZKN/xmZL01F/1wndcbo6Ea8qx0xmJnG+RQFdQbvDyOg18P37e2NiZBhvQV
6Ldh4n35uMg14LJab4odTSfyvQywv7L6AN0BTX07/8Z09ubFqFdyZoFu/tO2FwAYslyyQNDfmTkn
0WU76NUGBSha6k785va9NRHgJqWCsVr2ftr8ZvOsmRATi12TNNfQoEyPAJ6HMmu+dALNQmz+5k4q
b42LtefNARYJgfW6T7MQ8cr9ZZ+WTFmMy0tVSOFqxj2EYd0vNSne6VXdeWQNajdCDuPdHGFqiCDT
nu3ITjekJc3vLSxB2DPCCLD5r7/pN98eEyJlJOq3xAq+/KbHKWylNGabM9bVF82J7mN1uM1gtP9n
rmPZnBQ5/q6WuZfXaSG5xRV6vB0n0YpqTvdUzBJ5LX3zm4X0rW0rxSlEG/L6i7VOXT88h1CecHCg
vdx1eEbiFonrWFw3pXFIbOUyK+s74lt/U6h4awD/cMnXG9Zk0TM0enK+g+++jfryC2AnxO3wxsvh
N2cO7a3xy4mUJhnbR87Cr8oI3Wjr1TJZOdOMOn/sYgjagmCQIVNsj/Jt5EmVJLycGTkQ9eo1kJRV
mdkg+nOG9kGnqPIQ1jbUeBXHAq42fEZx19xGi1OCZc8yLw9be4Ol2b63DWZN1yxaBFNSO/lLupY2
S/WrPKrYWUrbn4i0S8r+AilOFRCk8gWyBEiuWRMB7mz1tkJ0zWIPi/fXo/atu+CsTl1KHIzb1w3Y
jByQFkQ4O79q2S/doridrD8YFXHPhvrQCYhkv77gW1/x6sxCKGNRbH1926tEiUgW4jERtSOhi+ub
agOq0va1KITS2a6a9F9f8Zt24tUxHcWMygfkceGY+eqbjgAb0yXN8p2ZL44Xj715q8fK4EGcI0eW
tJz7Ss1tnyjw1XdF58GOu+w+75cuIMvE2UrjiHL912/qjfvOZmO1QDsYA3868jomkasdZJ4d4Th6
EDezeS5ito0z9OYH0giWHbrIT7++pvJzu09HlUDVZ521gVeoL5/oaDKWKhx4otslRMpKotIGQaq2
Icis3UIf0FxGCspJIwucqIm9mZ4Mzgtd8X/9RrQ35srVF44cAxYwjbZXb0RGGmHmncjxLScarZHV
1yC0bLlGW02+I3fG2ncJamQsVhD6M4rIwLToo4omHq7gvcubeQ7lD7HOxlvtFvkD2+JiG48MKRxT
6QZRn7FFkv9lRozNlD0EupnEAVph3W+kotvFZm0FU9xbvh0d1TLVblOyZi95bDGhzTwID7HdOwfC
VB7lfk5/czB/6/PTAcODbq0d+teFI8ptSdZ2Gp8/SyfoehFaVHMSD0KR4s2v7/Vbl0J4jdYANzrL
xqsNCE0nkmfXZckptRj2nr26+aYqPThxFj38+lrfvrfXT9pa/dU4vbIMvj7+gzrL+jEXHA4Gg0Ca
joYxZi+QldsQfqtPsqhyVAgHueomdbxQVSm6VjvJ8XQtq7ZVITfft5J/C8xwFp+bsi2/dv/+grPw
f/797yJN/pvjG3iGXhJNDHmtBf4TJ+A/dU9//I2Lp/zLf/zbqWz/8X+L6Ev2pX37pX+wHJij3hGD
S3caTRONnVV58QfLgdLLO7ZjtgF8H8XTt5r/H1QTTX+3VmARCTpMbxzc2D78STVR37GfoB62luAs
RCp/j2rCpPXDmFvhPxz2LfpO61TKmvJyUktsq2Vj4iQXfR5gwUR0vdXr3wxsdtBvXGXtEmrKKl+F
xfnyKnUosgyEaXLRlaSJ+aUtF8gPmpkEVUxgOOxbqJqzqpysyC68vooTL1vC44BJ/EaGMgxSZauS
73AaZeJgEN8ZnkLyDkmcQsajFe9HNcdFE5/JJ9lVvXJCNn3dzuq5XkpSJLVL0UQHOUmJyhjw/xAp
4GysmcySsDdmV6jEv07xSB5Gzh/ifUcJ2n8VZGa4LZ5gNBxh71CY5vWTJWHunBR2VaMEUoD4ExK+
JJyuIACx0vZrYFiKNwEfjX4fIlbYgjnVPqrsXLBvyRqerJTdfdwTMBMQE5g+gHKe/dmGs7oj2y5M
9opGD8glrIDAZhJnt1ZPJuFk2qQbdFql2feLWpvEkqjZtpEW09gqJdm3kFdpquOl6I2cnC/8pIZ0
adeqdObnU6sRpZtKU38sJeyUJeEwJjZg6tEqKR2WLXZahkezn2oTCmCatNpHY47wz6lzOZR+NGs3
iJ2N6SpWkgol8OwcoUJYh4FYVOCdCu5ICzOQnc3Lrd4VPTXvMjUgsarGuOzseGDJlEeiSsvS1tjL
6VUg4ZD21QrKQdano1ejWt8PqoGttu+toOOen0jxap/aODpOM96geeI469RiL6nEhFIRQNaaDePN
MvQHTMosu6Xi3EC7ZBtGgq9vz068Katc9qZU94dS8a1aPNi5QfLpQnCGScR70HQFub6s+oDXJ3FA
ZhkHJJ0sW2gSWAqdUL9o42FNjqzbrakNqMsLy8dE115HbMegS+RnUWTnoWmLTd6IazTz+NP6xA/N
bMfxiWalJl+1znjbKdbwPhom+yuAV2KUUt8cJ/MrWcvwxFs/DWvlTpZ6dhXdRmJVDRwpB9nauslE
9g0q8Oe27b4UovkyJ/N9TUcGYd/BmfINEwhpjctWn+TzDCRWc7odZ+rTghofdu0n2ejPdS5tslEJ
tIbMg37+jN/UjcrPodyTpWlm2nayIt6EMTwapvgE2lQP2MC0h24YI1cal5Oaq3stUs9mBfKyTx8r
vj6W4cwvbCsIB+Ctqr3r5eWRsxympJCIXhnJbxiRJNUW8j4xlMRXiN4GVXPFZ7wxCCnzJ0FZRdBn
8fRBFudYN1MPstI1js72jBX9GKkTg7lTtlk9AWcMLUZZPh8dHiK5tFwVS9tEnqpdke48lQ/S0nmp
Yd32anRd1BWkjs4bVOeU98N17IhDplbk/CQigLnowgJQyDgfK0APcAmjRr5IpXRNx/5YpflBtOmx
zOxD0ivXy6j4GAx8NrxnQydFKSORd8ELzzkndu14ptxl7XrHWIEWYiUnsREaD3a5zGAyi+JAkPoz
Ti3sEHGRQYLIyMKetHRLlvo2hDV5sxC6+pvtCyq0n2deVSY1wUAJzp/ar+b3eFbyFoC/uCDTQg0G
LLiBNcypn+dDdupybfQt8v0iLMt7bKxflKpur+s6le/sxaYNPU03YEpOMlaO1LEeiIjZ1rH5FUYc
lhWgMUGUhDKdLZlAhlVAj8ObQMIWV6i9uHo9wJGzO2LBy0+NtfQe0ON71YrrYFA6DadmWpIrhefe
a6e9UkFgAEe/hda5VfXhKlPLbZtbz3OW35J7e+jD9Li02aFG4WFV5cluVQdrz0xayyxoZ8cG0Aqy
VkOpBCmYbCN4SH4rtzf63CsAzc2DDOwH31Mkn4gA6tykmd4nYtBBUPY1Y0G91MVSeLUJZJBs2TNp
vhdxizdgNABcdMIXWb0n4gHDmd0IN7ejjUQlj9QqyBgQlK1CvRS4ZrI+37GugSuoyoV1rQXb0Fym
SXajWw7RSgXBSGbB8VirZGR9zZXQ2sHndFVgpkze6/Nq8JjEE93uowB1704MUIygmzStn9Ma4kiV
G66uPCb57Oea6VH02eH6O2tt+Vw61kmu5QFXofQcKubiVrA9zX7FomS5speqdS7rTsIyP8CA2BCJ
ghtHSh/nXCVJoZ3TADT/pbYYil+A9HbxZdk7NU/6+1LTxqMQdXPOyjH/Td1y3Um/2ohQj/lWDaNJ
hFTk5RYhoRY1NQMR0WEvfC05NDinf9ifXX3/WT9CpdaKy19X4EdqFjJNzXYMtLQgk7SXV9DMpUAb
G0UXmZm4knkperET1Q2mRUYCDWeAlE4S/PqayrcT+a+u+uoEQSpjV1Hgl87yXNxyosd7yn+wKn6I
dPYe2NISr7ONB06Se5i+pCFPXcJTMZaerGKDLpqFoAPrJDqdQMk8Jsd6VD5Bxrf8XE7em3Y++lE6
H61Mf4SvPh2UTDN7RlNRBv2CIMuupNpXqsH2rGKe9/1kaZ/KIuk2+kIjXQjxGXJuE9SyST6hTBpZ
R+aeh0HklmCLZct8SHrAoO7zSLsiUvE5sZwdi9Jd2zQbs6UfRIjjTpNjKSDoNXYhMxTbeellr6Zj
6TejASVKTDdqDIJXCDKBtYjWvTMfGfRf63ZUXZgpe6r2u3nU76YledBhhGAdJoA5ZbMmQg2pcifI
Xu2NfbokR5V+b0Gas69lMqlGK+GnlB8GOPWuSPKzHRMJhtt8CBdGsByk0KK8GAdhmeS2Wy2J7aPJ
PXOYI5vD2imluXjIh29jzrjuVEl3fZdy7NXwQi9Wt5UqzrRKXz6ZERZUOb+uq9xruqmj2nIYjEFy
B0PjKG4zIyrK+2LGuhxOE1mP/UVlskYmJME2jY5LXu69UNh0JPRtVOkna/xdbsu36v6vRtur0sBI
X2BQF0ZbciquogtpUx/r+3G77I2deQKjFnufVZp3B+VcfBx/U3785kP7+eJURqgLquCE1gfwh5Kn
UpEUktq6dK582A8n1as2AKKUo/RgbeRAfn8peaeHAcOiOzzxC0j5k+weSAa50Ihl/s27ebnwfX/a
tbUnS22dY5Txqmw1y+guFKLvLmL5qtIyV8gPNAF//XS/nLN+vsZaMfrhAy9N3ksx4jAW1y9Rs3Pm
30gf3vwMCGEtKg9vdAtziDCSTAoIdvSreg0kN9hzfp+h/tYh/38+ffGn4zu7f37vXx/fr2KRPT1/
yapYPL0+v39/7R/nd0t/hwrZwmTD8qQTzsEg+JPFaLyj+si5HUUjdThOty+opKthkz4SUKv1z/46
vzvvMHIhhaB0hRaYPsS/faum/OUFbV/9/4+LGs3VF8sa2kreFXmhtJRXoR2dnZeDcJhLdHGZPe5K
PUku1IZoOpwSOB6oZr0nXvI2pWWD73JxOZBlgZzLT1YyBgs9MHAzusaZL0/ZAeB5V/OKE5shYXVO
5dt2JIZWHms7UDNp3KpLeT+i/D4onW3tHEySzVQc0ZPaYN2szmsS1MwmLLG7VOZiUok1riU71Iuy
BOqJNH2KYTNpzbath21dtkFXm0GyaIepUvehdFOFygbc6LaW2uuFD5Ep/EwHn3wq7Qz+baWJF8/P
E+kF1kNsfpak+rD0HxRJ32C14iqx1xChEJa3ahaxrfoqifdtjCFK2ejRecgs3yQoreBwpuYnlqpg
aaFEtY+DKRNm1gJ1OWb2tSFuDPOcD+OmlQaXTX4g9KOTocYRMQn35a4Q1mZuniOh7FTHdnOiKIvm
FgM4t3Dfas59QdZAmFYnnZ5Fx3pO2fiitUiisXQvEZWbTY5L4K9XZf126G3fjBs0DTmxGMWhHGSO
OvIt6rtggCToCnw0l5MmWi83J8q8VFWTZ8kZr+ZkAINHm2NbEBkcTHPkeKE1D3viAHZasQS0xomB
alNHv64jx6RKvVR+IfW5h0AiDfrGyg/kP5GjxF1tQ/LnM32vcDpyxxC8o427ZFtMxeDXlWDy0VN/
KodDkXE0jOPzSMK268zZfsHnFtA6f9/WAqeUsUQeEbHATsaY5Q//Nb2dzDq0yYpdpi+yyBp5rVao
b/u8eW9hUpGqOli5fyQXTe3jku00PndPkUECdZOKamtMstfPuzJOdrb5iEqaqg3UPs3YANcL0E0H
efvVzBMOBMUmXG76+bLUu90SfR3jHI4fqYzc8kxzdmVtelZfeXJn73PddHHKeF21uESxeFam+oOj
uGYnrnJ58BdJfdbwyxNpt0OS4tl2tg3JtYfzC4hy8hotD+jQuGSRHUYOe0Zc35FV4Lc5r6kOcgMr
IeOZ0uPmpMy2P8wQxnKy4lIZgGN3olVFRETjSbmyHYcZyIS0pe98sKb4Ziw+kKJyXTNArWa8GHt1
C6dpY3SfwgTR29h7K52FT+QqWSDoPkRRdwx1T47LTaqbXhfGQTd+ssS8syuyegkbO+U28S85qgYC
l5HwaGc1NrHryW6kpRt7oVJCbe4inaNzM+n9d+HS/7JF5sd1gk7Q2iD61wvMRQlO5h/eU1Nmonix
xPzx0j/XFwNsL8o+fLUoaNBs0PL7k3qtv0Nyjl5OVpji2QLQY/6zPmy+wwSEKBGkPlxsFbT1P+vD
2jv+KosOkgmK2ERw/p315XsF+K9dHZYqCFkadUrEr6x0lLBfri9WOtV5k7UJ8B3ESnBqEFr7AD9q
nDk4kaagGyroJhjRY3MfqnOk7wu1cGzPXNq+8BDlE06nkUtFCLoB1GgnwYRFjAdDK2e2i7X2OUdO
fZrDGMdD2SkXOEj0faf3CuIVNakfs8rkbASOk6TYJJOgUGXgazgv2ycnDsvHorUrqlELhqghaZli
x0KxT8CG9KeiGZSL3Mkl5GjEDJtuX6p2tVUzK27w1knrS7SQEKQ0EXAx6s6571Gsqe5YyZD2utae
bmj8Ofe5UKYb0DPaPkxz8tS1CvbSJRFraXkogbjZB9Ox2ueWKsxdVuSE/ypxIRHSFWXCq0DNXJEP
q/VeSkQecCBHb0xXVdk0UrWh6oe86skiiPeqJNRupw2x9n4ZbYCMWtkQeCyXTBx5q1xEas3nr0iP
u09Mum1eXYuqdS0naVuCDJf2OSEpDfOEXqp3AonDoxauxYBJa/hrmPPLYw5E5GmOeB3OSd6AoYy8
2zHjajLlvTuQSmXu9RpxQ64JIfmm0VOuaZP/+JglYIRdlA0LtJ9R1i6I8sqPRWzFF1oqMQMPoeI2
o5jOCZSvvQZBZs+CyWvw/3M/QcgkuEEJvzR9xjW/8/0LzWRCe/1IhM69Cvo5A6rbT1d8pW37wZzL
eTqNVTgr/pSqSe7LbZaKaylX+QjlnPBTqgEmnWu3WDLXRFLuC1gy3iNBr3TFx1mnYYDgKsK61lH+
3VHcizkPwJDUNlm+SKxS4/I1DnvuhDwUzj3u8JtuaY3NjLJJ96hrhVTd2+TaGnRHZw1nka+UXL0r
0H4+0jtYR23OQE+ZPMPNXEX8pCVU+RXCO+8tXgdRJ2sU0M2R/7e6gdGgNi3fLJBJohac2dAQipNP
ec4sq6OcH7UMPknNYj8cVB49a6y6ZxwCYxTIHfDCeKx5CC1i+wa3rNipupQ3WnMNoC/mQ5E4BEWR
uJsRFsQQNV2Fx/JUVrg1EHdSbpCSQdXIrNV432LpBZbTNJxARUdF6BZjzogJlb59nmATRUQSSXx3
wzpOZmeqHklhm65QRmn73OirR1tp+WFdLYstOAMnsPRCwOcZnKDSleqxqZLw/tsQFpLF/YUueCzX
hz1ZB2kI7e5m1HpuyTfi64S49Spf1PKox0mRbtat7z2GMG5cV1aaxubJZsD0llwes2JlYn57JPqs
EltTzNy8Oe75smUmDkGO4uNiNQ3pWuSS0vYwlTt9LMN7KZE5vVctGWpuUlMkyBqLh9MsoZovqg0w
LzbGwSV6ko8jC30vWny8VLVn/hZtNQaYpPGQtyklctCFunI3qB2fWl6YQXDLaXsrLp3TiOX2tNTk
3JAjBt2ALwuoP7sDu7G93moB/ib1EFm+hGyV+RQNjC9nlbUz4fJs5CxxTkY9ST6xZlIDrTXl82po
4sfN0s60K8je5QlTG0DC7kKy0A3R9GN8A3C1OkdJ7wRihv6nzTzLq15izyldcsiFz/g5uok9IU0H
BBwdU4Ysh8oduMOeO5jr003FQBeuGqf1YyqHNdv+NtqGXazeWRpj3iRFNNzYMVr829aB/rGbeqZI
beEDg5djRIFD4ovKVEm5C+VlqQ5RaRlTQFpzFh9y6vDbRF7EtidEjbCXkW8pEyHoNiCfTYAkjjEV
Yi6jZGkufK1NmxlPMtoq4U2FotzVPea/xJjH2U+bnD1pLpOuu1HgGgdlwSgdURuZbm7WRMWUjnKX
5wrvJ8nJB4cGvY4cS4GpeNCThh+vRmH7HKVYXEVMrwsnPdbCdew1gubFUUdvs+vpshGruY55XdV5
kdzxmT21Xsd/j5bxoqcLeY8oFxoQ3nEuMYxK3cHUM9JpI4uW+a1pcb1npBoyHp25tT2qUc69pC18
kd+nNLBOIvcra2QooQZo+n1itzXxOIM+NkGlSMqVbvJ0YTF3Eq8fub2wfzffnrh8sPX7segmkKG1
0cSbbzNrWcaIV8fYru8VoRXFPSjEOX0wRo15ItPXWUoBHLHV4854coj9DJK+zq8VHJXUx4rnIp6c
fQM9h8FfE27lgp1jBoZgrlyQ3MNElrF/6OG/44AmzT4ulPhSneOZ+r+hUaZUop4tBE2nolxPiotz
zAsCG13VCic4gq1wsuslyb4kxARbGBM7KbpnKQVGBD2Vr2gNWnTTfmKu5Zls/JgppqQ1RQHS0+rG
fC6L/L6MlObghFOPSH22x4l9iNbcgTXZUxnn7rZmkd0JxI1H1hj7SingD/LsDtoG3paADK10F9g0
y2NLhqM32FH8Xlg1nta5CD8SBBTQmatPLcd7ioCWJ1sJz4Db5wphGgB35n0b99XRSkhCDa/kWC89
x4FeWPcbLIv1RjIt56rSB84C1k2o6ob8QHumklgnytwM9yTL5cyqCU84Wix/QZus+pVc5T4aLZoT
K3EGSmJNB6oq1XynKHUEC1ivbE/SU22TFipAPEssG7mfxgP5kGnqSdZIkV8tqnjezCZ6rh25TKtI
u+0NmmBW7Bw7TV8u7albj2oOy5yYgF9MUgVeflTe66igz5JsFpdiSe2DpYaMXkVnU0LiYhBRb4hd
GUiVmxAbcmymQT5btFk0twWm+5TpZfJ+tvL3emLV2Qm+OGfSFC+l1LWj7elL42zsQRu+tnMDo9wG
bt6ODkhoBllQGxad3GZuNrOUODt5AOY/T10eEDFA61gHEe32WpucSZdM5jP3y3xOOrvYwMsJWcfB
XURifI+Wu9qkwmpA9YwfSfP0DJFYn6J6mm9iYyYDkn76RltREWpnNNctqgK2P4UZGFM+fU569Q7Y
cegqY9uebREv1zluVKjLfb4h9k/fhs5gnSpH6EFUt3e100uJ25jsjIKWBLtzt4RMURzAPGOMqyBi
33DgBKwc1LZZ6xtlu08doqRKbZE9bloRDGlt3JJ5DDGhpgYjOZyRE2YslxGSXul14qN8PEhLqlyy
CMxs+YZiAwrD3GeNNl9HpeZphVbsVKlttva6QmhzNfhT5PQ7I+ULa8UsEXY41VSoG+dMPuE1MFhS
G4tCvkmbxD4Rcti9V4HanxCCgW+SbJxu7sje9VNHK5F9CcT+AyHm9TYRXfkhYfvO9q7PB8H4VtM7
tQntnTVq0oVs1pziTcXyqRBvesuYNwkky/0Iv+pJSvMPk1SnmUvQfe4NTdNuiBQkcHG2RnkVlPVb
AKKxZ5An5zH5R/5iZCxEUdzth8J4rmJkgGqnjJ5Sydk6Wyn7OWm0JzIrqtoPy3b6wI44YHfdsBMU
cuHPqZxSgtLNO074ygUzfwOVo1QEwZaqtZPbSdvmcTajDZhxpoyZMp7iHmC/W2l94vRMJHbDvesM
+WYY0wwOJ/GeM3vxepmSG5hmUAuUJNeznbW0Q/TM5B9t4kStfTDNlR9KQ1GBIyaNzYXIGm7hf0hM
TDhXsar0472UtqrNsheqpotLKvabquMEQvPUMpvyjD+ShqTWjfcV6sz9QoruqqhJNxCjlqCP4UA6
iSU2pprJ78doshnimEx06SCMdePHRAo+8DMuqugU1flFPHTtgxQ7/TFvbEjmReuxeIW3ea/KH5yx
NRu35+zSHdK6nsUDaoRe3hNK6nQHqVYWtd8xazkbjJR9PQaJIrFziji4hZdh59DhrQbAJZMhSvsx
rDMm9ZBgayJApHGWndDF67NoWytJSgwSaqZLFCZaSR4J1DDkXnu045xVV+0TAhRsEP3gVMbQyI+1
3PD7acmWy5cRvtiMHiQBgdGzB42h4kfsZFs2IuagszYJVDfzQVaW6WZWRwWbvYPSuB7ZlgOzrdwf
TvxvdBx/UvQ5CloG/sGXKSO1+qk260SCTAcbU3c4wJEGZ0UYSGymFcud4YDPhPwOXHhq66dcT+eb
uuOUWcecwkQ5NTd5UX8vxPxL/txPal5cFKxeOnozRGcKE+jL07xk1NLSM+PjO5BY8E3JnG46ign3
LYfztYa5HlxGVW2faSVp+2pgZ0gvssnwVDGZem1brbtntqS/vlXaWkZ4WWag9KHjqzbtVdtGVfxF
L8Ua5AocXR3vKjNibxGV7Jp71xlxlxEuQ4e8uK3izNb3c8mGw5+0sk0Pg64ON70+EAIQD6NzTzOb
c47+bUejEJNM3ArbX9wKbLxE1LJbCst197We0gtHzhpfykPOuanVTP15pqTz/P04IfIR5QNJoQyf
uZpu4lBE+NgTOOXrCvyErMc5gT21iQKA5MPe9de347V7gKILkkEb4ylgGwow65//0Fnq4zATVScS
ytkO7zIvS216WPSlbz+QyrrUGx3AbOOXhZHByB1Ttm2/fgNvDF0dW+ha/cEeyrt41bceYxNqr9pF
OwOGL/X0oo2E3ztKCMxVQpLFMSWstkITqLOIXlmKoDLb8CIqOqgFaIou9DLlPPLrd/XGbUEcoME0
gd34s3uj0PqQMrAO7Vvi0FDTZ40CcD+cZgbKKl4nVPbMfb6wrZaGqHr89dW/jcGXYxQRgW2u/3B4
wyb58lspZiuFHLdwT+aMQ3Si1HPFXqW284QvJJ6JrVy00dbuUiuUKKbzlAB90ZPjoNcV6hITKPoC
SrWL4l231l6qOiqSr21ocPotNJboX79hdRVNvHzD2OvpDwH8ooT4k6I4VqRazIMlbbXYYA5Uy6WI
D3a/HnWKiWeAid85zaq9xj6qC8WTKY8Z3LPol9vJMXnmIk3hdGIsxBIlmc5/8sjx62RlcxR8Kw9p
arVOGVBCp1M/9pHYlWibcjJfqoGU9qFuQE7mXN1QU4o3ZjoPzDMcCJ6/fdj/6hrz/5+g+X+eWnlV
fv3ravTtU/EPX3yJyh9r2GtwI4sBL/ynVtl89y0lF34n4qhvguR/apWtd6xIBJ7YBihI1Mp/1aK1
dwZ/HfwArWrne4f0L60ybnaqx/RBV6kyxe1Xvc1f9ToV7WXDnbfED4NwsAJUmZms1wwskSRxG2ed
dsbumrMdTOsu6thWGmROMWVXqqcMlHoGV5crdfLjAjVqX4Z+FBfRiW2b9cSxw9MY/pFcf0wQ1CtX
o9KyHCfDTOxCS+3vMi8BiUdEGYg9Zl31jhlagqDeyvRcHEfqLvNQI0tlNglzUNM0UW4FuwjiNqIl
az/DsDbHc6NVNOvpFW0HzptfwqEWTNaiz7xet/tkK+MC2zi1LYabrp67vZ6pLZPHEq/ZSvLcf1x0
VL/sJWP5qLLtOjZEXjleUYxxwDGcQkjddEQMzeJodLN+CunuETTlhM5T3xax4+p1OC5bpobFS+Fs
X8UqRd+5+AjJ63Ni6jn1OSf3KtP4UnX5FxPlbOcOea0/o3PzkGdTz4jGfbHIxqZLpf7jaKLaGVRZ
UFpNkdPZDrKpTnT2gyKJyncIo/k8QWGhWF2o+xiszElKOZ+mSmNdALCf9nB3661uDKXXDAvHyrSY
2M9znpgalKjOEJ75civo0GDMxpakhi4/0u4sPWx01pkA42WfEo+wqrXp6Dnx1hJ17oLZBv1OSIUH
+b1Agpf6le18sXXaaTZRHpniXHKaNrdzOHYAU2l1s9PX3VbnRBDryBpHVikLETXa4cntu4kECnpu
BLd09NPiieMGYQyNYRlBgnbukkp1eivR/7xBGU6Kjaw3h7wmySAZ9MZDHfeMsz35Lmb5r57b/pvP
Wj/OPQAu1i3Hv56xOMAwiTTijRf9MVvZzjuqLA6wDHaOKrPYH1OVY7xbzQwQen5Mx5TfrenNJtPU
Sm3U1ov/OUkx6RGKKVOaU2QAM7iM/8YkZby2Rq5yHShv2DOwKMGMkV/t3RrQf3VPVYbAI3mqsRJE
5tC5RFUQFliZ+vAoR7l1IRlGeSPgwF0s+K5c9hDyKjfvk0DhfHqLC2GZg4ZklksKItQ4TKlIXIf6
xeQI7YDCXsHLIDjcGvaEor4MnTXxPh1RJ8RGjHViLE9yxCTqlmp2quImvbJKzd7mMo9OaIUWQYaZ
TtBXLoFp71Nzu4i44RHTzHPfzqG/QLWUPK2f4STko60erakcP6a5iXp4sqDzanE/kAmiou8tyvAG
o7Y+ugLv6b5f47iW8okMaViWqUaIZzPZXcBfiIJxMGmThJN5OYbo2gPFdDCQ08eT98ockkTbqNJn
Thz1V6sS68NbULojzuVLNKlh7cV5pVwJUiwQ8mrNjd7q44GqE7WmmeDq3NMSlYeylL3EoFpYZZVG
3WKOzItILqIj2RvS58KMGgI3qJ9dSEtd7GdRfxicqb5JRtXcprE9vI+rrrulcDfllOmX5pOO7PxD
I6Wpg71Cn10yCpMewp2zoAUu9pmcWpTJZdGAr3BSC9uD0jzV80SrXtXHB1yFmAz6IvuUkVK5cxbR
bRTYGp8Xuc9OQm4upSUyDmnTVYcGivOxCjMclob1/9g7kx65kS1L/5feM8GZtEUvivQhPOZZEdoQ
oZDEeTIaJ/v1/TFeZj9J+V4WEugCCo1aJJSZCsnd6eQ1s3vP+Q7JSQs65x0BnJzvWRhQFbd2Wr4Q
0NVnEVdp5G/DW3KwB6e6WC0i5SSNRD7ogmZmsDBRWBz4yUk0s+PSJ9Vj27jZp1LlGayOpgMpui5t
u4fyVFg7I/HIdcnsDUmYc++RNOiOV6PLYBEMk+mU5JohF880R0fyFU2E3qw2u0o7Voqmc5m/54U9
IpJYnAYeRzXAPiiy5jb36TO6/RpcprLVO08TTmPLsL7qiC66tIGEIPWoZ9cgU2gN1shru/Q5CTSt
DzGm7pd+mV3YqZ3n46ZhGW47XM54bpmZTIGbYihqLOLSPXGXJisJDwBhu4ywi2zF5SE94hjE9N4E
Tnky5UDaCGdfxK7DuB5dutoXtEzI9SiEap5EWyQvRu2nxnnS232xF01gfe1ncxijzJzH+0kzOtoj
obdelaiSJk7p7d5ZY9N/lqtpx8QwWm+ldOQUT6ta74eZCI8z1ylRyspQQBOyaRKJ2lkA3Kssy6Mx
sZxnZzIzmhmZ+2WkU9ZAveamjYnVAjuXNiF7FTO4IhZoNU+LgGSip7I14pWWZB25WYWinHFhyyim
qd+8NBNPMne/0D9hQe0k+6XRX795nVzZ49BibvZJmDQvRToOFlOvArtRUzXyVQXAFmi6FR2o6Fbt
amMa60gB9bvM7EXtOiXvOA8wAUV6pPbSpIWxQtzYh1Wn4xp4U4QZB9ab2+U7l2bSXoPMOicOMDj3
zCGItZMVIdcBeX6L+4MWKbhjMjMAVk2Vm9/bE8kkLRapZWcIlbh7N5Dmqw0ZYK9diik7kG6NRVPn
xTFQXXXCmNRfl26yBWC2Dg2yMHe5sEFdfCrzoifby1KYHLROxlOSLg1CHmPuPk8BAZxnroEBncC/
lP6TuQ43Lr3Y99YLaNUQnzXdrv1qUFw0+6mW5jMNHNedgJSRhejP6/ytr7L5dXUbC+V9ntRobsgu
hIWzksokEqe/yVaRlLvQpn3vZzNsG5tpBb6H7iEt2euApCGY05cY5auyxxMQnLukHe4mOBR3Ihuq
3cTk5lSUlM3WcvvjYtaPaeONx0HOSZSDAZmiQeYSU0m5NrFQk4+Qe9FftTMB35ksv4ftgLXPbPEw
RZVJUjPnvmoaL4CR+pCQXDl3+SdtcGQ7W5nZluZLuJZ+aUeZdCylXkbi24qbZEmIgxKFf2MVTPy0
Vcl7n8Tzezq66S1lEZdaWOrTlM7Pnts09z0u9vvRGnABmTmj31n6xIMZMhwjYtrm82xNy+ew8Qkk
HzCI3xM+19wysqhvsdn3hyGtPY7zpXst0nqI20nb+8KTJJ5ZrHYcU9f8mg7feOhDkP87Z6jr64LE
y5fRL2G5DFXGhSEWmUdd2G4ED8i/7C3evl6UfUUGXgJ/SqvkwQ2lfyJoaCYzxoBpj1Et++ZoY71p
jHQkI9LoW/KR1uRatF33oLnHTykf/L3Le30iBdI7LorhzpL0+nMJ1gDsGy02aOgVHW6XrKTFUlCv
FZS6UnnUozG39AWua0KCciBx9Vzc9tUoI6+3nZukrQaXIlsm97NOTq1f2Oix2hQfACcCnrWxvU11
kB+36/ko28W6FFgnzigXAeFF0rhhljs5e9ueScAVOvuaKBebw2LMRiT7peN1TLWerzpY75jMzkex
CnGaGPM/y4TR02Qhj+B58hkojEjwnS4QNV9RSksfULm5U0WTzchDRH83O2ZNGFHh4PnHqr2nx0A6
Zl+5N8CCkyuNMuE0sDAynbfnayRB72ZLy9kaHJs0pMHrXzgQZZ/NOSlPQ2t0x8bJjDDKJ0oNt1/G
Iu1Wjrf1oYNDPhXlLWS9+XMXBPOuBMTzarc5eYorQYsq24omc2E7P2oQvvj6pG23D80qXnKbtLn9
RKZYd9EPPYcXswnRRk71LF5zIykfPEsM/a3PBHIg40AwZSVcrfTimg6PeWkjCWQdE1aDnW1VWd7F
LPxc+dbW64Ps0x0UU8JVncwPDqgrgjhrSHiOi3S+QwjQFhcK/VR9Nioje/E6x8vfbJ9HPF6JgvT2
ctYEW0Wlv/Tav7KsZZlI+krL3BzPuWVtWUI0R+MALyrRr2x7l09laTTvxbTYz0KNwSMjQOIM+/yx
b4J1Xzt9fQr6ASzhONVoDZd7v9KvFEACbbO3QvmvAX2aLzRQ2UG4knHi4I2vAeSvMz8Iq9seUSF5
SMYlXw6SEklAXVOq/juWIISdquu3+NPeIYcKB011JttV3TneXK7xOLpZH3USk81j6I9yj4RD32Wa
/Q66jdmrjX80uP5fn4v+v+j5/HgQsnxrY+z++9PTxVuDMfZf/JHfz07CRT/IQYXTyQYvsTcjyR+d
HtP+DVgvrMWQbAloQXTqf1cdbg3Pfx6aaOqEuMeRM9KxB47/Nw5NNCN/7lQCBtwIm3ScgVYBBf2V
MtInKqyKdPEvarsLrRjBpEWknsUqi6F5YA7dR4HNPTxHZe20yXXbrBYTeDKopNhpptfWA1Ad06jP
h4GB/7I39CLd5Cwk5N2nXE2QMBg+6+66xGIaBocas5k7XyuTBG2smnYwu7E7GIRTHRShu/4lPdvh
veQZpoCyq7ZsI0DMyyNeEZ20Hgae+24rAEaoSdrVH3Wh/0eRIAOo0EeOAIN52SxWBYn/o3sUfFSY
qg/H/rbYCg+xB+J1YPuMdv2jMklyprsLv5FZgjlcvBioT1peAvXLfvmoblQ/Kp2zFT1nK39l3/iv
/VYSja04YmcsbhFlB4d2ZD4N8YMqyriPigrBguqqtkJb6ro6FVvx9bcyzNmBimxtxRn9/nu1rNeh
KdEgTGWNJ3sr5tPo46LfCjx5KtaeRE0RLx/1f9qWgvFjVTA/FoiPtcL9WDfabQlBWsJqMm8LC237
+nbcFpslq5MTIQF4k7alSDBlPQe42cto5eBB+BtylLOsKvKv3A/eXfGxqk2tbdwQrhseF89HF7kt
f3OimsdsWxL1tjjiaAiw0KWsrHBK7SsaTvYn42NVBfrmoAxPx53oKhZe+pmbqlRfVB/rcj4SBolE
jgDgba80Gwmy1ZmkYxr4rOrrtsAbzMEPYV4ZRyLi9cnNbP1ubluCbLDYHGzbhHHbMLQfewd320ZA
BPAnC2vD5GJTIATz918ViZQACwzP7kizy82adhbiHuE28ryAgY/RAgLSXLW7QCX0/g62NO5DwwoZ
iE8zOEu9N7PEMt//p4ve0IdcH9cOascbWuJmlw9K5u+KFtDPzA+6yhS7f19Vz9pxUG3zr//YPysr
bXJ2JHTPf+lJwUUEFOps25Xwn1Yhx6KxDkcLXh/lNGSq9c8ia/4GeSakcw57iUqL9vpvFFkAST8X
WbpbvDWE5h+WJaTcXIAfp4o+ftKpFH0B5aD8XqeyoPtD3jRpz9gVIvbToGAgXtSBhSciDHKFXdE9
eKkv9wo5RXfremmM4KSI3VQ/Lgl591PIzqK8SsL2inH+MXXC01zb96QT7gfkY5EzlO/J7Nxod37Q
1nL0K/Ni7efbaRmuphY/BCnYGER7p8O177821rQ3UErA8sze5tDTsdiysUUHt7Obq2Oo+msaDLu8
cV/yLMEo6232fggKvSjeYGrcFCTA25l5RzNw5w3mu8cGUmBPUlN+Lxwy7aW34xxxbazzJQ3xPSr1
XSuTgzSzO2PQz5kYdmqkAlW5fBNd96m3jMM0+PsZOaxdrE9wNs8Wb9zloU/KpY9MgdN6HxxcVHRj
upwyQm/BcnwauSST9PfK/yr9kWZ0f4NWYccR51jCDXHWs8xo7lDo3GL9PavwwWfAq4x6eLHEaU2H
u7VzdylWJgsiENPFqGNXq4l+tFFWZK531ozlgy26F73SmZ9ohRv5fkiDAzvwgzFeF25z0ihZljRp
It3S+icGrtV1JJoXXwfHzEuPYflZ1f1zM4enbkaQzogvNtu1I3W1vu/rXRBmex8vlPJ0EvfY5A/t
5HzVuUFOtiuAE+NLVMbW9ePrK9wXB5mlJ7D2J411h3YR0bCIssJ4o3PxrTPG+bCs4SGx3M/wVo/0
+19gLnoblOUAMcDcZTgDIu2mj4WxXlcJJzVVF6hHbRgBQbUz8+aauJo2Aj0Zo85WMTpBNGDtcr6g
FKEp9e4QlsxnhDwwDlemO6UPaZ7hKco9RTausL471fDKVqQk+Dp5kGXIgtNuNDPUENejrr4WhXZR
XBUy0ip4Isnorc/otZLtSPvVmkBqcBgpvcaPnBZ8Vi/HZl9NAYZh7P8x8gv0BnaFLqgPnhrZXTga
hi3SaR9h+XxfZByJAJTmgfHS1vqUheZRMbcFSUNrFuUpshxxPsATj7U3vCeyeZnD4FhR92PfCG6Q
v2TRBOaCprG1Hxm5ToZBT9jIrcibitdeVCcUNFdZx6bGT6uTQmAfLyY2vFBNz+SlJjTEcuDxiYez
rfORhteXJVTtY+KC5wGXjIYPKsg8hVEC3AVobDWhOALQQsvTjrqQsREdeU4O/qh2CFbUvkRgERej
Svfu6KzRCD4yNpIAUelIpMPSee5Vwzku0qH5EGTY6pxcPQlH+1DLxgzoqqkBtlR3bBz402J6zdnx
8eo43KqsxQE4Iah0OGSzrSlj6tcatUVziZtLENWN44yNVkl+9/A11OSOJHbb7uqkd3bAbnv+U6HR
kFYdFzUnqrWso3HoXift3Wc51shw9R5cb0xOOrQvbbE+4SlOI/pOSMNnRkKqRFRVltkBIYbae2X6
0ucJrJDc+OQjuK1d78RcEuyZH54lnRXEDbJOuiG5t2vKDQKRpkOMSkNeOZl5WbXdlQMTZde46mkO
GvKCRxcUxuy0u9zAGRkWyQh2OTvQKSLNBGVlLOlPFRjjkTH71Oeyf6ob779m3f9vPmH684oO7+Gv
VvT/YEHP/7ygf/ypPxb0j/GQDyXLdgWnnY0B98ekyf+N4CchSCwKPY9jww9DcZPhlO9sZ6z/O0r/
/ehki99w/QY2Li2BV55B0d9Z1Um9+3VVZ7gOD9AOiMTbUim3Vf8HrRA11yG6SRonHr5piVcxwlby
6h7fS3e5dt2t428xYElGW7q8QycT3o0WUJuuqkk9ykyy0cIvgb/Yx2BN1ZWLC+o8k/V72mHhdJA/
EedTKo5IIfd2YT+UkA1IKq+eMxR6NOyHp9ZTwwG3zkLtGMDkbaLQdJQXRDFfLh02xVKU5sG1quZU
tvZN0VryrnE52SWTbPeNRP1cgjaKA1M6kVd1ByNXgvwz/ZL7dYlrVcwPrtWe3HpJYt8dWfYxOxMC
YwaXPhDyyA9QnPdTAovIIjKyxke5+q2zk2bTHepwzU5TR6LabOD6bbsmQp57VitKgiK3M15giSK/
dp8pSchczHLar7N3TvSaD7qZJmMwqgvLzQACE+0c2HN6Ri496TnNivV5fLI99UkJ+0ZP7bobS7Hp
HJvPZdc955UeblM3v8AoYEZ9Od5b1jDuXDuBlAq7tETltWNeaOySVJ1XhbweRH/EhoQ3a8C9i8ya
U/hVWoWHqWPRdGXBOQA3a2MRLK1MBEdkk6dx33r7NizKuHT0FfQv7MILUyizmZoHFhSFiBVKiDtd
DX57D20N7pol4jrE+JR7cueszit3cxWNLFRR6AzxYlkXJRPOnbnatyT6vZlrvR5rJ/06SwYZRWsf
B3/5UlgWy5G2P5tZgK7WNZ4YvbySkH1bQcU/0Ig75Ab9U73w/hb1uaAnFlV+esnRLMV9bTdF9j6P
xUxLFwfPHns52wExDFmx21DZEsldvsgj/VAGmbrV6cZC2bS38ntRAZewV/HJxjcXWcpyEXIW6Kvl
dJ76iCfMrnjRM6ylBaYRcPS41OLc9dNkR+jBG9nkF1aj7NjU4rQ0guY0MzpGtme0TOaoJ10+trLl
mz/Y9m60PMrwYl/hPMTxYGFakLn6ZOFVi+2gvvVTdUBsdebhtZKspbi1Tk2q1U7M5t4OaO/1Vs0d
6hUvW+BE1EwqOwLZx5JsVEz0kF1FkMfIaW+SZ1KID/2SYkQyZ33oOv/REMFzZW3cjBrG7uDoIXLU
8tSmvsU97Zi7VocvrKKSqygbRoEZColEXWZW/skkGWvPDLJGayovh4GH2BjM19wMcRFP63k/DJ8L
ySOFtA9eXdntx8T3DoSeiGhZ6uYSaIti8OyxwhVVwf0yMylLz8hj2jA12WUnTAKRDONTbbGFdLLm
v0bX9d98Zfr1zPiXi1L19uWt/skzvEm1+CveBvW//xep179t2bU00SBIbv7gHyzD4W8uJAgHrKPN
6OUji+IPy7CHzAFOBEDqzToSbISlP5p55m+2zWoEGYlsOpNF5O+sSL+ItFz+lhB1MSgkZKOm82sc
RmF1tjs48HyEYbjcMAVJzKNwh8cfrsm/EFf/cpj9eJngI6M8JOoabPvPy562BrlOejLA8WK8K1tY
WM5ohjf1PBl19Nev9Ut3cnstrF6OgxwXkO9HS/THJZbvogBb7SRnq9WKG9OX0xVxVM65CwngtvNr
CHB//YKAMX9e1XlJVOO+hYN7S5gOTBoGP77kUtKYswKZnGEJSNDf9hszQI5pyygSC+8mwELvvCn1
cPqkk7PzqqpYj3472zA0PGJrvQmrWDQuyKA7kmxA2HJMiFYhzS/NksvLXgzi2CepODKByMl5Wm32
rktzvrJZvqvKSnDukOrJUn5zLiZI00ay8blWlV+7aUHKgZM22XHtzfqEuHplyDXUd7bh6m8k53CS
Ll35HHTplTmu+Z4x+Eb2rExSUpzyynVph8QZ/OI7exjr79rR7Q3i2eIJFUURNWZSHbwesR4uOGLp
2mY+M9uk3fW6tzlLYziX/TrvqdAQNZQzXASWaq9lF86RqkrnzaxS46zyIUVpiTGrx/TEpn4RYChD
HFzvQ1jXl5wUF0KSdDZGZj+jcmYwfTAHW77mOCRndC6ZDAY6z+uczhwbIZyuw2XWdMUhaMg7iiGk
uMaGXUA1YTp18wWsRvdakEj7CfetfS9S1DYx4gHxFfceUBaLDF5MikA12T6wtB0k/Ao8x6GTfSmR
t9OxRTF8Y1ZT2LHTSdvLbVZzQezn/ByuuorLJJc726649woNdMTNC+8md6z7bAGFmiwFdiYO6vvB
MuVrHbTToV1Mhb3KNzyso379VdZ1dsya7H2VxGfRsPEuUhGOOPu1l9X7gYuTNUl11WOM/oQc07hD
y6EhqiZbSt9ilSefUGljx3gd9J/RGg+un3snTnHu2TQ3w95Z8/LSRFvwFTOy+lJarBt7xJH+ZvjK
xTmXYNhlif/eq4q4mFleN5XJnimovuKP3iis7kViKHh1ZfokBgOhd9JVcLjwDmqjXoAFztj5bXho
YmvABJ26KAzpOtGi0jX2GXK/0aFL+OHgs5OMDm0Ff90vgd/fJ3NlX/rZcOst82xF4Ohcbm2ensWz
pyundBkzW9O3pQ6MgycNdVXajf6iFlAkfLPelw5X600uQIaWWqn7nq5C3Kjwvu8FqHlPvxijdK5t
ndl7e9XDtRFovZ+FPz80aLvi1BLTAWPtHe7qT4FDbNBZXoYzCEKVTiAkGz9n8p5M49ju2MIsBbbD
sGNGrodi2pVpXXp734aoHa+M7/VlOBOOdaqEmaJ8ytIeHFpiGKl+LoeZ3ke00AWB3onBvd+N6K6L
R3aQ5OFitIIpOs2PAfPMvbCGIN15Kxoxzu1l7jGLNlHe4KJrYJNoP8Cd5abhIVhL2zvV4TyYsBAN
WjkDvIXejdJagf9ESpneT6XHTzpdPqXXPt0RREq1bGaAn0aKTq3z+yG7ELifWkbHyey92hwzZBGZ
TcLufGZzaz8X42x47IGokV/hofBFZSpTBprbjmPFA/OIpu6PDG3LV8PrygcBN/DIXp8y3NaBdzaZ
EOiDZDXkxhdOGD4wvTj3lgncCXLPeYw8nE5HDwXZ+Yyo7JKhqwfj0DCDaAG6DVVR4xW2sxbTB6Zb
/neQ+MnDuo7zOxQh4NyNxckCw6VzasHGZtHoNvj7RsAV3WA25/mCfVYBwW/YlCYJD3s4txco5FAf
BVNgHSx/aHeVzJu91wkVE3YZLujUsppvIBGfF8m/0VprHvRg0ub0IPd0O1KO67vFcbtvGy/kkjdC
J4c5QnvRraLWu5GOT7ZnqNKeQrMSN5WX+2+kZ/L+nGqyDskQ1HfGXNJFKUMIgbHhd/yeZ6j6ux3K
6tkx1XJblYWvd6Gu24e0ZtodbUJNDL1tCVcQY8ruY6n7nxnuv5g4/LwL3Map/37Y8B/V21D+sgnc
/sTvm0CLNgJJKbhRyCLY0mrY//yjLUFr4TeXloTJ7IBJo9iIYb/vAQPrNwdbD2J8F4fFhx7/jz2g
x2950M0Q16Ou3/ocf2cPuKHPfnCebG+HCbUH34wJscvy9YudKwymta5H0/2WmborvrOWJJxTZgI7
ekVWeWGvz0WVIoMcVgfL5zAg8H5fElKSLy2caHhxO8PFEFP2HFJp7omETBrw0mW2PEmzNgoKMu1L
jTcSE9BkxJMz9e4UO9W4ameXF+Ng31hB0AUySs3OmJ8yBe96X7E4Y713V5GDRdWj6YVHB2tTz+rI
UipkXM2LESaHBpRMl8frkCUgHn74Iv/F1tXajEL/9OXgxGHeDdkn5B+PJfTXq9MOmKvUoBHfD/OE
nL1Og2yLisdKUV6J1BO85ELfv/7e061dH9FAC96aTaXk8zQWfs6nv35L9p/eEpppnIouiOCtbfUn
/11hL3U7yPSrVZleedW5eVqea3fsh/yYGX4+lxEjSujfUZl1qLjKghiEgL5115Zv7TKsPfukEWsp
qQ/TsOHVklSPO10tfBV7pXTGjlAC510YuZS9f60ZJPFjNScDr4/MdBiBpP31h/r5JOIi+t3uQcGJ
x7NA44mtc/ZDZyzJyiU3yqr5Zs7G6j94Dc2I+xoPoL796xfiifrx++SFGLZtITDkrHHxwu3i/vBC
EIp7oYHbfN38K5ZDCEhSuiaCYJ7wxQkK92bGX+lkNIm9ylBxZ6XBdM9Ki/vrr9/Jz8eG7SMDebYd
k3xncrP+FLxrEfZmiqXwv04DyrZrr1sLpSJZG07gnLMf057/dy+yhwCEUsKZ00TuvpWoHz+7YaVG
0BLM+l6NPVqgHZ44YyqjKcTx/vfib7ZPR+FyLbElZIYcxX75Qm1A62WXe/bXxUqH3P1ms63PMph3
uO0hi/TbJa5WH6Py/q8v65/uJDaMHrZU32RSS9H95bDpIOCSgubm+2IKMrIjrEPhBL+BRqX6T67n
Lye/7UMKOrYc3baGM6XilwtakAdQzpNdfx0q16uDs1wkzRNxhdSoWEF+SrubRejErC/bXDa+ufcm
bEPPxRB0ncNojIIIML1IanFXFD6WqjibGjwA5ZTKcD0bZ9et5dlfX5+fD8i8Zy8ksZQhNd8ORMtf
CxpQsBBOgNm8N9gFeBfSEGXxfbJWw3tp0aPTi03qqVX/mcPR+vMXI/hWOCtiZSal9deylRiWSc/L
M75oz7BsxsWBx/QoDjAWSTO2HHxV1RmPSRm8rUS2LJwgpZSii2tjsafHvNYziucsXLT6AjVgc7Aj
Sl0vAI7gdvzHVuffuq95Ln4pFLxBNFfbYyKImaOr8/PD4qUzLmdY81Aucnr6TNlXpW9ppUpuKr2y
j5+OYugG/9pwkpynaWhcl8Wg8ZHWsFMv3XR95wasi+/+wMhiW/7cUpOgZQHZ+P6PAuwmHdXFW8bU
fxlSgWkfrWNQcqdOlRr4dhqpfJbhxrEmvhGUOFuJxtSb8YL2ujAgSDBALK8QLrD0Rf2iyeLa2UVB
Gk4ErsfvaUO7PdidqM+gfdECcQtcZPNoMYd0VDLoWx5/4b2QA8qtKXVb8B4t4qAaoAh4V17gP3VF
sx/9pdLP6LeC6XGSvT/dD+TT8bNZU1BBoizzW74zO1tgXUW1k+XIDAunM3jQOY/Cgopa2s1Ziuul
8ekdDzOEBXjnFthovGJ+MNT+0ZuWTN2pOahZzNZ+KSjBg3SLdN0XqeCljXwW/Dj9h+3VjJR06WsH
fFb/ikUP3VLiYuC7qtwmXI/4BeGeZr2xjufjMi7cS0uYbJUvR020XoTTkLFYmona1sw+TGyeti6k
OWITiUrqfXn2+wfwCpXxUSHQCL/YAVtAkxB5ZsPtN5CeThGr6gBJ274fEp9fcNSudREPXVnIP/6O
vusNuXfyxINPyi1HEgg9WO1xDUYnX3npBcplcb46LZ8Jt/F2Vd2ynLlyuO9AkJzNs8pKyJ5yxORr
ZaBhkJYZAbu2tUt8Lku3Bj0fj0K/3S4tNoniu1O2DTdNkfhFfQ+fpw0QHjDt4nbpPESrTYSVUnDX
pLas+M6chXb8dycMrCQ4YNosQ+fccJec2IR6mbiG7TIVvL5HYSRZM6xg7hY7HYxhNZ8SOg6oK1Ld
bHu3wlrITtxBxsDcQ4Kn6PzlqneSqUElb8jtew/siSqwBylBL3Df2sl2/0qnd/kvTqG9M52LYSLU
ateurcujMBZ4vgu+eRWwdkm7VbyllU/P/2Q+sb0XLIf0VWOiSHkE17AvuVMYGOEDn+iH8vaKOg+3
fVsyoSm8Hoju8hA4AzPPY4HLgbdVuGBhqrifaq4geJ6Ry6lDFLocBdkC4ihXZAkHh9TcsiHjbWs9
PXYhZJfH3gorHuAAeYt/zdZRs8tw55znfJWr3opHVrIRK3pHbo+0S7OvZfzlWnwTHkgifgEZ50yP
AR0GrkLWBt0AmQlpAMh0vBe0P/e9HCTvj77SuN3VTp5LPB+l0JZ3toT4ICFnmY8CnbeYdnjOg60y
wb8u9ME3aZhAF+sc/KIwIBGKZxpyXTqZnb711nXh9g8HutbuXtS0LRo2CnPrX/ueN5Uk8XJkhxDj
E/6e37RWlifgpFAobtUqh51qHZCEkt4Ig82scnJ4ZK9a5lTVMBjzRcnJlveYGAPfTe+GeeshkLUa
PkyTFGvaPgiO4W5zTdSV2JBQ0NzmCghuS7nZkwhRrFiCu7El5Qe9aLhMyAZ8lRHjUIweEPqwpMz6
73r2DGx2FNuVzyyKpcQ0F8kM2FV6WbYIRYJrtdBX5ebJi62kBGpee8hDa7LdlxgcBu6hxEF4kF60
DLT4vd6eRol9yXMolUPfcJV2dcn30USLaVhjfz3MPlakQ4HTiG+pgRfBWtCuGKZ85BDmVgVHLj53
rpl3iZoO4AFnfpIjTM/vEaWz1aXSnLZ2pyq2HWHmjinlqXMXn+unMoPqMHEVeRYsWw3cUFMvnbWF
SqR7gv5CLHTuWYijizeeLcbISzPQXXj/lEuWI/zTAat8nQCPIzHVrbZFVqkR50O0+HBfDBZluVIf
1jAzXGwoq8R3TYmCGtf1innbPmwlelE8FtsWy6RRsb7XIdS0q9/PIVT97eLMbQ9Z8ljS7e1R22QF
gKHTWGgtOzp6TrrD+9wke9cck/5ho/usF3nL4r9i25oD3jH8a4Or1NZZwINdjJrt9FkIKoQr+Ptt
Xefz9nur2zrcuDpfto2z3xpbuR8guuhny+CudPZOIIWcGURWqcnzaaALwVUTJgC7ozmzgu7azim7
uwFehzKiQFur/9lo5ko+mPVSPQobWw33kERReu433VQe/HYau3dYhb1xIfFnulcJ79SBYIrp5DNt
V58okKBpq69uUWkwMbR15duMKWe+0cKoaHIZlaIphCqfYXdYNMLr4t513GHcZrLhdA1oJVnayK/B
F186FcsqjjA1WXG/obYo8kvYb1F3zSTdJU4X5Lds6cnoWJkskpxlC2T+xqpekZaP7oNfYUJP46J3
S5Rz6JTXpAVyyuffZMzMtk8qYyWr4oCwSq13gsG4KQ+JjZnugo4bkhdflVeke1ndYRJByjiDDZp+
RHKUtSx8/gYmo/0WRg4yWiteIZe02DBTNYid0dpBAYktsEGaeVV6FtgO0qSW8elFIhqTwJQZGuwB
NDYT30gFlc4xnDqecdsxN3KfxqGXRXs0O1xh/V6QzrQ8Lmpx1JUxqMa4dw0XZaBquKtREvm+fNLB
lKJDq5QfyO4YLl6K+MFEBubvxKKr8pjkCqqmbt2wbiNRtg6GE9x8Qx9+seoibL5mRBtPy6701doz
L/GccYxHAmNINHJQtiELS5qeAfyIR6Tyj0ltlP41dl48qDAFOra12TfyFhwlrLgFGGW3O8sjt8rf
+zA5jfRa2nyYAqDsx+7bXKvEt+7nFJTMEBGXvi2oXe3Unfc0r16H1rBLZplAEjU3i/sZ2BCP3Vhi
zjwwEt8h939jSPq9R+ks07asCAoJD3cfbttHvEgTjwPi+q3C1Z657TBzY02s5FCAU2WezQfr5vBC
96nBlhRg9sTSw8yhYJVRjZfa+rhCPlXJYfTabZ9C/tR2cggKS/NuV5fIaXEc+zr3XzzSYHkrVmcE
5ZYuq+g1dGPvUSa9YWBnH5Y0N+0jyhl2wbPJ3s2IxTp31LIihME4M2OYk5k1vB48E6tc42vnTLh2
xZaoYa5JTYFkZvJB2ZeE9Js8r5ZbQSQ6njV6ZgbK1mReheICdQ16McBjkKR4pzLNAl57DHTQ/h/2
zmQ5buDq0q/S0Xs4MA+LXnTNxZniJGqDoEQJM5AAEonh6ftLUvotUjbV3jvCYYcskYUCEpn3nnuG
5Ua5mC6V5CJFE7/MzJuYd6n3GsQA+z7K9T5ZuAGut2s7tyKuqI5Fj3w46iJdr0axYrex5YDr2ji2
dYOlVx7UZ0mTK45FKYSupWoR6JIljaS+R5CYfWn9GAzifKIN3mUKfSTnIbgB4xJk1xgumJ3H7WcP
n3WJ9AL3+JiXc0r9PMFg3HAfsdbSiIUfEc8D0dWJDW6kSNw8avZzVtF0lIPBjWWbyfUVQN3DcvDw
604ghuvlahDOQkUaECikCKOQfuVuCqueiZiiINJLMYMmRc8Cwcf7XHYW2NPrY+TAtKx72r9B3oZt
jHhxhyLc4hkRLRBYzI4S3FfTq2XMTbQUqgi8vDikmEhV49GlHFW3C3RFvpVFeivgU9cNKkuP8E51
UWFKJpUjhlezbuRDv2WxVOB11rTORrML5MYtbKqUxI51Na8a0XXewURrq8IrNB8o0M78ODC5nnlx
9XuAKN3kq+LeR7GFmE+/Im3VasCrxhegJykNZ6SnHPdVysOWMR1qDjKPGGu2doAV6SZ5PV1TRQKA
weiT8ZC/dhxBFQjNS9eb0tfrMS5zEg0h+SS02jFRP/yB/1//ay3lX67wdA44Lq2U67IxmA90aQiI
n+hi3hH6al9fD4SJPJdyGBseatez8VVnzuSo5IsKx4TRMV6mBRHlVctaIClppibA8ahz9dotazuq
z3GJTJSEr9yH1nDCL0Cls8GDYObZDoaq+Kx66fgKplDMhvOevI18E6mGli8JIrjWsMoyB6lhMQjJ
5kIYEIFuoyWLehV7qOh+VKatm8BceHRspjXpB9K7EeUljSfPWc7oyk+d0aZ/gv4wT2o/2U5bPKkU
MhJV12vl0ycmWutt34Qd3zZDTU1h8LMjDhH2URhMSWLSfdVJ6/CnhJ6l285QXKZvjhra5co0lGni
fyBS2hGVdvDgiCYQznDrL6UzGGtjxM7uihmTbroDP9RVWDdZuskPok4X8oloWB8xUeo8NVkB6Dab
KTRIWM5I8GC2FERewxyPIoQ9YLFaet5jGwjM7HT/wHLyPT4eaC9e9FYp2JP9g8Bbl4FeHUws/QPk
EWaKcxFSR72+eiSP6dKqNKqohs/ToouBqaxUrxdGPWr8yICZrpckhKmxvjRdIjlabsiiO24P9xtu
5GiRIFEc6JYTcY5Q0qV4ncccP8a0noZrf8Lw8Bji01oe8C6gp+BgM1zqAzxVFFunXxYNvyZy0UVG
qFZrXYnatc0ujiXBS9eIzzK6rGObKywUzyn4B3hPIFe2zlZWugt8bSzKeNEX3SzTiFyet2xmXiVD
aGwnrgpzFjpNEhP99Ygmk0eaWYO+9KGGL15tSTCOpdwaU+0W54EAHOEfLjMrCmmm3rAkj5HMJMgY
mc6fMjKin3d16tTFk9NMukOfX3eOCAs/7iHmwnpVfoyt/QvMCMoORowMdEgwew+whlMTjjF+vF+n
WOo+E6/zMiU8wp3bMlr1uHnxSD/+yPeoGjAVybMeMWmuBa3zPc46i7oOTcnw3vNHPb15XRolITEc
Xf/pR2muko1CloGRZvK8RcTsNBGIGpzma+bGen9qfNdRFIVs1uxdH3/WCxr429wlgFwHTO14eKI5
8ADew5S9iTJ8hB7ydXIqvN5Ph7SyWYmedFNeQ0ivFmfh4pOV+DTUrgf1Y1DI9cq1kDZ9NyiEnmyQ
/awRnv51Z/45+6i7RLcIdeD1nAlwDUb+9PHl//FUHGBhCltclGnHbVP//W9ThqmLK5mMgfckM2vi
OjigdFvI4UoL9fFH/bHmHIDhiFEQkyC8kd/j3ZRRqKYpoJ6iNMQC5hDjsDTeW+Sh8Yr4cTL+dcm9
H6HAcbICcsM8PpMYvPd0rq7tnTABv38Sbqr3KDnxsl0NGTv7p8SO9JkVR9T7FBMzf/5e2oHZXbLb
Vd7x4+/+/jYzNcWcG5CWMSkR8+9XpPbNxksycb6ASdA6znh0zN9C+D7sgB9/0vu7bHuOybdF+Mqn
6di0tw+0oDAMHSu3vgx1ExTn+Fno1jzL6dQOKtVRD38ZPL71A2Rogr8msDNDXo8JH/DR2w+UpHKy
mczdl65mTgRVwIn1NsemOPNc464tJ7gWWTKnBOIUXsrJ+PE3fglM//0NpNTCp98kESrQujbHfnsF
dIlpaYmg/oKz2ZyQTmg7S7EF9Uij/MWBaLlSaFY583ysnXnoP0Fxw5Ma8qp8XD2Je369ORUkNO4R
0P/MW9xg3ki3sJQhtjbUEWMT9pvQkVAvVplVSHbrYPT0YYnztw41TmOTF3/lsDtRi8hgADyyYKCg
k0LzWufbkGLelseM0XK4bPDd17VVD42GzcLosC0HRs5afZzDo6C2CXpHH/FCdILLCl4B+p7Snl2z
KGxdNOWhfKn4bEsXy3Fe5ewkJnJP7n+Y5B3IpK0mpUEWJHDFyce3/48FF7jQonwv0Okwfy7tgc4i
NcxlfmzS1qFmTYTULVC0SF0B/ISsP/5IvX+/eeBstXDUmdGEcAECHW/z+6bFoIw4BjLGHyPYyjzB
IYv84hzRo13gCt2bXAEuD9FAE0Wqti4KjbLSV/PxZbz/5o4DT5adU/M4eedext+/7Z2139YjzzJ9
RICASBz7eFnd2cVod2d2Ly8+/rD3OwgeEbA3QYp8kkxD90Wx8duH+ZaJ6ExArFatyJd7Lw/0sshz
oSurjz/qncWn/u0hjNTQJEGIcwFt6dv7m4yTiXZQ2XdY6ZvhRsvdkbAnwKh0ulk+cjqsGHhX/E8A
YMO6nDxSymjWvI40TGBdIBhaHj2/FyMRAuAICzY3tyaiMO8zBua8FaiwUg1rTYaGAULpN7yEKvQ1
TAwbi3+tDMvhyxmIBtxDkhh6UmSpSu/XNARkCB2xXMrmclc3ZuKef3wT3t1v7gHiWcfkPcXU+M+J
qeclMqr8YbobKsKcC74vowo4V1gIL/cff5SWD/2+nvUzZfPyIVz4HIvO+/U8NgJM1XLj29BtXj5r
8IBOC9XqUn9gq2cLep29l5B0uAuEqGmU9OefOjVohMAYTW6u5wYaz6QXFOx0dtXHIApGkQ/Gctbz
qqKyy0RVjPvZwajJ2RZ1THucLWxqavdz8Me0SA+RjDK3eXeQ2C38HaI+/cAXL+dTjJfpePAKTSgL
BFRuDC/VTzK3qFrGVaDY+JsNomkNLP8cofFGsnZzZh6ce3EMyoHFmlWNQCAf39Lw7eMLAqwmA8ji
EJY8zkLPfLeEW74BLFgRfyuVE3zOu9qzdzbj0YNfhMIF40/lLnGn6HRGeh9vhBvXB9zly3vckSCO
1uFQMzRNnFUEJVFnEsj2LqZ/7a/KqVfpGkM3eJakGlSM2r4hpOnFyu+MdF4zy/EvlRc3pym5HET0
JulCt56qYmPga/OwMEdWJ3E35h5WcuiwNqCGxb2xGPhRyBJq4rqPOoI4ZF3sXOLezoO5Uxsp5nbL
TByJFDP8kxJXGoY/QgLnNcXICE9a5RdYE97pPCVwsoelNa0NlqHBrc35/CTQwXpEGPopEEZCspOd
1/XtGDjDfeY4hOyGpuHWGwPc7hF5T/+M01F347t9T1kUD4d8GvIdY4JZQE5luLyGjZgZq8Gt1ElJ
LrAkFQXAJs1zVMq+D2qO5Ggjx665XXKop5SfRgraZ6AG9s1rV87mV3uW/RcrWNy7dPCGdTr51WkR
9NnWxS74P8puZUEwVmYz8ygVXGxl39NpGuCfAAo7kSOBOV1FNpnbW79syEX2O9O/+8vye/NCv35Y
AFFOH/PUcO8rknhxKe26qH72zaCCIzSZt3A77X5VVUSAu1qhOiVNhcWFA2/y48/+Y+W/fE24Ooxs
2MTf9yOD10cNLPnqua1rGlenFBiVV471Vyfol9/0z2P45Vu6NgYCXoSjt4Ni8e0xMdlVYSu4Ms/W
2PDOODbHBfaBlZVBci+DT7VdxZ+yPjYgspdeJDaOEhnutZnnb6ZSQvuCrOdfdn4XndQG2mbO2546
aSjlfVVRvNiyrgTZGZZ7baq8/lENTnhWA89eK3u2H6KcPhWLEcsk9KBILp0qYh0bQeWD3hTM4qwx
Aljrovk5b/D0zduh21mJZz6ROe+sF57fX2qhdyQ8bokuAyiDuC8OZ/T7ksAygn5yIdU/I8Ti5qeZ
k+6dJi8P0zI91VZUPjpGNG0GO2Ho0XaGf4Dji+rh4yXg6Tv/5sngOqG7OsiAEMf84F2BhLStYnyQ
Bs8J8vMCOK3DJCREx7PpmZJgBofq8RBUciIN1BAV056mOjTgVuTTa2NRhA3G5WIl7gGpOcBZB324
ysDT111hnGdzHZzNzrzHXty5BQMtL0mYK6lYGYzN60VOjF3ypo/XgYiCT5SNqtmRGvtj9vPswsGC
c1+AFB+ypBGXlSdLuWnifvg6l+lwh2S2uDZqxAsrf7LGnWNLuNUO+vLbkXgQ8lpbky+QTla0Uhie
l8yv25xBCGcimmsjPMvS2X2wQLVjImcxCfhLdaTv3ft764IuBBxS8GTfm9gPQMI89yB+bjPXuzBa
J78XmTPD1Ebfd2GNmjH+8eO03hJfWVUBbRasW/hIGFVDV3v7ohFLXHYVR+d3MnjdE2AzxEjxMBun
AJX5jkGEZKf3ku5ZOGZ5nyWTPMuyyLw2VOTsPr6WF9Okt1+fUlMbh4R2ABPX19vPb3VoN1ZeTxZK
jXUqAwb69ib+0nRLSqhrNXsEmWl9/FA1xJlJD6xwk6e+d0i10z84SRQR0mRgpd81KAAyickk0C8Q
em306XnhY5bWOs504Q9pcky8IHFXDb6846qfLZuYJ2FWw6qzwgaziMUTe4PbsssLaZyje1L8gzEw
kO+m89WMvWe9yb1M7JKR03vdWEhIKsa8VJQO7hCrsi1rKCVjzgyXoee9p2hNqUX6G2lP9TGtSod4
7AC6DCuRcdHaB/W7cqKsZuQKo25ioslcSZKZmKx7uA/no0Bmumoy4cOrDUkJPkJOGbu96Sf2g+ya
7DOaG4llmp0B9agcDv/HT+fP/YeVEkGag7qGePsPXM+xmYQW01h8D7EUCYi6iPKvsDxmpoY8Mnqq
4JkEzRi5jfEVS+kRY05fib9J2/7Vgg01BZmjD+NOsIG3iwSmVF/1S4BJOQqwYfPyQNCipvjSlr7c
mYuKbtuuHkiOwpRKEK31mIadEqyTxbr9yz35Fy8ssniwZbYOuJbvGbtLNYyqmYr8exKY/k3rW/0n
uzSMTQCwe8q5OFwMJfJ04dbVkTxN61zW5HEgUJfTVRakIYTkelRnmTE4P2DOt2Rht1lx85erfNsD
6HccYZ6DNM+GM01T+e6WqSqeq6h1h++g3m1yR2Xhobi28QUeelNd4O5XMFPqFz/chJ3X/EgXM8AE
JLbFuHeCpr/3ojI5M4OxuLMx2GVCwimw6/Ku5HYnOT5jLePe1/X2X53F7Z/OTr/rLIAStQLi3wst
Lr5/7d5LLX7+0C8LCO8flAmuC2sTBrAHf/+X1gJ6qYtbXmCCKVBbOQG4wy+zPAe9rU4rgBEW6fAD
1vpPvS3V13/g48Tu8+ZYw7OPWDgGARCgTceHd/5uX9cjJqzGUnXmoFPCRGwpMLv08cEnFWyuz1SQ
UfojytRepmRWYWtaaIdTD0b4sdeup2UVYoBac/nnnXZFZUjjn00vVqlSu6ZqdgGBcU5n7OolGz67
2l+1C7XVqtKuq0jDsguS3x1Mm7Qpq8ADgEzCtF97pJheSO3eylS03ZkqrLCHNesrqV1eyVNDzEb6
XnGPSmk8cV8MYSftDYsAM74fzNSw4Uw20acyDatPnS2Z/eIry1QRh1ntNeu33vIJC9vu00Rq1s7R
nrRLLDH8Gx3CqcjApdtxirVihrvF4T/Aybpoy9shy6enIKiItesbBLUufP2rthX9FSVZ+tBWxcAs
tUES6STK3kVpYN0EKFDh0fr5VmkroZVh1tMZuZv2Wdj2dzCtSTsDqEeS4SoHJwFHLLe1HIo108mv
xTR16PQZGRyYF2ZnZARg414Lr/+S1cuYvuSI3iG2qi7CUeH3AmHupKsYyKzSGRITEtBgTfhpiDkQ
ZnhXdkQGs1Eml2ORoz+Fe7ZZUpIPez8iFm9sxrMprYez2rCyi9SqfKz+OCBvQN8GUmmjYi1x9b0M
u6k/zHZbnwetOZ65fU1GOITuJ0Dn5iTH2uCGsrmc1lVhFNvaFpjndKlNXrpwh3PmkOYOWbIBR6Gs
rw1pOjcwf+QjAVjlj9nuzVvIbBkhL1N9Ca/CuHAy6IyeKakfEpybW5wWroADq89UiWpnhaLeYMJg
bkd4wvvR9Iyt4XQThtt9f2lJ0ZzlEHHgTyrc8YhohooXGVH0zYGX163bzsLC1FicGlSrJNXe9ev0
uu4hYJLd18rtHFeE2pqoYMOezp7z70nZKjyt4QDsXccTFy5cg/VQm+ju7IW2tk8mcEjq/q3CjvBM
AIUdykSEBA/6JFPWSX5liqhmTSXLZeHlAq8sLza+hXjrU+glPaVuO2IMtAILHU5rGMjsX2l6khVd
uSLiB76ZUQLiWJX50E35dObjjQJtph/O4fdSATeiVddYoiyPbSlsD2RHTKfCo6aO3MK7DFt31YUi
2SsVYKxu9vKTzaxgW3iO5PxRC/5GFqmWeKi35GqkcvI40zFOghpda6uukJRJJ89xX4ys7ujNBPBy
SFouxklTS5PhM2a6ZxsRV3NdLgeG4LBjhgq7KEMQ65ha9bgflMBeFg/wbZfO7WWVVMlll7r2xm99
50uJ3Xqx4t2eHvo4RXc9hcN8w6DYSdaiLo3tklvpwcNb62RYMMJdVQRU4ohitJ7a1WI2L0kntixi
EOuiujCKMLkPrLrFh8ZvYsHh2MbsJJlYNmgUnwkdNcPV4FfTubME1cyj8bJiAxHCuE9UT+hXjnQh
XpdGMm2czMqxDoNJae8mDHerlSBG8pqMPOuh6+Maia6wO9HuSr/xzOmc1j2cMh5cUg2TvaPsSapo
nYyYPZE8ZXLc38Q9M2D/LgkqIT9JHYpwaCB8ZPXJIuzeWNaS8MVJbFwF3HzT5VMSfnOTgln5Og1K
c/TuKoq7NtiGwjMKnNsGmT/PaDmsYs90ruvQCHK4/bcO+EsdYEUuh/O/LwP+b5dRWL8VXL78yC/B
pUneCLEeDmilrga0L+5PHyjLwpEDOw4KAcblkelzYP9y3QioAvgpeKcMXfgbruGX6waKSzsMyQth
9s08LvyPigKbGuS3XtczmdZyXdiqMyPm8t5jSVUb9MRT+yN5DwJeLjD9CBcM+qfnN+ZpI1RoY4HW
BnIZ9iTzlOw/EkTKAlUWVX9rV64kilKP6O0tkQCdGHOkyrx24U0GLxUp/xqXVwgUazFObr1znZGU
L2Tt8yE3RqyV1uC2dqWO3cAAR/X45w21FFi/zXm9USoDmo3Y78+8OJ9OaCyVifG6P5/PbhzfIi0R
AEv+Z6Nv1H5sVJCszSnaRGyxZ7nmwZGujgrZ8wr7NvUzxMtZikx8BZmc+DEakmg7MnQYEVUvmGT4
JcGGS6FIixY2vRs4qDrPcEzttnaqUQqAeDLJSL80y309qXIPp7EMN17UZEe/StrggvgPxfE6k2je
GgY5rD7e/HvZFWpgU2aQkpLZeBCgwzss2AOoPdB6sbcn6YXjU8Xq0vbi+hECOLxLHyrtHgRTbtKe
NFC649nGySCZFyaVZBnnXqs+y86d7+OlgWrVJa2YjlA/JsYZnccXdWNzsD9D+mrPRs8q972NLadr
YVblJ6K1oPd1JI03RIvSd45bE9hesBeO3tGH130f6Xw28Jmo3zNgbvEr6juzXCmW+sZgxG9et36x
tZGcV3tHlvhsNd7EqDSXwSrr89zAT6RSwSr03a7ZmIMLIu6r6tA2cUqorBrCnT2O43aUbLBVYmPp
ONvS5EYnQnhrTbz4EcSZ+bR4FqJ1j7eRFJis25q1Oz9VuKxRdHWVtx+aSdxYOCCfwo0tPyPv8Vex
ydxiTUqyPJQqTcyN3QWXVTUTAW/TlHaoGUgYZbLMorEmPETBmlqysJNpC+stupy8VuAi0UGxbd3k
JKWJJRfHqQqYy1QBKy8dMJ/IjeYo49w+yiogsMEL4i+8DaSJ1fAyv6JfIxx27qUq9ols7VsiGofj
2FXBzsYAkrjVOu5vQld9Y083NmpmZBzDpq6I1pizI5iDU63nBLHLOsEJ9qzyGQ0UqRc+hr5j71EN
+cRQ0FPjW6psTNnxI3A2fdzeepDpL1omO19LWcUbsoXm+4HB0CFeMEJYG4ZJ1IugDNoqYfSXczPV
F1hN5VihNDkuzohh4rXXF5oKGDd3ftJKGOJRfayjLHmQGH1Qrci4/FS4JKjB8Bd7JYk+aELWYRC7
2CW4hXkNYXdYz9Ciox0ZMuA8oQe591SIMEd+IMUlidfRrvfN8nttFfMRf5lmPaUtuZnTjGVZLL+R
7O3iNjaOa4+cjkNegjE1rv0Ee+uB9FxvXRcJkGukqKmLTQtOlhCuLVrifvyrsTfihI/FJ3aYu/92
x6/exn89FT0QzI9OxeJPK/lI/8wvMyrcDF26YroMlxk/R9z/HIuYzAM6kuiKezFecUBd/zwWfTID
8UNm9KetBl765l/HIn2zhYthRNYgZlVo1v6TcxHx89tzkXE//2GsCPmL2bP3HgRFVmGzrAf36JVh
SHqTgfqhlmq/xOl0Uiatd8AeBTptM47zMxm4wZlXuC1HimWNn5pmMAF1hPFUUqsRwONG8Hhj59bn
xSKHXfj1Jund4IIInv7TnKvslran3Bc0GMcKxsOXRsQhrgNBfoL2CRvlvv0KgSQ/YDLQkaCQQ6uG
wyfwEReFsc7ixIeIMxX2DRyY4iQiluc0DpxyPzg0k5OszxvPRlBWxtXGyKv0xFI9OX1ZVVVIWn1n
YxtJQCDdQDBpXE6XjQjLvShDYj77ROWU0JN9DcEYH8OsMM+tOTPPGQ9gyqoah4DlgJMF3neCCXEW
XVhGcWVN/nAe29btYs5wA3y0GnXrEllmMhH+AZhOInilU5ktVMbrDmLFVYQ8A4eZAHWM603kHrFT
7r3SFM8jZ/TO6QiSajMyhYkYKe7Isvfb1YTN+l5UU36Ieik3I451GzOYLWal9vDQhFl8iTvteC2b
bPkG33z+XHeDc50USJodzKkvfCefrj08rtcQBbJdG9N+mZPffq2cYSJSB2dkoUoFilDwNRI8A92i
LskuG0EcCnd4NiJnlXUeWsVInJIZcnQ1X5yIC3NVmE296b34vCrAVYzQOJZFUGyStsEiCd3qvm2V
9yOJ8oY4FJmdSt8d9yRl0mRVaXUFb27hdDPygtwbZmxbhzHrqUBEdp/MWfQYtH61pRYSJ7Hwxxuh
xvY2it3sfGH8ej72Jnq0oXOyh1i6/Vk+mOWN27hiXzH7iFYjShdSekv8+IrSca6XOcjOEzx5d6gp
ynKFcRLzvUyQFVTLNsQd3VFnPrTYq6hjrTBt02Eli1t+G6ZJXMS+Xx4IqnZOfQhp+0r42eOAGfjn
VqQWdHvhXVfonw5TOk8XIBvOKVkzzaEbmuRSuk1/my86G6Dqy2NlDEdRx0QVRbUXXtitsB9riGnn
beIWx8wqxSHHcroiDLIvmTql3mUpxlM7HV2WY9sdDCI2mS7IJyiB5kxSWWFtbREHT60zfvfaqTom
s1CrChHZsUHgt2NeH25mnJjvHbf4No+OwBY6ce3HIKxv8a5GYNeLeb+YtXndpAQ4rqY0Nk48A14n
xWBokoPObHo9Gn771MddfhUkoEcrjDmib1kcpvta8UPJkpV3Iab9a+UgvzWhi51iPF1RgjqUj0Pp
b9AKVTeB08uvwO6qw0bYukWWceQE80+asd1DsYWo7wcVYEKZF9d0vOUnLy4P/jzKE59E5aNbVM2m
F3hZDmyWj7KJsmPgVfFuzpx2A/A9kcs85Z9Ej9HKMrXN2ikYry0pltPQ5IvPaK6mu4Ap7LWwq2bN
A2VAQii6vQFaF1d06Lux9NvTtoMsvY4iHJZzvMn70TyHH1zu2/JaxbH6bGiWWOE71nVuJs6hRpmK
p/EI1l2bqvsG8sCVoPkczSnY4+ENelJag0Hx5YSfZYACcoU9bJmtxmDG8HWZk8ulb4q9MUmiYebZ
C9admnxyhODsENA5bwfCtWkhmmHQFqjqLllmvATLgsl0SW3MNsd0dBWJzjyl+hXncx2bW8syPuek
GoWrJKEaAobAz8lHVhrhkwAAkD1gtmWS1tebW+rKFsPzovla+ik6sSaNrr0qBCDtPVL/Fsjo15k0
ik0Q1GsI+f2TnwfTPqfVuzJ7v8LEo3LMCxUSNRgCMyFvCkuf9J0muo84NS4WN00fMJTLzqpFfYFi
5x84ERcy23p10WMKy1Ia87M+9+u1nI3orBrc7krmcXueI7q6N+KsvKA3EER/9cnOippks2AsuvX6
1nmARmIffMm37PDe36UTsYdLkAznI8P7J9dp9eEyLO5nRmPZHZI5hZ9oVmBvgHnnfkAtjDAvGdeG
FadXlsUcdKQZXqmknW6ANfpVnXrLZp6l2PaTHZ6GQOM5TIAmvcTPZGShUZBHBgxWnuyAcCtxhn2d
TVILRsVdOcT7DL3/Fm3fclUox90KhRSY/CRzydeDUbsrD6jNbxt1YanEPokgfXwZW7vYjDbYpcKG
5jzjFT8lQkwc4JAjVyzaLnosfD/bVPVofi5j7BHZmTAAkfZmJib0ahly45vAr+JEyNDYIaoGRsQ1
5Oi5RrzDUK+/LucxvIPAHO8sszVvUoUV6koR2L2eZ8PfOTQMF+Tkfa37Zf5mLgPbP9QFLFfLyU32
kzNam4XJ7wps59SrTZsRfN1lZNOh1NEJR9gbmBk7WmZe6+6Bsx/X29vBoxBZ5UNbzuvaieR1m7Tl
gWyDKMMhPSBSaek7RnxBHLY/Ip25pHT6kjuNxllmV9s5rAnnUnVxkN7w6HXaovwlwCnUWU6F9B8x
AHgyCXlC3fgYEvpUWwu9wTLCAXJIhOp0NhQi01tbp0WJNAhulSjs+4LB4jecKKcHlCSP4WvSFGmT
9Lkn4jWFSrR9SyYVHbVOqKLUIuJ4tbyEV2Uo5d2tpgOeTbYXbIZxGsKrVrYz1hN+/GPIZiekZxt5
cLib2aiF8excE/a5H2aqnn2ViuY8w8SgeRRsoNReWlo+xcWuRUZenYQGMfeakbahyCtOrWSuT0iN
DR4ZNLRfGO0DyMYwWE6D1LO62yFd0nhfLkUJQDARkoLYMZFe/hymU2/ceSjIPEwjFZEIjZEVDZKa
zNnUjFP2qIHqnfL7B8zwRtQ6CXkD9P4487kPk2GPBz8TJLBVciAKrp6wgw8oJ0uQ3c49G0j4wMbR
aLxVkXDKGAHGpNQid/WSltuU+e8JJ4hxkxpZcobToUVspDVf0Mu2Fx1P82SRdGtpNj65RTSfdJFv
oG0yhr1VTzqJTZdbzmIPq8hzutMsOzIvRBs0b1QTS2TZmLzglIWeEHtXfAvc62pJ+03eGsmROAV5
HOI4ZrhgZyfSTM58qyzXZmCJM2wY5WZOgvbL4OB9jZB13metynY5wtqtkZg011nZbMfYFUDTKUp9
iTpxjblIeBiAVmDB2dXeM2PzhzsgtV8LDHqmDKTHsZ79sPbDh94cGNJ+G9ygLby7uHU1vwfadFaV
/23i/r+aOPI3P5xwrp/K7EfT1dkbdPP1p36hm0CYFmxlujKtwaD9+p82DgHIP0AwTRMGNaNUi6iv
X+imS1SYFcCDNTFlQuqtTeh+tXH2P+Dv4QERmq/Y53/kKfyOpcC4E04IbmkMUx3UL7aGcn+nsnDQ
MRcZhumiHp1oq0YMagBwcu1kGIzqGnfT+SSf2B+3pllISiVX3RVuz7bcR3X78FsLfPXKoPlf9VBd
NRm44P/539ZbHcXL1cAm14n3uJpqp+W3VwMPDFcMkH5KWoJnk4KWcDUEjQ9VUFGlQVRxSdQDjclW
XRVCaCFPBJQyXvrAXZMZUD9HUpqX/I502Nhlad0tsKGsPfZg8XdMk6zpL1SgF6bTP6lAr1fMIBPe
P9R07JLf8f+IMEt5trO8cCCbJRsfkfqdgpSGXQclGQf/PFn5hqCzcLVosgVpyqazr1Q3W5tONfKZ
/ZOsWGZA3oZIhUYxXUwhEgYdiRhbtMjplU4uqXpiSzeMy6P7Pm1Pi3L0pi1qa/+cJDJV7T9+Dn8+
BsQFJpwihEPMKN/Tu4LZSEZDlP1FLePovkmQmNHUUSOtRD1MV7TW0Y2IrfLzxx+r19rv95I5M/UG
+iibtch/6cv6jVbFXChxSeiqL+pwsS6sgpiEGpFjFsbp/cef9JZoglEUnwRAYkIj8y1IBO/WmQAa
XVrQzYtQmO5TSyp2uScpj1TRQqRbsx3KZe2YMxSrHK+H6m+L5i01UX+8ZkhiQwbJ22d3ePfxQeBk
aULW7oXeuZ8qrFCeilJfg7dU/dbvwMRnRubpfizbly66Cb7LMuqPYzS7ZxNqZVSysAuLNYL16s7p
hI0ZbzjP34WhxMYkDS5Yg7i7KIwdOEevx8G/tdt656T2cv0wdWwLchMQFFjT2wdl+oNXe0xniT8m
xwczm555vVFIik9wizo5GTG++JqEkTibljbFeMOdsjW1cvBDYtxL6FuaQMZBaP8965zgWSG5Df5C
Q0Wv8X45aVNAbdanqblaOPL2Kn0ii80ulc45sLyIo3AjI6ImGHsDtEqFLUQ3tea1grFHBDUq7nVn
1aD/+E6UGq8tyrb6JEqk89CgxuRhzKvmCEwNKwPU+w4PBVQhECxRkmswOJMOwHCc9/XFqNFiwmod
4HILCNl4gZOZJlcMZ2X5yc6TK+otZ1qVQ9BeEEN3K19AaV/j01Y22+wN7rDg1TKG+Rmi1PCRIYV7
kmp8e3mBukciras1b1cGbKLB8FHj4pZGyJd8+oaYQt4MpgF8PlaEFsZ9O4C72PZtm1ojNhoBdAbt
bRR/RR8LFJ/VrfFl0Pi8EL1NnEgtjhapR8+ZEhDZwdiLm+wF3lca6e805k+lKPbQgKPLdqwghYxd
u7NexgQlqGGyVmMStqSIMUmoUHBtBhFdggowZiAqWx44av4fe2e23DiSbdlf6Q9opMEx45UAOImk
5tDw4qYIRWCeHDO+vheVmX0zq/t2dr1XPaRZWUgiCQLux8/Ze21jCqrrHMKDHfI6l0R1G1jfHxm5
M6/wM82g7V2uH55Tq4huDWygkan1Vptn/QMtzfSr+xqCrF8DkeprODJf5yTmdWKyfA1P1HWOAsm8
3FfMSzb+15iFAQsjl+xr/OLKCQzx11DGus5nMLYxqlEMbWLrOr6ZrpOc9Guok30NeMyvYc9sumgM
8nUt5P0wtRjzSVgEv6Q+E5kYxvrWTdrskj/hQzYg+ckA5tObajP0w9Dolz7vy3w++sQd7kYfYNWh
VClq6cwo6kfd1cxDtpjmda5CSxJHOfBJvq7S81CISPZDYOxTGxEfFesBxnchb9EEO269zxd3SkJg
c36PCLQ3uaMmyUmXbGH2wq2jJZm85dxoOvi66epww5FKX24rctl89KBsXjKax9QBmIxIz94skklS
gJKZTijJ46RUT/RsAZoDBsu3nFnKNfBWmxWzMmj3BWUCsWMzdkSt3XWpVgLBiFPvlzYgn9JDvTb6
XWp5g3exGTvIY2W6PWyJoMLpvS77jvmaSqIG4XYZyW5cW6ZXXZVul8Ipl73edWUT2FCB0sClqC52
Km2JTeNrNV5Qca+IgE0nZ8qUl7p2W2S61nHJq+olK0u/PJjK74soT3rnYR3AVG+ZTRniJpmSDn68
mzDD3Ek1NtUjm7F5zGKOYxiBeQdR3RfxGqGXgiUADqKZztcAHBlpPCoqlAI8gzJtuwhjaZKF6VYj
X2fqdtQn1ZqZ60/80T79K95AyawGCtFBMLbZx6mbO4GRA7YI0zqV4TrIHHnKpBr/LpNTZgVgrTL0
NviGtBsA/tZWNDK2ebu+20QCn1J9SFLgtVHuWwlzHX5uc+0zEwzQxmaLcCvVvpy/GgbVpV60DZga
z7iIFQJ9uvFGSzOfYMkYw8VpfLrRFSKfsz1UbElx5+b8gl9itN1KQLXVG0CkKjm2S0lMV0cmdHoj
IM89WZlhf9izxGThCW7eLTQAWtWwURkIlwPAgbAAG9EF2O4BBgABLKaJyiKLs/Gxs53pe6MScz+6
E7HSXm7rBhYkyd+xixrmT6VGeAjEHln3HarqJ9Fr/MREgLNHL3tx6Y0ZZZbu1WwYdO7dGFBxqrn+
N+KlrzdnlrXdzi06IPUz0iov0NvrhDuZKt5YjdiEZJ6+8r/RrOTuLlklVegJf2Z22fnSuMvUkOcP
hlf51mG2MACe+7m/Fp/0a+9sqDhzVNM8mg51va5g942yX3c6Md18+Otbn1ifeF9NKS6WXfEpoOpw
qa54OfCa+cij0xQ0Bu4r5fLIq4GqIObfWFPxgCS3rbCWK0CiSXS+buy0w7nUcENuUn1oEVdhhjaj
ZWyN66LBw0QMtmABmZGeUSfjIvkmSeE4emOaeniU7Jz7YomdjwkHA7QhRcKB2c96dxNT5mYIG6o8
e/TYLXZdpYtL68ftm6UbjBQSK0mNY+3F/nAjYbmP4aKwwVHgLuauMbisHILb5Ude5PbdPHR6vW/1
ZcxfJgQA3b6UWvlrWf3rGsJxNQk5B3h0FbGrkXbllP6LpstyW05N3G5c4qyiRU3JQ1r33Y1f5pkd
2oYyYpY9fH4bNFr+N5VpYxwVxB4B7IO04R+sqhbtz5IFeTl6glsqmq4rNmH3Gld0plkSsclM7Y1Q
gwHDxC/6kZ3WHHVK7zZ7Vz7ybA0GoDiufq/EZ4+iD++SEO54SCeDPzWXIlkDa4qd+NDwtdD0y30H
lfk49ud5cYvHbIR04Lnd3oLFyDxsImMgyIElEHsOq6M+V85snVD7WXWUtFU53sSQlOBN2l2ZPFGJ
dJ/6VZBFGy3tRgDRHRlRPhGCLbvA0j4yZRPpq6jpm42blQpseW5gVPn8MXrsdIm1PD5qspm+M9vX
RlIdO4f5AB6Le7o2ct2pocVplq5XyQYu3sy8m+nw2JfSaRhwtM2oO5CMElBlC9VNF00J4WbR5FXM
6NTqlqwdXYfHaDZBGJK85SnSglvu/tyaYzdc5EI/m76G075M9iKeMlAQ0DxU6n/jXi+7u8pnpL0d
jMbPtl6ZONNmHt4Mem+ewNk9us+2UaE9mXCiWmeLiLXxoZVYA9ncuaMjTCd8mxwc0GCkZp8T66Ga
xLwzZr1wDpDYfD7XPGvxOVdaM4U4QVkzGO4P/blg1McxEkzNtku8PAlx/OqHBdSagoHpuCnKkMT9
3VH7H5HYP4zDXYiefzmihR/9xx8ZwZePkvxgKtVafXzWfxWY//47f/ZRdFoiFiMdGnEcmYAt/Fcf
5SogY/4MJBz2J91QDgJ/asUFfRQDATmnPIwgf1OJOb9xLjB8Oh+4Y2Fs+//OOPzL5/fXsyvQBY+g
QM6SvJyF+eTvhw2dfiucWfZnBB/XVGnaOt4yvKo/gqd/j6HOGcsn2Y4BE8kuJ5MVcIrQPVq22yMr
XawmPlJ9ebl5rjTOyM6yQbwc6xlGUiItut2QZ/0sdzns3DQ9AT0ekekSb0a05Z4YbV7rWbcZcq7o
oAaElclJjKW9rPmGsFMi7ZgCBRpU1ao84rBic8jN6Qr9JElj1N+MSgFeqB1A08tj1iKYMeFN4ia6
p8k7JP4tgWXIkHwew03p4fYPqBBwEhUDMJ9lQ9dA5nACa6rK//Qf/7/6j5wsru6m/15F8lgPffI/
gg9VF+nfJZZ//OofT4/r/UZmhO4SQwZy8+sx+ENi6ZnEU9C8dkC/O7//y58KS/s3AzfElXqP5/T3
x+q/epC055B+AJURNjqTfyvTAqjA30/qCD9ppOkW3Rjeh/g/WAtDauSVytJ6P4Oem+AAcV+igEx9
8pTwtjmVQXGERNy791nwMVCkVXqZHKz1DHM4EilzYG+RqfniXG1vNVEyjyNjknd8WUC0AWox6ZpW
e9+oa63D/gfCgaSc0M2reg5gCzpl2Gtz1m0StDPmySu05JKLGrMQrHgTOXVbtFGLrGvdqGWZRJAP
TjKH69WR25WIxuCPLdY21zrrNiED6C5PpBVosBs12kmayYF5gQzGVwCyFOSXAeZhxi4/1otzNoAr
w3Q1pHkYKLOPEyCCg0/uVBXNHMje9JI3Fbal7H/yKsgNlMW0P5BD1ZkE9V5jaFynWCIfj8hhlhXO
OyR+dY6yfMJhqtMYRRmhl7/AENh7W9rzHUhvSiKxpvJzdWxoCowdu5eGZCf+Lu/sxcJP8cIwMH9A
Rj8zCkqT22mQ1VPTefVt36lxuUHWHtuhNQA3oAoGubApykJIpIIoJzitNt495QT5ZU7DhcyElCXT
llSiEMlm955jQfMuYs+7k0XNeHpeFW596bt4Fn3oGYgOyDG3V/cwN2Vzm9OOuAO5zEgM3rO977h+
ABla/1Q4abtbk2Q6JcyLtjMN0TIgA6J+FKL17rH0p5csJ/jHXzx7X4oYSY9U4kniET/gvISYXaQU
9XSab3PVjtrjapVL5MDHPFodorq2IEw4JB/B7hA1lcALB2ECtE/b79Natm9oNIyXRl8IHIbgZwO+
iu3uE+YVOn4Clq6S4cW/nznUMpO3/EcDJ+/9bK5zHMGu1HwkoOa7IekEs9BrtgHjWZs+vDUnWxPj
w6lpTDfe0oxgf5jRCu+l2/brYRhQyO9SOWgng+CnKaAsBTGuz16VbDocPP2BMp/QTej4w4PLYT4/
Jebs3zUeVJGNUI7zzLTMOiedppPzbRaWpl95kyRdBw6INnMXAyj1JZFq2dSwG3Eh1H4BOuy9tSO9
aq33SZtNGseUfD/aNG5gBQ3tFF23y22sBKO1vawJ/Dr2TjMgEWjbJX0xms7vjzb/I3SF2+eVcaP2
uEyq4xwsz25JJZyOffeStOVFoiU+FUOZ+j8o3rPRwD9V1pZ2jEvdrUIXj8GzberpNl2RTIHpWCOp
iJZm+wS5iRn4wH44fUt7Iw01P6nPXZa0UYepIBtEQt5WY5B1ljGEocBOpm8OGC5nz+OtPVU4oXa1
UittGxukawBDvSEDx2ivThz6UNDL4k+74j3sGWli8hgHYwjRcs43mqdnB/QKdrj41QNBoqc+6+QB
8F4X+MyRj1OaDZGLCSKyeiz7bT3vJs3SPu2VlYYRfNBSoM+eyMCBGmKzNL176Zb5kZF5HDJK3Xl9
Zn8TSi2Mv4eBlIOhvp08/YG8RWMzqpWvjakB8bSI7sZCUkRA79zKqgs6+E43RPh2P7PFveirId9a
lU97wgCKx8oZvdtsBAK+5JhXrKIb7+jzmtuWTNXNhLN8ZznrJW1h9heW3gPARGS0iJwoK43fQqKa
A1tUdRPm3vpWSxJsiRO5XRt17qdcBo2RjFQetUI5XKlt5mj6WSk53Tpd4aGJrr/7rLaIHoQXpXKR
21r19IckXtBaGO1+rWsi0MdRO0KGFzdLsaDicuP3OjW6MAZxzugKDDp+uitIuFZ0bltSDmHmPF9h
CdwYk7aL1fxrUE6xWxK8z72axNMoDPlu5jbGckKdrYOTWSXNW1r5h4H4x3xvlpZ9U7W4qQkNYgTV
xDURkENuHT155f9oQBmGhgC0dGVr+hLX97aFWXt0VveCQvFqtYZsnkWYZ/sHv2vlN58mAGHHpQSc
OSSXFW/t96qmJ7BZ5zR/bei0bcWAzkmmhrcF4OTvanLb35pJ6i/ozLSIVjapfVO1MjYx6pulndS+
NEvv3uQfCCaetVvM6t/cuC0J7vBxrcU4aMEYSzFvBloY4mjPWXzy89LzN3Flt0HRp4Mb5IZJllyL
JyBENLhsoPnVdHOFeTElmVFrmSCx1BpiMN1aejsXtcVRU4z34Y8Pm1YbtG99o3cv3HFVG6bD1Nzo
pnoARV/fEwuiX8wsr0Kv50oPBbeBNW312bhmJCfW3jCgZY+dpR2UdLOfZmeVPwlVoLGXYM4MCEyY
bPZBZzlWjHrMANA8fiw7Fc/Q4scHCKHeJ/aoGGN1651aabxr/vAL2mT8SurJNRKu0oPOsp/BEWpn
nqk8ID4TtaZgnVuXVj7HykKVkr1LZ/jhGa29AzrdYzZGZgED6nUZFz/si9pAyKQ+2pKYqdHUD3ky
55ESRvMzli7nYPqLIZE72X40gNEFBnIrQIhS3BUdNgPiBPP7SkBA5DiLnkkNUYlrb9kY8ZgC7UzU
hE5IlOslXnpM4mX3OWTJEx06Sinqi3Q1oaGbY4GQJ1tDm9NtS8wzi2tut9dipqU3ZmGXnNnlIuIn
0w8ajU+a4QCjmVr9PTHcFOiF5/5UQj0Mo/glCThHQdsiQnLfKkxgIWGM6W7OdffoIzo6IUuyNq7Z
vtXx2mxXfzjiMQRzmjRNhK0lD714NEHlLHRbxwYjHCfuzBHP6bTkJ7iokuABh6A+1fnwd/okaPRs
p8aiOdb9/Gihr9iKNeFYMdrBQATCZ0/9GfTmUD9KAgQC8IVca1maS0h3Z4yw4RCiXtHCnoe6JCHH
+4Gc/VW0sXzTSS66xe5bBKVn37ei576yf5RGKQ40PbqoIYbvpqngYg6t8dMtJ1h94rPz8jYJIVQ2
gai6ae81JAV2VmNFaZuguvecZEfF4j6Aqo/DpJiyrU71eGtUrrxTsj4qvvS6ULs0Qfe4dFZgY1II
MuHF4ZLMRog3WFwABT/PeeM8ILMZds2UMoZyjap+GJKBuSMR8O7o8Okw3Vhs6Set7ZyQZuo30Mq7
a7HZiuq2dvuYFpR/A/X8F17GfYsDaQOL7lZO3e1VGQjkqQtUx7SjKd/hwlYIouanqRvuGtHfMus4
U62luF3Xhecehw00+JwacIhR1PGY2x6W5dA2U5smITFnpyrzvJNTttjsHLUxFtfuwJOV6x3hJPnv
wKL/tEv+oV0iLGiq/6+D3+HzI/lbs+SP3/izWyJofDBdBijFIJ+slL90S4T7Gyc6YTOXc/DK/lev
hC6Krvs6LVwPQT+g2v+tObEEvRKaKDq9DfuqczD/nV4JWpW/n/c4OGIc4G1dxUoW8+9/EU3kQrYD
LiBi1BIW+BitbXuDjG4xIsQaC8STa/c8N6sjqWBO8bimje1/xw/+M6EyfbTc3MT4VGMWwIv+krta
ekOHZwbZg1RUolFwsAz7Kwwojlrr0j9ohUErOYnBvD/rVSs1guLTwgS05dNVGUekhBfXSPwWzXfh
bdMuqQ6wKMzARVgYlIuIw6osLMaWnr1l0mKQZusP9zkJo4qkvkmeCrNpTt3AbAuWSHs0fDV9MiZ5
t8re+7T8TmfWUbskIaTNuypzPbDs0jk4ZvdhqkxcnbzJgonAwJ1FFTvv9aa2SGbxtEuVaXJmjxm3
CdWnkoHy2RwUWKFBlCNQ/qIfOBBP2a2WJMYLepOTNZhNKNKZRA1WoIelY1HphxazYK+/kF3qP8/2
vNzCz7u26/2XefacaNQhn5tjeW9lWru3BmVcVFmqw+CZnOgy+k3kjE0H20nSM1kYH37fsmA1FbrZ
xslv8PkTa11r4/cud+Vhkba5zStR0ILHi7Zmnvhp4vFsyapR9d430p/DYKjIn9L5lfA/FJpxmsW0
nD3GkmXhvRvGkEe2S4TH7NUvZVq+tIAOz/QDGIsn0/gme82GCg92zcpT5A7NVfHtThUOyaIcbbEx
Ux+l+DpbV59b0hyud+RzS19gSxISZ2Y5FPneNYY23aDaRIeJORLJ4jiaO3000QBi98R36OQifrBy
kd8tS7eyriZ6kKxWy1EKsTTTl9nmVcw68lFK7IDoUJDjMEsfJ+rZk102yylZHPMMlCXbgnqZ7piT
q23VdfOPHjU78H/dxAOaa80v0DnZwHHNErsSNfCJIj7dz2QynHoJYhbR9RSTcFFoQcEwe5+Ivoo3
6D3dG9FwtEGE4OoMmhZoPcpHOq0IXKgC4r8o7Lxu+GbOy0C2mLkY29zM2yVgapSGRpyANkwMO8g1
EkA3dWn4N5yh54xsI4vqcmxrtSWo4MQccjrhqmiOiHg7SiTkJ5S0RvKrHtY68rzC3+N/cU4kx32S
iaiTmQUND/g5ylaoF4hZ5pXjt8m8BNSC7r+QQUThpNybRlbpHfPtZFvEtv59REsJrFA4P3LOQcd1
LgEOOmPi7CZF4rYS/fSKwMW803LpYmhBdjygEItxuk3LTc1Jqg88j73YY0beEJ9DCPIyGOudazNs
WVtmo44zVyFqEOPQoW1/IJ7T3kHtHL7ZiV3fUyomnKxkzj7sx+mN1piUwKXvlQjN+EhoWjySKFHl
BKU7EXlKR4SGypihMEFnn0Jyfh7pkKBZa8U2sWGIJj7AM9Vb8kzAiLpznDYUOBmfCEV3Hjg371Vl
rnRZ9CmoZ/doDzzWm6ww5kMqS8qQyanvstLQIjGJDmth4y2PGDyaM7Zg48mAWf2e0nsJNYd6bJjU
dPCWNJGHCqv045y1RuBzPjNncAPkcGMQrad7TofqtMDUClg89Us3XA8TdoXpuEzxPeqtT5Q52v61
FZ+oS5xLY7XVASmPcSi7gZg80ZXBDNcPLKiMd5wqklCmzZPmNgu6BQJjHlc/WX6WOmQD2kvLfsnI
6ca6cB2+oBhmXk+Ei0jtfOcO2PlpD/Ub3Vj7G3zI8zMR5lQ6TRUHjjc6Z30GPFXXLER+nEyhpKP+
ZtZ6smceXwQaqodIgVXUwoyB8hub4Lonx1T7KZDsbuYpMYPFsYZfgD9qprBp/dBh2AgarDJ93eof
8VrGUYuKNzSY4u28sSPqupFt8mascX9SZfHQYV3D6Iq5wFQKP1MR93drZQN3I/3jThepf9sR+A3G
cpBrZMWOwk5EgWWYsxeiGRrDwU2sn+h/xmhy5x8onTkNs2biK8unJFCOrZ0IcmoBVtjTSzP7aWCJ
Zn1wvIkDh1k7uIYSng3TacKV6uwA02s+V8mgsWChsJ7s1HrPixGHOiSJi5CEja96LT6mMrZCjCHP
RLfLwJgWY2+PDuArXZP2Y5qKOcRMApHELx5IbjpQPeioV8BrR7kOuH9TgcEO3XS8n5o8ftFmG9/7
QItugQ5ylxUdlDytpdWix0579M3WPcYeTUBWUOnvWTe1oOv1U4e45WFdh7sB8uGmLfQCXDwJ6Tb3
3lO2GOVRcuzkkcDI4Yvq5KxxcvA97SEnixspg6oJKzIlZW8Ve/sUF9029hB1dOZQ0qCRpyxv8l3t
dMNB6hmJ4quehlNTYlTE1LwFy5biMx6yjUFzNSJisDzFtmL5JrXmI0l1gGqMPW/WsXN/CHxe3xU2
xYvdqfvOLO3H1bOe6fR1l9wn4BzfnXsgf2rdeYM7RK3tjs/Mboej7ZQf2XrtwGW07to8rXcj+fJ7
WISuQ6Mk7o4pSFEon7H1gOaxvqNxyNmJnWuEaHwvYjxd2lRNJ59dGZi2kOOLSFNtX6yjfSqbNDsa
qb1Fq9sGKB1vc8f6NmsYvHSvLKK0MuXGjUdysLy42Q291942Xi/Q7pMkp7fyp5fHLIFxkuw8YtWI
1OqKfQfX95RY1gQXJY9fRx8SpdvRJ2/Wog0tx15/2SB/krKqaNRl7iNGc3vbwwAPeH/ERmXmeWRV
5Vwl3iWH9w2NuuQ2AzdTkBR8np35RHCR9Vy0eXVsYeBG0EzGHRpWf5vOuXxXwzLvEAuq91mrnA0K
Az+qR2M8uFM2AA/p3ifBuuITrwXS7jpnjsuoGJIPbbCXUC0m43svW4++z0Aqj4ubub9BP2yhX63L
8WIVdQy2Vq+DRHeL50xzqkeKqpyujsdWbxOiuCFowstu67oXOwKzmksRW9vSMa9pVLo6Tybd6Wq2
tV1Ce2irJ0Z8cgkCi5SRDftYZima3ylz7lobzkBiFWJLG4KJcpbZAebL9w73TlC7CnAf6pf1tpnI
2MK2L471qqqt7U3zx+BJEnzQQ1Gk5FgP8B/GLTkZDKdD0kvmHyDMm3dnGQOdMvejjH0Z8kZgg5bt
NisrH4UlmVKoFXUvKLNc28erQmSE3JSOlsCfeW5mI8dsZDnRROpJEmhW/Cl7ZYQWDCW2NAeqqO3r
80OeZ7fUvUGf6lgJDSLSdNmwg04SZQTrAD5zqk2mMDqhfpr+i86vvemXgp5cj7mNcSJzBrDgtCAG
RHxFfm+7aw5HXl/mG/Ij9aCtjOyg81W/I1OL98YsZeRWA8qWeOnyo+rInY0TrQvbqaD10LrSfYVy
rxiyDq69SVf93sWEiRZoibOLmHrxY6ZvdrvOMwvCaBSBKXNSyqq1qMSjN8shk6EcvaT+kQ7l6Fib
sir88smdiTCxjhILfX7Tz55fP03LyFVDpU1vb8FsSaW8yZQjVhN0onDHoIJgDNsizRE7IOkNNTgH
xMHGy/wT2WTyOTH62lAj2K/8Tv2OrhqToUFbhL4m3TMxenOod156HBB1nNuGnybEvH4zefLMfFHA
dDztnPt+G0LRN3apazcY+Zq5+lRSF2d4pd7BMeCPwsWrh4s7OE9MQppNq2zn0yqajiRMd21upO1P
kb366gGKpklDplRHrWzKe31KktAxMa1hQ5mGvVX03nU1wALT0twixXPeGFNXYv1L872jCityC9ug
fdxZR6UrSgAb4RFdgjm0naW84tB5PT1v6uc5Ha2XTlz5ox1cBReWxhVDpoNj1blyD5Pp2UFKxt3b
ZMtb5ntcVr3w50e4ynE4ZjF8hZ4UwfPSxEaAdaZj1AeDZdPZnjNAhWo8wFuquZIQ0LdmnaBG7hrG
23OZZU8x0Z5vPaUnZya8gUu1xo+lvXZb73qxyf7Ldprfc/qycRNfNDlOaoMDCfAHCs0DfkJSDmUJ
aZWUwwxvn28f8k5VD33sqw3Sm/YbiQriVTRe+1rV8TcJJvNkASNEWVvp2t40mgZTt489bxj1G9cv
m0egrV0VSkmw2ZkBvXVfJe2Hu5LlummYB0HdSnT0lJPOtp+usTVxQaRzyxiteCETPnsmL0TuPBhT
9GcGYew4CvXPuRqmzysqnua6Fd90ZdyEvKNqm6mMh5CEMeaWTm8vG44e1DpX834oE3v6vlL1UfFr
NHFImlvuWvcqhan8In1QsU8l1q6K1K1sMKKOqVFkuKt/mHIrPSTrmp1sbH6Hkg7bpWA2s3Fnh5tJ
174XXr0+J7El7Q0oAz6cubBo6Ha+YBUFrMqdP+nwotz1VlvqNSyGRu56YywekEV75L9yX6mVfitg
tPgoDdDuDZVvkKZ+va8yKYKMYxlZiNW1kBW2OtkmxXVaMW9hBWOuRh8c8XOXZmX7WveTV96KPOvM
qEDbY55bwS7A9BXlD01Gp9MJCGaq8XltC093Akv53knoJqbVqC0vfTU389M6aRn7q9Zz4O3vBr0z
XSMaBtdwGyzOap5uuCSKuVcdtwnJYp2ocRj/z9ICQWLRH7yg3N5JzW2fCsgg/+BogGr0d/ME43gd
jyzqF5orEBmQ2/zVPNG085QVppgusdYRYuRDihUGPhK83Bojchm/G6W5GzPjyIhjq1lqayeCOZ08
N8PK8KGP+Kg7f81g+Kb/4Cf5V2PH13tz4CdZWGXwM/0LV7EUY1vp0pguJHhc3IZaUe7T8R/CIf5v
LwKf6WqMAn7h/usFsJHGcOgdpwtTbsRsHIE1UhHc+nfzxn9akv/QkmSKwi3330tRSEmtfv7o0x9D
/zcR19ev/SlDEb9dYV1ktXM6uWq4EIL8oUNxzd9I0cHABM7LEq5/RYH+KeJC+UVkFrhR609wyZ9m
OEv/DZyJY8MItb8QYf+WGe53wOdfVFwW5iOMR7phIQnlcfpXNxe6crArZHju6yoWpKMznE2IriPI
qn9dnPy7B4J909QrD8sw+0GeOYxW5iVHYpozHe69J7YWpmBFn5/noTiNntWxHzr42ZS5KXSNDlUG
qGgZLM7vePG3llkyYYkbE3VW628bXwNC4gzEBPnGfYMsK4StRVSm5eWRaN15EwteEw/FyDyh4jXx
WodZ3r2OhY8ZOq1podVESdnZdweuYFiU/HhOXyKgu6UOzaheBYcysn1GqoDV1qJSut+IzXjITPF9
ZKzJ7zavRY3xMe7NzVy7KO0d454FsyNMjs/jNHMf6ap9dUTmb3p6QFCP+HgVimv4FJUejhqHIuUd
4ooUONlxaUZMBXFPcbBm+S8SauaN43Apa091od7yR4uRS2Dl8TMfgcugcwxN2e7R4rO506QKiJeA
eyAN5PykQ+4zSzXbumDaCBqRf82t+8kb+uj6m5mF2y71OeKtxhUqsXAJmsLsI7sX631cF/c0Ysao
4Ci0QdNv39gWJREGSJbzljdk0tAMAQY/5x2uC+leUQl19WupWoTMpjICWy7Y6fMFbwXA4R+y0ATX
wX+iud5HQDNpvOoZlPYSwwpKc4/s1xGES+Z3T9KT+an1IYMQZbRum1Vf95PH1TOR5qJzdQ+e0J6+
bpK0XWBuWG0XNi73AZL6+3L0SEHV/Sf0sSNHMP5T6vb9mPKm4gw1i6ldy+Js6MI6Luej6/cG8Krr
XdTzs/SBLin1GBm+nRG5IyR5RzIMXZEzb6DLNUFp2xfu519wTXHiG7z1Ykq/ox3ju1+/iKnUcqPQ
qnDqvS5wCe4MMFZQ31EFheyE61lvOz9QnXr9+r7L2GPoXXBb9ROfl1Bpn36a4qtv0S4OjlccdRH/
4iHnrkaZiDKdu9NzuVXq67MQt/3yXCT8X7I5v5uCN8KTB1igIQt+4HIBZXta8HJEE2qCjQvw8shm
v54T8ByB73avLmelwHH5hr2Bm8njafy6GFXDQzFp/GiTl9/LejIiiWz9WBidHVmSm7bIO3lcaEI8
lF0GvBdy32ZSnLrMvmHyWTIGUHmth6WyuKT6yHuIk+7G67R5F1OUn8xWpkjvYfjmLg8l2JQTjfoK
zUvNXcY0lnZGlZ89gwfV1FkIvBFXO/78ItJ5TvRiTO/HxL58PV4mQdx7XVCIzRZAvQGE3aYeIOOA
g+9Ci4n3MU70ajfj54+I3eUxzDEwfn23IOKvCZQ0U0bUV7HgFqia1g9MBN1IjK7eIjdft6Sw+jsQ
GnmEt8PfQrorwglOavB1A1zvcB7x+9Raq525sIz5I8+3tfrr/utr7ofpGorObQRnqY9GFF8fTWpr
ezvhoxL4CDJhENoeRQ+rl51+B2LAVyDyX7BgSJkxeXp0+j5BafZ+YFRCHnU1VCd8Q/PFnunOTtl3
gsARItHnP3GoyyNgAWC+V6rt2OY5ZT4kTgvGmK3rcJNVpVmdUMHw6sS/s/aWQLlYHDC+oAu3diQO
drS/Zv6YmMbA6kyOe8B3Qzxb3aY1OnWgi+9dzTxeOKelvtdr24ygBbMoxoLFbeKr+4pKloNxnxCW
QKZoteyQ4QNutsYxAHVMHtnIW5gGwVNEFPUe9Sz/cQvz97XJ8Gcj+nposV2NcHW0J/52cmcrbgll
W/fGki07R2oeGoz6uu1M3Ezt3Gw72AlBXhd6mLR6hTPUmi+Dm/9CUsylgTX7v9g7s6bIkTRr/5Wx
uVeZFtdmNjMXsRLsASRJciMjE9C+uxbXr/8ekVnVEEnBV301F2Nt3V1LgiIkly/ve85zMDZwix2U
X6s051d2Bs9VFJjbxCjblebZTIEzbMTNtOCScyQCi7LOtl5QP9cu/zjvknUSgPILY+YTgVCOzn3z
wyNmibwCDiFl7d5S5SnXqRZdagNH0DlPxhq88FjFY0jtP2szYwVaTl8DakUYWIya0xEnN92nNp2a
hcOOwFn7nkHLmw108t1MynFFmcTncKibN3aYZqvWIzDzDE9Zd0yAMI/Q0nGPcQQ0RLdOdGB4URnL
S44cyLc4c2RgqUjcBTSpUqmvAeU17Rp0TGUsnbrWjquge9BkWT62fv9DxHpJ28Ua02evtrQJwZ42
Teik/HE4kkVTbvCdjFTJGqIullXS8M4notdWIUvRCuVYcEa+9KRtMosc2XP6IZ67wyfU5kckh0vt
ToWiX0Yd9bjTIPIt0mWbzHCWtWKvfU4R1lTr0CwC7aro2D5ErnPzaiv2jrH+4HAw72uEAzwF2wJA
df8wiyfzgTCLsuloziiIHFP0HKcsLlbh3XRNaTGseOtE/Gkw6HzoONhPCZrPHOhAGbj0fN8eSlAp
mOR4V92RMbxMdryDVpw+FgN60LFKnz/+lgcngJ/f0uU8aUJNgNt6cLVpCDUBwLQ7yhQDZN4J+ClQ
MA5E+urlSv93CPjkEDAT/9iz//0pYIONI358eH0C+PUzv44Anv4HvwJdOciLF1H5v5QJnvsHhwIH
5gbWcv0N899CzqADGvYtPoBuMpr/0iYA0UCBjpTgJePHZCr7R9qEgwHrO7g3UE1gCeEv9fmA8voU
HeIBmryq7NAJddBU4GIhJRZIA+amus8KYjfFKVHfMRLliDXh1b165zU9GMD2fPDgVMT9QZgBL2R+
jV8BEOo6JHZgGuV26Mx+7arcoXRqZoDX4vzo37gUaGNdJyaJW3dwqcZCiGqQO7QVRhNvM9MY2IEC
wQJWUP8b34pb6VsO3APOcAeViclA5aSEoME+jgjJcGytGinh5o9ut/v4W83ggVfzzcsNJD9EF7rF
oLBnCcvrGwgkpEszmxvoxwG0EGVipuyc57F3VmERwF0uLW12u6SIzhAzfnxxxuA7F2crNI9ixNQH
31NCvAusSsqtRgo3mMaRwHADncDHV/l9jNgUUkz002BBic45uEobelbb10G3bXyB0F+8BI7ZY+32
axReYGs/vtyBVIc7as/4GZQ/qDMg1cxf+tWQhJ5sWsgMui2nKIlZtXlyLfPZI7htYWT5CWLOX2af
v6VL/H4bwVkjhuDIP9tfnINZPIjY3nhW2W1BwgGuxZnJw/LL9cffa75Nb0cKV0ECRXqVzm7Imm/z
q+8FU8ko0jrtthYKhIWlaacsExcKaQ+aiNxefHy19+7i66sdPDQAQGEd2llHR3kwiNGMF2GfA5Kg
VckxhzJrk6bfP76kyUT62zek2eLYFgAaBuTBVKailI7xwGtnRI64EKXIbkN9jj1Ci34EVDJddfWV
C04Ze4NoHx1STo8r2zrqwmbuVfr9GjI/wK7BrX6Mo6Xt6Jz7C5PAyusJiUtGgCla73r6ZGIy3nn+
c0I0VSLbc83fRpzXcnQqJa9RPHRijjsYUmiDo92vNY32HudXkNReOayQD1drIjXEvT65I1tbrzqH
wm4RNRD6F1iKw0/eBfvdj8b8PL/hNv89eBkSPwP4YGcSiUe0Rulgr+hcjsvac+S6rcOWhoeVLPXB
8TP0nxP6tSJpSBzNyb3MR4m6WC9oWbbJoqbOTE+3ohFFIjyd9VCdhJ3ZkHE0abuJffIKNBy4Vvo9
nCAb/7bDw38rey8gtAN1biM0d4N0gqhAq/HWwL2PZdq0VGKybinp9gB+tU8ikX7BS8uWVChSRomE
3uCVoh2uyYvSd6ejOoavrgQnkTHIglM9UvpXDQvMloAUbRnY6jlV1pX0SCuhGQokz4nkBb+52Hw8
Wn9/QdAcsjHgrRe+47oHg3VsOb3Zw/zQWzoxKdmQsaejbBhvuimoqLLnxj9+JbkiBnG8b7Y7zzdv
JwC/GXvPn1K5bYJgZ7RiDeT8h1+I08YCd4GR++7jb/j7vE1tntkGI6rvs/U5mNba0O/J1O7kNlEZ
eY69GHZhOdA4Mxu1+vhSvw9TD9ce9XZq7UQXH5KZw84m+AK21Nb3evuk1GpjVw6d+8kNfPcqyETZ
poB+4B6+vYE5dtccPwfLnUMbkLasrx2Bm/AuP/4yh4QyViC+jUeLmfKwQY344Dop6AoDKkW7HUeD
frLRoqIbc1BbyBqxaLcuWwoGPseP8LjxvkIG2JYoAj+blpDfHkynsNuwHpMpaluGIQ6eX12XYop7
t0WdkLkUm/xsA5tDbsQgY48CySR2MAXRAejl04s4PJXJsEXK1p/l02Qdw4D5LHvbfPczQYvyENL6
v/d8QqFpWhBZ7bYIu2KnN/ba19H3TeCIzwP4tgShdNW3DDjFMqs1ddFVsVqS4GeufK/A/VhkT5kx
9ucpXehpGu6BfJpLrCnVtSo6/C0yxi6Izuq4UNk5zODPNhfvfwEfI7HFlp73f17DXq3CgdH4ufIG
bmqkrlATVptuEOGXiFlsWdVusgpaQ0df50hWrCY/BnXy4MXuTds4/o6WYbAcvaZfQ8Tw9+XkloRH
T08T6RDHlkcNCIKEok6baKwVMtvgaqg+WRKM+bG/3UcwLF59g4PROciMD1yqdqu0hEbl5BfH0kZX
mGj6SsYNk3yHjTtJ9B0t9n7ZzlKzj18Q691RwGkXDzxZp+7h6+4p5hJld+020SJJqznz7O9sqy5d
QqjQHuiPZdaPX13TiH5AU5NdHy6T0oxWqYXLog/bjam35apxgGkMUGRwqZpdNatk9O1I2sFSJKHx
pArDYKp0r12qi7aelCtH878SUdAcGb2tn2q2kc3OrAdK1deO4kKheIk0QfvwyT3/fevmOZwGhWCH
gJ35sJhhm56bBtTSt3WSfS2Crdsn2UqbMKFS/bM+2Se+M20je7c5eRI/yl7x4ESBXsWh/mO02yos
nn1QdKzaVJEFFKBPrjT/poORxJVmkKCgTYpX++27UAchOl5MblvVhDepYYVfk2yarfaK04StUoAc
uqN5x4FjfBau+s7q6+gkJdP9YmFi4/320jJEDhAkOoABV6Gr9i5Ht77SRfCcufI7R17nkwXqZe/5
23e1gS8Y5MtjPz94a/xea8c4ZshyDC+uOot9jwqslSrQQlr99AT/5aaMs3EVqorNjaDG27dhg853
+uTteXcwAY9gZQF58FvHL+5kj4aB93fwSrnSK8R5AoDXQotRitlR8vzxy/rOoungcecxYxX4vUnt
+Ek6J17xkFVDk6DCLT0h5/zkjPju/TWoZDCSuL3Cmz/Gq3kVIUxYGqJqt5yRm6XXjxGg/oTc2QDE
/tBavJ3whlaaqjMQtAiyqQZk67HXTqbJ+XSOfO8dYj/C12XnDAr14GnLsIc8VOjNVhki+l65s4B7
IN7woo0NG3KdUzrOsuz4BdjyaPoseqfO7BXci9RckL8UpfRp1HDWRxYlX1PKzvjpsP742bzzMdku
2WBC5urPby8gVoZJVp6otwRBNHuyOpxNqdzgJGkkBa+/amKXPwf6a87p72UKzzE4J1OmQK5gH85g
g+psbG4pjwdHxhoWIgiaZjrDUhguw9zQllWbF9vIleaiTDv9k4nmne9JO82Z5bvwNt05P/P14Ig0
LyZu26m3zhg0m06AQhJt7a85NcT//FK0+4XL3aTg5x1WmeLEaKu6ceutnIL8WVgK138RIQbUHL19
/PimvjOJ8fgoi7BFxGlxWKkwJ5DVZcfjiy09XAWyqK6JmzLXrG44RsZcIAFF0f/xRd+5l/4M7xVU
nQ2BRertvQxDvYAqaddbYFv0Yu2RIEAk+qtGN9tPLgXohl92MGuy09CBzICZodV58B55qSi7kKjI
LQxDMkAdKPLQUSMx4PzMA7IanaYlKpA9ebasrX7QNpwcu3E9ja6VEy5hM5RiixrjLmhVdmsS20EI
NUmYHcpxIAogqOvoAdo6ikOUeS3d2owGTlvMGPuCr4QhyikRE/m9PRibAYqrOrG12fAMAGxawxvF
HhmmkXHjYLUwVpkYbXOTGPnorAn/iMw7f0AL+uQkFEvCRcUJJjoZo8YKVg05jtGXNisNtUOm6dtb
fFa5WGt6ZRznSDm1bdulfXtu5/RIzoTsVLB3Wkh0G/5eG8CFNW1KF1v4mIoLcGrhmecWMzrdJnx+
0yFcviZ60gHXXWjlEaJf2MIqbMxm4Ufxbd5CSAE+BZR0h7k+pAfdlWW6USnhmGtMPEVzmvQcJ9FH
+HgNtm07+OkKrJcaV2UPJPEk16BLUXfIK3NV5fa8uYqJ4XlwYXGhRg7I20Q8XjbXhE5qxDnINlGX
Ay7h6yIWDaGaWk1SvF7mRCB2ZGx1Ozax46b2sADQswvBcEIImqYlJiF/WyDVKNcZ5mpEeppJMGSN
KvILbIM5szMvLdzNUW9g+8QolHvdnjrvpuvt6mtQmdldBp/gShYOyFIC4I40lWRrq/YvOnKyi7oF
ouEWV4FLEVVEcAUBBW5NkQ6rFJv4Juz6Y6tXAy3x9iFBeb5AWk+AVjJaGwAmj8LSBrzAig6aaNyt
Q+7F2hexsxU+Ak12zBNx0j46ReDn310J4Et02N8Kt3+Yasc+6q05IW3EbxNnt9i21o7m1Je2nzdr
Q8cmBB5mWpIGYJygdY/OrIHnwWkhRu4X3I6TZW9tzcDBgw4WOF+wC0j4XI5J2rGpaN1lxhq1alt3
2qfZuKslMkPYEbOSOJ0pIzTlRXNMzKy5mvQUi4AkYTSJAmwaLnkkgwU0gid7GXjiCgLfiB0H1xKd
SzIoNNmtAhOh7sTW9SoIs+qexrN+WkQuWg5ZO6tRl82zo2Gf1SSsXo+CNf750t7hzSXqrgjGHTAL
PEnKhR4y9scm0OrYrgyy3dRdDuvvroiDI2xM13Gn7uAtFmvUohTquuAud7QQaSpO/l3fuWD3tRqe
pK3d4JMJjtvAIkI2LD3UBWjzM0BRkFj8aRVxbriKG62/rMPGu2o7gjoGC9OZQg+fjXOUiFY8tTUY
Hc+SMUm/OTjV3OufRYv7UMXDRIUrxbKOibgr6wKt84KdZgPIsYx9eZOWHjGxJoPna27qFn7GmnME
SzmTRBJ2w7eKe39eD4yyRCHj8FJjpyN4Bq4pyw16a++Evyhxa3C7A9u0VXvqqSEc2m8qaty2xmkU
iIHk3tZsvqGD3ehJCNpUA0ZYbV3NLH+MqM6rIyvNAHTkXoM3X5WGi61ac+hXp67XIOlWva3N9hO9
pUhbw5JsuFNEzBTZasKacfOC9jGzhJC6vEjjHUL/Zo38u0Z2Dp4B5dgwLciLGY+juNW/O3rAfpL6
brV2J3wuFUvfDwmNwaE5H2LyxqtjnY5j61yLPg2efYr7HaEoDt6oF+3XpLzxC32m/LmpCHNeqLw1
7qFqNiuOaPaFX5jVNzCfwwqqpdpK9ks3Hnku33rMMAzGDCSlNOvjCXLHMh4LsQNJ3X6lCkcbJCG5
d+YgMxLQLdR3EbDeH3Ul0k06avWdW5vxUQIRLNsRj5VuYlB+X4F7gRp2ifRaOYENCKebWl6OzNTw
DuqoYELHsZcJ270ddEsyXighrzmV+g1+Q1hkR3kF5noh47C/rYNh5qmCbPAWPrr4eFnqAk1KTmuQ
dKMom8egNhyT/hRdw1fLFrgmOojA3E7tlu46X9GdcfEnoTnxUZ20v+3NsRvOwiAIL2KPSKZSR5BU
osA6JbGa32pV8VbosXPdS9OeFmzv6mNk+lhUhhYWEY1J7BClfRE2vKrrosynzdSN6WYoR5FvwdaH
F1lW9e6ywiN4wUtU81LxdCnC18cpJLcLF/nS96YPm72YQAy1Mfc7TlKikSBRbr2Im6qRRnmiMTT3
ld1U3+35hLksnKnqkd7i7efOxkf2SECNo0FbNxpRH1dI7U6xJFXfpaqaO1Tk5npy3fpHaYTosycc
VPAaizw4DqlGbDtfto/+0NoXYqoJJ+5xRl6MUOOwCTjkOz4CpBXohwAwW4IU3gH3zqnBslytBj8h
2gkxYg0LJCJh1Ou6AC1MqRs3Febsi9gugy+VE4Xnjt2V906Ibk3O+SALE9C1AR6BrZ3doX8JcR0d
q0YPViH035M5JgM3njt+8bSEeTHE2/oitat0Lbzo/NohVtmz2f8XJLVfCKvOdk0642ShDKVA9FO0
XVEu+QPoaeYsoiGTq2Sq0G5MvOeUsYr2K6FHChNK3z66oSAtPVA45DBdMso74g7puZiY3fKovxWl
hHIylHzIzAZ05cmmerCSyLnWoDhlaMuH6EI5eUEGqCiau6yexksPX9mtXo3pVTw/bigl3qmN0Omq
Fj0XSjW1wQeMwJ1NRnQhWu6al8Ak00NNPesT3jNtBP+KGdYLruDVil2tR+iyrIHfWE4pmCZ9/OLr
dGSmAS7v8QT4L1preaSeXbgqBdgvwiYX1Fta4EkOFrGlo5VoMEUy5QjkNSe4EhEHjEXVtbXa5X3v
RHx3RtKk1Q1TryMYacxZ0QUh6aWxzHFNXGpWQhG3VxnPGkNK1O/whHjF0m/lc+lpnNh6PU+wZg/1
M7F+xq0I4Wn2Q2s8IeQEps6rV++ZLabn0kyqZgmDDQ5Qk9jdEzzPyeaZgRrRqorb4rCSt1t9SI1m
QTAGEXhYmq98qTObuU7/NOKo2MsAbzlYjupc9qr6NhLgtDekF14EDgJ16aP2QrACJ7uNZh6ox/td
EGT6tca5qxP07bXM8WU6J5ipkpvnWe4ZZ+JgU3UBHgg0rS51U2mBqgks735qPXke5HMAeJb1R8LB
MFizbJ5aqPuwhrlhfOkIkGOEB7RfmqoH0YuORoYl/6itqgpLUWV9t/3Q3ogK4HAlwLTg+iTlCjf5
FkMfXg46EqtUNryH0srVlZE3oOKwmS/mdNtbzKSCOK3yGsjiGdFJ6AN1zIv4sprVAA/9vKb+o3dR
D/moarhs6lzoA0DhCBTr1rEm2ut6rOGz06qLQtnBtROY5YyS60ImXTLbjYJmY23Y+s6O5XGvVLaK
eTfP9HBoTonyK9AQFmrBVp8toE/7jxLqg09C6S51C8xgZW899uSr1hiNmdKI1pistl4XjoHoT4qT
cUzEV/bbOgEGIyCnYe4zlYTiUlne1UHp0i2L2JD2Sam+euMQXulFNGzcsTpySjyG/kCQzyJGaOsN
0wP1v/xbmrvTDGjnJpm41JjoOeEsoUWICBNI2u5STbcWfQDzJM0Fmriuo/FldNWKHepwiXBa31pJ
0l53tYYJHWfRVddykc4O3MsOvu6CwjQZeASyPvix79xCTc+O4ti9HRM9J5I9jNgHspVb5LEqF2U8
RGcxBIEZRrULrMn4HunBsOk9TcfBYkwrL+6sFa467K5VRCJsSqkwVMo5YXMhvibC3hb2WG54nZiA
y4TTKX5Zf+sT2vrcp535dayEce7n/oRqIRc3FSFky5E97MZm7jrJgza7NWzX3auep2T3hLFsXPaF
WMsbIkPGsXqaaDWZyyqU8XmdMAxI6grjBTpH0iurCi4aZCtASyjZoLyDqJ+kuexchw29CJMHEo3R
kg7FkSSiL1nYQjstFSGQk25+lRDdN7yKG0CMKFnpsbEhc7tz0FjBF5jGbDNET4SSi6sIw2l85enN
hPbQ8k5aFTN76dE6sjEEpVZjX+SVXeLFHHyDpkU27ZQq+zMM0Cw7OQlVvHBOQVrWmEByt+AbgEGf
0dgNLMhFpiW8RvTQ+jM/kMldbgpnaxsU4CmtlaxYU0WhoYu18RILbX2qKGbPyuI+JvavITIS9oR+
Zbu42BJ3PAp6uey9Nj0DiFqetMWAW02UGc3RgSCyoZWwVBMsrm1yZIyaf+fTM+WcA5qTcPucULdl
TW7zHMgRoU7upXEHZbzZlab73Zicp6Ap63t2rNl91pIjkbSkZuGj0zZQusK1dLt8rxx2LJlqDJre
vpyWIRQy1NX6CDsq7+NjzSoHsepdvXWP3NSAnF4Ip7zQhnBGzCvghRRV0FeaXoIzqssyJqHSsJP7
PE+KvVl7+Z78sRSXlGICTaJBPmatqRPIlkSPdaBPSJw1fmGNCuDYbpLyGvmeN9w17Hh4bjGHHAjN
GauE5li7rPJYUfyx+sZqSeVuygzg1sgvrV0Jq+yG/TEn0zSPxHGYju1jnmKjxMpJEaFVXf6cQmXE
nzXJ4F5vE+N7+oKGLgUw9bYeg3uQDBzCRRCDR6ymoH3U7Aoymwnl1l1PqV1cZ/XIxNBG44yKDGVf
boQ/UNHAVsfwiMxuFkgXxClETgdQ3w/L4B7eKT/jV2PWrNzET2e3mM4wKiwl01Xf8ilBhCOXWhWo
tFwOMSMXTWJRtCfxZEvOjXrRG9FywOUXbti88psnjRC9nRgofq4i4Sttq6l5CyDpkAJiGHP/NIl0
fMNOQ2bqEj8fT0mbWOqW2dgF933TAwAMu3h2G4R2/mx2HVftaouQoEFY/v3Pm2n3WtgtLNqT6Jlb
HWWaa0CaW3CeKLeWb0NwrIklAW45FwVA7xTXNvqxYpvFCeUelAUxB8x0JFzdoAp0Ydb2aGykjQNC
NbK8tgcUFTxC+q3LIaj5fqlrUw9pKj1NMBX2ab/NQflFZwi/++feoTK76Ey7is4czYhuUtWb26Ij
bCEndGefun6NzaHy9Btk5q06GinDBxei40sfmb3OZ2RXzqeOi4CH5yjYDvT/Sjtb8kx4d6n9R2pF
XYa72GuSPz8VZvsYc3qJF3zYOXu3b59icjyyrd818P07P48TqPsxIfCZzvuzwKCLxaKg/gdxEc7l
gnHIjg7yUIXr2GkoojT0VtDR17GN6ZkEboOf1Vi/lnmnzxH3GHVyyG1EO11EvYVhed5CZm5hQhxC
G/jFSHQTZGOpH9OTbo6GvMOpEXojWt80vp2maPgymAiAX0qP/0iDun0qZ352+1/zT/0oKwU4NJL/
819v/u4s/tGUbfksP/xTNyUtlfzwj7z5ve3/vPzr8Kmc+d1v/mZdyFiqfffUqKuntst+foZff/L/
91/+IoJ/okH1KH2+KtL+hhJfPWUPw0Pz9FqD+vNn/nSh2bCxOB5yiKD4/dNq9qcLzcaghiSEii4d
fsek3PsnDdn/A/k0EgQagdjUUMP9pUC1vD/oRbJn4myLFoL6xT9RoKKLfFvmxbwIVdnwhG7Q1yf3
+0BpkCb4cozJr48UBNM7mVDJXjmVNXSwcwib5fSfy01Vq0vgg9OwnPkhqDx9pHJ6tSEpu8D3xLbk
LsDdTt22wPgP8n94GqWjzQ6ThFxVii8zuKRgZ0/hCE6V1iAHh2O8KUI6q3AUQopPPq1rbiK8WXxB
14nEdDECEDnPElsSU9/xYrkkDYhlkGAndwwdTVmJwURzM9CrEQdTVLYNnGCsGE5uEZnMGrwd+HAm
ByCn2rkAiHel1sgryoEsxG18n7i1dhdnOR6IGgIE9vOCt9oE5BhWFluKtsLYj1A9H9t970Ff1VK+
JGbuhRGZe/TmKXROLMzqpcaBA22rh+lzRcoz229fkm0CInZtU3DamLWsNvib5VXUm3vHGlGXufIM
EozFtIbRxfBuAOGdGQGbxGgsrimYGacjRgQCcwsw1B4ECtPL2R3lp8Kr7gLgjcvJkOMxHp57as07
hxzWxRweDRT1vkaXw0a2hMWjTd/SDItOBR8JTGrVbToSMrA3c1pw/ZvRCthVEYyUBs78EeqFY/Or
/RpiF7th/cJKNY3iTVpeh62f3ZYYCm+N0cKXM7vPQB9aVM1Y/zDgAT4D/dxO1aXugMMJOFNKoeqH
EuXvDQSzfhHFFGyWVkUvECvSJdlyR9CmCAmxZX2h+qi5E6l347QwTMoRtbBBts+pE6Ssw65vHHFw
p1KZeV+yqdJqNkXDF4zfoIrzkmIrOSz53vSD7oem100Bg0K39tLMrPOcIyjrmxmNGOSielpnUXFt
kdG3tpqiIRaktK6gm/mb1gsKMEF4qgPeHFbjPoa6SJ5Fn49snJvaItaVXqqBSYUdeoKGZyG93inP
mcq7kzCkKruZsVFfXDHEJyJ39Ht2WP2qVRKzETzfeGVzL8uN4RFstYCSpZ8MAEXljpOMvbDxFqtn
rbAnbesRzhY8K98dzjKzsVi2C+xSGWmn0ByyEJd6Ylz/84n+/dn535jm/27F+F840fuGxdT3V1/1
94k+bjkp/5D/UT7/B/kRXf79bQ7nz5//c9J3/sASgk2AxL8X5zFT+5+TvvsHqS1A0Get3Mu8/69Z
3wN8CCAKywwiaLo79Pfambn/3//JrO9RiZwVxM4sIORfvay7rHm/OsAsl38rep6Xj9e9PSZ9/PsC
4z4RnHij52/+uimrUCMb9Cr0o3Qsl3n4nIXaxajgRdNuKziK5bF+3JIay4t0R5VpkVjtJ6KM2c79
20fAIYQYi+8MQOJABVLajlN5XqgflY3SzwNxp8jva/t0XdDxSc1qocu6W/kIYYBCgw2oQqIsTEH7
wfwm8LdOcCMqolZ00qcghG8kPanKJTkocoKFAGuEpWtFTg+Q7uqHoMUAVmPRgSrX0vsEP+r8l/gE
FiJWX9qp3MagpVptrWz/iFIdbtEQsBw2S+oTky4p+mlNa1krPaXUbRW3yktJczEstpneIockIkwL
TS3nuDiZ9kJC2/dmvjQ8FV5oDGTSatdtekoa8J6Zp1uPsPRMgCB7x/9mWNq6Dd2HiXPamlea3Dhr
iWxnmdc++MEIwW226uHLNF16NWrBDYjpGeebr3tZ3bNe6ds46y7D1j3Bpv19ChHlJumyduhUORMf
Y5CSumtR/MhHoW/TxKMCoQ8/ChFSQ+/aU7izgGP0alk5LRebNnFqXYQ5tdn/m1xe9qKf7CIRvsxQ
1L+fXb4+ECVA/a8sXm8kf/3Yr0nFMJhV0Nmw8WOGmNXEf00qBr4k9xfk4F+7SDEzVk0kzuhMULZz
UvtrPhE2ER22YTHTmKgXsD78k/mES7x6lwWaRIdssnkPi4PCJBfn7XQylVPdaW3n4BjPwGUTIN/t
m4zcGSB4dXv/6sb8msxey1neThwvF0MCyfyJkwKfwaG+J7QxJLuRFPtIo1BbiNK8UbL3b9NYgnFx
TMq6ITakB79HLfhvXBpf4SwuQZV/6LmJtdQYJVKn/UslogDL7q8p+5HOBQnJuLG8ka1mqzdz1SGY
z78fX36Wd/xLkTF/cyY4zGrzRp0Hd3h504rDwge7sme/CqLG03qy1nSQRdUxxXwuN+b0nj6+5oGx
49dFGSpo1hCdICN6+2yLqgi6sPLNPdlY5k1hUQM3c4ccLJfF6raSNt2ueD4id0ZHmT2SnXx0qhaX
l+ZwH2oAF9vKDen6QzekQztNk3hAWkpkXGD3unHSVwGFh3juGkJTMvJoNWaFZf2cef52yXur1/n5
NRxrjpAxcQNah4Jqb6DXOZK4uDc6jbHSZSRwZF06brx2NG5eqnBjSozGx3fvrfTq11VnljGYGC58
KNgha8BNRmhr+8TojZuCKgzKgSJ61hPaF4pyypUtKuOcTTgNaxV1/wyF83J9thKzb0v3GTeH70rv
+7PtaDRI1nbGq3h+YZRPbybsa+MTII7BZHI4Oi2MsC7+Pi74mxsuUK4sdL0z9oLK0pVWReR19rEx
kyYtq30cUyEeQB3Ob+dcTKrcgZdFoxh6SVqK9snj/n1GQl1KnLllg1ZB7n0wak2hlX5NnP2+kzUv
iQB4WZ6aMtfn7NnU/zdeEneOA3v5j8uu6u1LwlaDRojFsa5pJTsoFVEMFeEI6N3Vy5O8ofFm9W15
UpMemkHxIHA67/1xhp6TY4J7bypPNKcfr0KKZAhgUO6eyrT314Z0xsso6hGtFCqZC1FeMQ7HfqQT
YvDxWH1R4h1MLy5VRioBLBVovg42hUkWBp2nfGMfBAmCr8ltmqOXcTPKvPrWNLQYMm9gylXcwNwb
6DPEMN8psFI9qFROXThOBXb+aZgoeBoBnVmvAer38ed8ZxZEvo/KFN8lBHj94GNqo9n1TiCMPbVV
bsjLbTaqpvpm6IFxU2fNZyN7rsO8GdkOnh3hseaC9oJ6fXjFXIZmoqeq3Q+VVZ7YMrcfAn+c/8cC
It2hMLlsLKcF/BwHBCFC7UGNNRDCg2YmpdxrFUo+WmXPSNeZAYBO0HmkI34q5jHxcotaVg1cnDHW
37Z3ydWAY45YhJwg0+ULzWkrP2H3fz8hvqzKr583i7XOcyaNTpCrjVT27aCdvNR3a/Rm+5KfWvqV
mppV4mrJRW1lSh4VfUTIT4LeXa5MW8uo6/R5EG38CHY2m0Ws00s1VqAzEuzD+pz73E8cfo8imtbG
sjBCTGCwXoNppVuTD2sPo8UXquohymfqEs1iCFVkL+nREzaPVpo3I2mHbs0SgPgsTTJUPV5V7LtC
RmBO8uTUzL3yvE/II1p5ZaPTXqeTe2coN70wSpX90NMWGSD7ANQBaqLDoMY+elSE3TnHUkXFKpas
38e6b0N4qa2kuqQdXoJ5jaieINjEuW+7iBFIwHS16rYrsgTjX+C61yARI52GEIeCRWP2db/I7bCZ
2Kj7iu6zNL3vtZY1HiDjVqZHVG9R09ZdR0/GrFWs7QLsp6dmiChgQTP3eDZTEUHUY1pwxazf0Obg
5wWVrsJe1q2ZRnR5wqq6dMM8a5YjSbvBChiffxuSOnVbQXg5cYlOAD5RKn9d5xEBW2wN/LVrSDLL
8tK2H1qEaPHyJd6eLSATcV+xCrR0ZcB4uy3Ni8AqNBjphPwuRiPJ3FMP0RkQ+sCI8DeCMel0tzq2
CAVUZ3To61NtRGW/CVWZU4yvZhykCOPovE99+cOj9gct0oz0rR4nzcq38pDgF9hvjR9D4Cmrb4Ou
T3fGTKA0ZxYlEl7zu0JqtbTjOS7XN4ONOZMr85lhiXvaJhBm5lrOhMuwm2GX08y91DsezzJCdbul
bWOvcgM4JgMr1zmIwfenxKNmhCYi+0dR685yJKwCSvQLa7NHIgd4s/hJ4eyDUvcZAJkq3VXuzn3A
hVToqB36YjZJvPy/YQ60HZZgCOk70M/SkGmsEI351Z0W9Y7Fx02TAuoqciVvo+nz5meyx6syTede
GdFvJ3pI8B2zvSYeYL/OOcXZQPRLHgbZl1FreWIqkCwKStGy6V1UMQu/ZK6IFaMSnQoHdkSZNb/D
N9zqG3gRnixKNR5qnJQaJVkqqoNP52MGY/Ho054pOxbhvnO9SS4n7LQPgT2QzhXr7FdlRj8tyQf7
4f+xdybLcSNbtv2VZzVHGvpm8CbRR7APdqImMFKU0APujh5fX8sjle8p0+pmVY7r3kGariiSEQjA
/fg5e+814SJ6GW0mHe2iMUSEJF0b5PtcB24VbSsF3BW3XQr2uKocfjyNKl4cJ47mirIufukBOG2K
uWquihpBmDQ9/Y+aMrruuoH1meUsjplcRJjoLEvLaRKmSC1qVQof2zT5C9KA0L6ixXHfla2jqbvS
4V8o9G+3PRH8RP9gRrpOJKOtiNH8GbssmzpMven+skZSw4XXsccmGuRSgQAL208Z6UsZKRdZVNvz
x8urrfqeaZ0j3em+oey0mctn87281CJFidL5rq6AjiUJCOV+4RMZ0FVczfaogU1M1m0bcHGfcdxw
tC4P7RnbczchTpl19TjbXHurmnlTPJL8piJFGpQ13Ay5/tOgZkHQbE71aRaD904AfLSNdHkkSnbb
C/U4Z3ztrKesnc+XQmEpJFThKS/9d3uivs/JYH9TkhczMXtF/VoGXAvKoWMjDfMWfY+x9puYdHVi
PptrbiM+u4uKsG4kG0/bqEMb84rM3KQIb2DabT0C5d4gFLCbzwWAwG2Mb+jdbxc9C2v8uTnKVvHK
B74HmUszwn2QhmJQdSlwkEpHqHZzRq6Xw4+jS585jzSD28Pvu3YNtGarQPi9ezN6c3idVp77ngYO
yG+2HV6gsCdoyqFBUCvgISv+gInIL68vj5AVeyC5h0npMoidp9uo8SF0x/aTsFs+I4Esyu74v1Fi
sQEDWWJta/RRBQ4fHeQZ0Q/LgEODPBhv4RgGR95Oc+UwWz5ncz+T8ZSWvNqhz5iojey4nb49PYhE
t2aSszMVePjVNh8oV1147P2NIP8lPVRpzBnQ8mvuWlRpgKVD/gcgz+MG7tyCa9YxeHkBcR885UWI
A6aTZran08c9Uqal955WI9d0opXLEUAvAkXpTGfUC1yVssiia5/hwlFGPGHC17++GsGJg82jHOss
8ZZbTXPFuFkdKPflAXkRn2pmM7Qo2ci5DiMlKFzn+MWg5QeNHAq3CjueV8jj1dbOFgPlh8cTr1TL
K7nciYD/rPZqzFgCPIsafWupksXHJVigvY8m0jWPYaM/oFy6LE12E8tDpazoBVHuREwfx1ECkPyO
ogg9FjWQPSbV42zmHpq33HqyjZAzQJRzDHGhzj2N4BroUNmaN8k6H6GEyCLx5ieCB11aI6oK/Q7Z
iaiRW58VSBENs78ceElKFVDiHR7RhCNqxtJtrkaOtE/MtK2nBp+0s+10lbbAgi9/rxgv2+a8QGXH
jWA4WvzOe188EV3XdkjHs7erjULHdr5cNRRYU7TJR6tcNkq/nNTnXRQZKh7RdzyvdZqAhixQLZnL
jMMgcBaQ9GRRkaLVJixHWcHDRSILq2PaKoKwUm558nqLeDozEvEdtKABU7iMlKqtF/Wld57UqLWa
owuy3VCm9+4C1gIfQtrISz2h9StJqD4WkPLIk4/CsTyRL813k1Buy0fLtEdukbjgQi/6voIAqNe+
yc6NfZNYLPKUIok+krsI6cgP5J64XIDf1yJ9cCfAlXVBL6wqCdhxLvdunExsa1Mn1GEi4elDsQ09
XO5P1+7jfU4jYA+ayy1uyDLkFgnNXh2ICBtOaTKr8OcNUY1V+EMETPnXAOvVARVOhE5ZgKGna/x0
uSv8qeChKGDH3foIOPaWrK3bnFEbif0thoS1X9dWveq8mpVoXjAeoyOmCaG8XCPG9Rsyxoq7L1OM
+ZU78rWZQgh9G6FAt+jz1IFbznryUp+IByYqPFlBLNlhMPA5JNRx0xB6x2rvZNYdjfnlgZM6N7Vp
aP1JN7JoX1ZAt+iKagN9kIuNEENv33Rgk5UTjDw2egNCTp04mBgELdt21SRqiHcI7BAT1r1+tXnf
8Zg5cub3JmKezjgxlb9CHRO9RASKvSRewvvGqkGCAwP+DuqEqyZrpaiFlsfBCrPpgN22Tu8wrZvN
sWYZvVXmwKvwkEah+8oa7nbTihf11Hk9RUgCQv7FHJEp12LS7zeIkLD1dvCImqW6I/PmW2rEBvkE
eXvwSqlp9azsY5HkPxKnbfDuAlhzfI7U66Fh4upMbI8IpdiRtEx/DTCmi6hQZv+lyCGyIwnmA228
cZn2Rp8jnK8xFJNuDVQtpcF9zAS5a47bWtaaXbM6crKfDrUlanBhQtQ3ceM0P6KppF7w7YnFkCIT
iVZrd+EWZXtnnqRe/E85NsNlHaUpNRUuG04wZV0ejcamC0OXrSeFJB6NxyS3+XjIEOS/MrK4SI6H
7JYOIANnB7QhvCTWJTlQ41S6pJNpiC4RpRvxQtJY93LkmdEH5aJklR2diEc1SiVmH1Px8mJGli+F
3VAfuPHIK50um0mcsm4vZI8W3xtqTHaXSETbXO/hloEyk9hO7qDLwTAxk1qcUIwIlryONa3xJ1yC
9NPUIUib6DpjlH0cRWTdJpMXvVgoVz7h/oUoWUjo5AzG51r7Nvunytnc+iphtVr8zH4iJbVkfswS
iU9Uq6vYMLezRFNil7reFDF61EqFWbWJBe2rcXIFc2SUkU3Huqckj1BXcvNksUEKbePtUGfzupel
YQfibJcebC/NvrsDSrErT/Q8cZ2BUskrZHSNiUhXGJIeiRZ4VUUduscA40Jw5MA2dYeW8w1T/15p
7xI0Bte2Q84qnfduFgs659BqrnjHrEr0ebgkQW6wbcSxzUmi8tlY/GH28VCY/mbB/3EUyI9u1ZLo
5eBSMnsMqv3EnrBM1JXJ0KnCA+PPnb3jN6dPKWa25yn1NaNizp5FT4ZNyxPC6sxpZ9mxIZJyEfiV
STyiK4x7hZxtWmtTfshM2ZkOduIZ33rheJ/wu5bvJVXlj6acWsrtsSQA35/tK0vg17EoyvYlzZUv
OqJIbfo4RtIgZZ0DZ20mefKcKbvNAkJPk9zPXivRJY9or4Zp3VflvClaz9xDG55vI0fEzykRkd/w
TvCTPLRNLZUygge4MQYn1hLxraVjJ1FJEGDtv126M/9IJ/S/cXxscVShgfKvJzyMwlXy55Hxz+/5
Od4hq06rcCLCiPQIxXUYfPyBTfd+o4GLhSlg6qBzzfjSH0ohmlV/zIhN4OqBSyYdUUaoDux/MtJh
uvynrpdH24XmBT+MoY7rcqLSXbFfXN2R3dQQrcLy4ITJ2whpdNW16BUJE/hSG/6jGoxDrf1hYWV9
Qfps7fpg3pGBSaeF5wj1v310ALkeW+00q6E5HSPtPmPaKzaBdqQxtFE/5pi0tEb71Ti0EeygPWwo
lsyzcfG1aYebU7KTiDDLdrFRT9s+Cc7ojsL7cckQs3TVVT1mIz+t19YSCWzZsO3NrF11mN/Wcqju
5tb2VkI773IseEp78TyOQJsmGIO1NY/9k51FBUsW7j2I3zgfMfSN2tnXdsmr71YZ9Suz1ED7/zrt
BMy1J9DU7kDLbzFlGb68R/K/dbEQ9lgJe+0pnLW7sMJm2PQWudJ4ZDdKexAz7UYstC/R0Q5FUUqk
xNq1qLR/EaBaC7sFNxVKns8ux+XIlhxjSMH5iPj53WbkpO18JxSl1Q5dy4gthepoYbcFCxfB08BN
Wcl212GvZK5yF2u/ZW/I6SAcvHtT0FjnSPsyO+3QRCe0q6LxASlRdS5o7F9nZaj6VU7yBWzOvrxR
wknGrR0OqBFhrn6BvpY9EOhBV7s1ujVYPDYFASfwUTpG/EhgpnflFjPaV6PyOE13vkSdKLJb1ZTj
lzii2cCJnlNR5RQ1x8keg1eDOy4dWF2B1OKFIFfkIRhH9JClQwVT2oN36JxQvAVZjpKVtmT5Uhc1
adoljmCTHesWEoNWBlu6OEhMoUDH2eFGZMCCNllk9xa+FHxGrS1qtF80uVdLYwIGMhYUTzKsA7nK
ymI0VlZTZaQ2c6yaUQfu7DHIvwY2Z8XNFCf1FsN+/JLbSH2BFVbbqcpAvxcNjFWf4sjVSlFk8flX
IWIKNvo1SFsztqxdlRt0XvRBZPaG7LbvgCKt+sSdtm1Gz2gZKwqOTh9RPGLiNkqGdItMp3yZscN9
KCq2o+E4fb5OkKocCE7j31A13XMBjTUGVsoXhB8cg0CqnaaOH0mlM/cbs07mezvh1vR6ssQPXjvw
5uWczOeAlPiMbiHHKnImUaKjy4DUA/tqK8KSH4i8DH55qbJ6Ow/VDNGLWUDK87fPfIZBRKXhjInp
VkA1T7vyRVh1djuTsf6ZyWXYW70jvnsTvpO4b8Td5ZXlpPiFu6HX5VZp28FDsjD/QQ4Lyt6J0/CB
2p/euNFVP0ot6K69un9qcxdOnQ9OA9o3b/xiaCHZoHuGOcE/LOPcPnoDi8iGOL95a0YtsWKjm3+9
3Gk0VvltC7FY/cqa8TVkE52X0I2AmMMyxLKU5HghMWK9IOu2X8da+527yg0elEeB1ehjmoX2m6xm
pHE0cgP3IAY+VHq8NWwb3YmzyWfelWPVfXZBmt3WZuPfhZY/X8nYss8aD3YepVFtU+5IiNuRF3+N
bGSLo1el2NDiiR80hPxGgOIFYMLUeGSyPuwXH3W8TBCfNQjUtpdPi+NT85iBLArXbRHX3doirW3d
IOAhkBpuriVbNybFXON0/YQf38MrWgcllMVl4T94xd9CrIFr+8LjzZfbtqaPi86TSf7TINH0D17z
tc5wvlU+44Hwxu56/D/JfTqY6Dk7mh+5+uFBA46chp4dyvnaDs5T6+AySPcd7OBEARH2zCm89jVY
WMQeohVjZYu5WYcaPtyxj8ETdchftDLLP6OSfm41rtgfWMMLC4SxHwAztgJS0rJqvs04hY9Tvmlh
LToagExFOd1ZnGl3YZPg6h41LtlvCqLXo8HdzqLAfEUqxAHuqlh3F9ayAXW5Tqb1AIVZahyz1GDm
fAHRXNvAmh2ozSAfD3XoPbBNluti6B306yCeDVjPLcxn5jEV+nAw0OVQdqTmwNczNCQagw12E5sZ
wVr4fvPYM8pao4JdPisI07ZGTes0jp2APl3nvThFQYFhCDC15y18wBpWDV2IxooGWBe+9ezPlMyI
24+Fhlyb9JEPowZfm2EvUBEBXzShYmPVFzujad6kCbVqqhvzetYQbaVx2py/mGwMEKqtStIolwzr
5x/OLM5Cw7gzjeV2RwDdAea+jQWzu+MM+T7PGuOdD2BHHdDeZl9jVNa4bzeKIQYOy8J6oHHgSb44
iNxBpawXXGhR/Chhh6caIq4PeLeELkAWdy6U8bqzzRlMHvDxZbDr6wYeeanB5NxWzM40rNzR2PLx
QjCvetg4NJbFxm2Ngdx/UOetRxI7efhHms6gfoR479EmbyRkuQ1z9i+mhqabGp8e4TkgMK7/xijx
TaaQVjVqfbTovDsav+7hg4QoRgKFgs0ek5JIRwFFca7B7XT52jW9wk3HZP0a3EOypUiArxt4wznA
i/FcaAp8E2ggfOv682m8YOIHG3A4iTf5cx5A5HE1S77VVHl8deUpUoCpaNHHm2YwsC75cOiLlu9N
Kg5fC5z6QBPrgS0TR5RKKis9BRmFCm/FIMavtTmXX0fbcm79jkxZjwprpfwMphFPESt5l+EyTWuP
GQ6+/GjlT3lyPWCptk4tfZSJ5tMCICSS/S6koW7ySCQvDJmNO99ifFVw3pZ8iI0JmzwxtkOR99eB
p1zumJqo8wbQHHS7ZWQbnPrmtgFtcnLJA9nG0qugb8j4JSLT7YwPLcu3Sytr+jNRbdx2SegdqRSK
vWU2cptNZbxG+9u421RNP2rwBncWo8HnUWXjQaSBfPVlR3wDa+EG+wgemGAkQt4VnPeC5VhUVGG4
TY2T2TTgmixbHhryrNZCdTme8DnGH2+FvKySuBS3/GDeFa5aFY+wCw3zRsW1IkC9UXtpI2nvxwLu
sFA3E+kdBN3tExuQVxkub7lSjdjk9UDQxSgVB+bCWmXwC3eVa3brRhXuHgHUzZSlZJ1rEQtNMGfn
le1wvxTUeAXcJ3auIbyb4T0/SmachxBF9ZvTRbdAVdrvY5BRgHDy3EXCT3Z9GYuV4UgO/CrLNj1Y
XuYtjq29zmd20OauDugciqifERuN3osjpv00TsmmdZbHGRXM7ZTZMELCMN+TpLb3saKsS0vBNmyS
73Ka907HlgdxrdwOdAW3kzlNp2yw2nWft/ERtsV1lsgzPC1vE8RhfpwXH3xeHqYRFmgjLawt9s9z
VLC6WlcBB/hM5wGnpSX2RTXmyYPj5xKxdd+OiR7qugMNMcNI2BISaeKKicxkxlA0lvN0nKh/l2uP
UqVY50lVeNu5zYfNFAobOyAanRzJxND3zabyMzKa2mRI529pgR7eXflO3NgHdsNXPDcPhhkNO4iE
2hrWj49xsCxba17a2ySHmZoPnnuDAemLXJxsuwj/DN/LWOdLhyafdINNGXlMvwPhfbRTM69zu14+
rNbqbkYItrvMGr4rsHjb0bOHm3AYnA32DvfkTpx+sPjQGB9L+xpjljwnlCpbiJukjBnBVyQzMQOh
Pn8fu2TmOK5cCDBxfKqMDOxkbprrQraQj4eMBgI+JLZKUZL76qIWCKOnyOgmuibu1eJQaNMM+gxs
zACurNStbxXrsnG/pZBE8O5m0WlOFr/e5pYu+mm4dh8mpsLPoPByAKJ1Sx3fugeadoSA5NGjSfgu
k21qGYNMja44LktMcD4qrRlhlzIeBJK+11KZ5U2bVt84gMLAbGzZY3bqtJerjpsN9OJvsqrY9Q1Z
fQaDr9esuOt2fZ0NO2WZ6o3yxWd8xmijiyO6zY51drLcuwM0krSMWEvnhI9GboJ54Unr6/HF78f+
SgqYGks5MI2Wc1feFbUMPJJtnPSjlq3JuDfPpl1lpWwFZqTpQBwNG+qAMgo/kRezcAyJZ53xJIev
nWJ2ujgVEtm0MQU2XsdlWFYH8Jl7c6yfah374ekAkFhHgaBgnLahtRwzHRMidGBIo6NDMoS+b8zZ
AU3QWSpWEIwB5eTA72huN9xCCUVJfkkhqXUgCS4eLX3D6nHJKqF61tEl0+9BJo4ONVGyHX6kOugk
0JEnDLrEASbp90LHobQ6GAX37TXgvYpzlgrPdJ2Ge8xZ4uzoSJVCh6ssOmbF04ErSkev5DqEhRf2
zMGPeQTA7p2RE9VSXlJb/t31+Z/oekEBaK3Xv+763DaqS//P5h2b3/uvyt6f3/iz9RP5v9FfQWZk
ISoNkHjSi/nZ+rFMF/8YFA1iIUONM0MO9bP1c5H3IhThy6hjyPejK/SzFYS8F4GoCcAMpZj2iP0j
eS8Jan/qBSFsC4Ch+Q5TD/pKqOr+Iqdzo1C09J3t64U8x2QhNzmhuNs0tknp294YnRsxtQ2ohIfQ
yyU2Lmd5M+zSt9ZQ1Q/tIIzrmNdOexlDdzLLhnD8pb0BGnlIyYg+hfATN24Z+VdNXxuPsm4FCLjE
uCLu1loJtyJEJRTTcx5GHWfmhhGWJWSzApUk137bknjVcBizEdjVbBaxs89lRHg137NKveRQZLhG
HWxjdJ0ZwMmY9o68m0giDbiOGNSFdZAtli8kKdj9S/9kuaRl90W0SRP52XvWSOCUAFU7qHxNaPN8
Q32UbMfOJJXLZExCoJkske/HjDd3s7kse+JrUH8k9h4vT/0azUO+beFIwaIh/nlSd6qgzDWSokP1
0Dm7EvHJWniMpJzK5/dX8Hu4Uu6mq8PoMLd9dg6SlE3QspYD2TsRYSLAiUchBjos+Z2aI9ozbbFs
K5lZWMoi/GymoII3PWeTZHpJrnp4Wk3ZnoosuEmtKF5ZTnWGbzySxxfso6o/CIKNVnFpM6+KGhL/
Gblu7NjcG8TrEVE5v3jdMK+HTr8JUXSbDrz3ppz7ZK3ogm3LsP+oKMQdcLgnQZbblVDEAFNWbpsl
2BlZKXYcs+tNTxkGzDUIVtLzD1Ec0Tek6gy19SNbYuNldrJm5Zi9By4SrDfy3WlHYEC0MuhDHG0g
qYDLxHJsLSjnQTBKmo+Wt7NbY960k+luak7+HEqS/dTTOZMkV28ji7YMgQdXTN6O7FwYbcnS2fSt
AkhRJvvUoaUfSSE3ZWlsi1w+wcd9CaflOqcLRIy+7+6MOjO3lrmk+0BU7wuO95xQr33exGo95hTG
ZpQbJ2lH393FyDd0Ob2NHnmXLRi6kVuC7KeHqMmbHRMFzt9IgNZMlNYDG83abUuTnot3lHZufZ0x
R68L1V5NRvHBoWjaTmkotjkDtYNXE6S5AJoCecS9gA+TvTMR7iFdYBS5jPrXZsnfkXryxWi7alME
U7zx65ZY4GaWeyvkE2wcch587JS72Mmfle0nN7WZVjsn/MCYaZ6mhEkeAFLjqXStivLQT91NUGbZ
GXs2YrfWN1eodyFQZZF6MmtgqtAWi/MCZGnTtssNjapyF+YF3cM49XdL0VcbiBPBtp4sQkJsw7zP
fLVszaWotgjD0nXvFfYm7RyYbVgSjxaZN+ssCQcYKcmx8wb7Cls1YaJ2Kp512N4OfLWzsd08gC8e
jRtORJLkE84ErZebz3PsmvQm8JhXgySBKhXBmmEMY9OlqB8Lw5nvY9GbJ6vTFhiCLNnJ4QWlW9xJ
o+52+eu+rIutAxx6x0vlNGTU0MN847omM3bfFP6t4RYfGbk367wOy+MgA0ShIbymYOF6iqX1mNSR
bJE55g9CFkB74To/UXDZq9zvHs0wO/b14J/CJUDOqrwzmAtJyprTbNNoIm5pLP2N607dypYRQMwS
yQr9NKu/L5FGrsw8s/ZIDL9X7jLvSrVcqS6A/Ma/b4N6PxLciM28rkktMBSz9lZsaLojKiPpe2W5
2btsEmRh4fLYNgxbmcjTbi0Cg1ZKT1vJDClkM87XqpbcUomvbmY72PWV/R5hhVyFWe5gjWy9x9iG
0VAF0bafDWoxK99Prvw+tOW4CpY5viXkgRN4aVkneOPFLqenC32OYThhCDoJqgoPqWPeNaX91ffb
6zxx82PrTS8kdjNny3wAObPjH0niq5+iaHgtY4V4QwTf/XQc10OcdWsSL55sq78K3E7ditDGF0H4
Dqkf5U1JNhqpsPclgEt0j5B4Yyl/KNWbNIdplXlL3+xdF1xB7M35VpK1fT2Xo9q7E5oFz4mjQ0kE
SeukX6OZmnx250NDduQV3bl+N9iz3HVhqY8t/MZ6WZ7k4Gb3ZOZc5xabEK6taVUQPbKGJEw4eO95
K7PyHjlBpRvUbNnVLNsj6VpUpQN5aUnX2+iD2F7SSvpvZTF9GeMepNYcfDY9qN00KdNdj+ppP4E4
2wGc8dYBovK7rhzIf4JGLF1Xv/DxRuCaXneeTbxHfG7Qmm9HP6PLhEeZBY0cqdR47SN8xtKYPp2M
A75T9v0xHBYUT1lG3FEc+wfW3+yUkv69T4iBwrxLCluvwgqfm+3sM6YluyQYnZ1d0rBjVGztkyB/
HQfOGURW4NFpr9pCqhWmvR+OIYITE/l4h3mbWEBB18tjArC13Mo8hYKOV+Oyky+sqjvlq2YzhvPi
1B8lmQfds5t1cD65Z8mwrA8TKT6uDgSScDpeunioAh5FSXYKk3vuviq8iz0VjYIOtV3oh6zJK691
DtImQo9ZqPDt+Nnpx9pB7DnPyNGSrdciYcqJuVyI3mAKgaLrTDRE4Ks3hNw1tA3lDC0+eMp83BCr
Oi8zNGSrWqhFqZt/l9f/k/LacqiK/668PpC9kGW/FtY/v+VnYW15Lr5ZrLYBOSWkrfgUrn8U1r75
Gxk92voW/p6x8P8Ka9v+zdaBt8w+8cb5dkg5/LOwtrDoIg/XhCJChvnKPyqsPSr0X50FCM9CBq28
LB9LGY/jX2asFPflknuJ/di2QqfFLRWVLDRNCq+lRO0qXKThcIHVNxEU9lOaFsaZ3t28r128POsy
g2hPXUFWoxmX48ag3u4iQ9CbQ/7bmiY/h9Me4bdokLP7XE2iWBlIio5NSs5gj6Rie8n6Yx9G0qaj
HS/pgQ25BmdC+5ZDlIBATS2j/14vxqJWqTu6dwa9rrupLrOSbmI3vkfold4DJ50zWpZctnWaaOWv
KtSyY8CEfGE2xEdvp/l7l4zzvVFg+EK7Or/NPCw4D5IiYOa0dN8HlViMB5DHJmCpHpLUJ4TNyHhi
yQ561kPVYvPL/XL/u93hVzfh5ejyiwtCfwQ6nJpPFUNhaIXa1vTLmLtaXDc3YjIxF+VER8+h3kSY
h/Iqaqi6kCTKDk+vXUX3TSDs63q0eWvCDxtwkYXJcCbN520QeM0xWvrhZom99NZGcvRpZYXxWkuv
Paczcz8vy/Mb5lUoyEM9KGNiFe6TFK5w3zrNXRiqZ2TPEDDEeE0ksP1kp/Y+SKNPVjL58fdvOvqL
Gw5fuhnoGxjUlokx9K+GTcEpJ4lNUT+6TRW/WfrTT5rG+oLPFEl1YKoj4ix1rPIR4mpKc3ZVGUhe
Wpo1kKYn80MUlp5teuN0pyMJTmPjUADM/Ek6tv3dFo11lRj2eJdijLx2Ejnde2H8wqzThpbGJLKo
IaD6qKYOGYbzfWooY1+QXLeZOVFvF7PinnY6c7gyF+ez9vvrUdkW+rbYO8xgnAnzoerLprnYTh4s
XZMhHvlIb6WI8pPrNuO3LIU0WXbO+E3QDjkGc6kOqkNeGmOnQoXX7zpqpDMPZXEbDNgJSiT1h8L5
NIloICgwVn67QX7oXYV0vNYZTf1+k2Wt1HUpE+cFCLKdMfwMakSfU82ntOrqLL+pUh3/xab4OpOl
8j0s6dIR6cUojGgHBLrTEli7Om3bQzSJ7KrsOvMm1srcsLaGG7RRvDnb6dFxynTJDzMp19F6cRP7
bGBfuWs7iwtq65nyEkJz9vSzaRQL3tuxfXXTVn5ERHRdu66KKNem6b/x+f1lzfIwv3JypLfgaPew
bV8CZX55YGzy9eNkCIwzxcnyQDJivTesliH1NIYbFQATR5THvaOa5RsxtQRId62Y11BD0s9cNNOt
3m5PsjPlayBdsUEEbe4leSYTdpWN7P3quZL8lGJAtLnKB2JGSj776yYmO87sSHFtvWSCGdzY58mk
/b4KZt7q3BvzDS6ZbM1yNe8Gl4YyC2pTMAITnbX1OsPeZghW+JnTMN3CUl4eLretoFVAFoo/3ygJ
z9cSRG40ZWh+CY2qfY0QQr/i3JSwrDM0UxWxuin5IHX2UZvFXjbKQAU/RX3KEbUndBodarAtwjS8
C03JJPrvH11b29v+/3qlLz+WbY0G8TGU0hLSj/Yvl3+UgGuTRRHnqTiXMZwKrNWspPGYLxHvwMpt
hliyNZ7yORvSlYdDS9xMqk6nfYgWjMkXzyAz11LGpxCXyHsx+ASGR3QcyROxVPzGVJg3oyUVR5n1
xn9jM/yv3gBZCNpNTF8q4Hz95zdQL0WrLCgE59InGged+XQrRZLspI8wl/h31plYorD2bJ8lpk6B
xkPqFu+o/Lwra/Rjgk0VBHN7bt6dKbCu/ZEAwdQmaHMnyzB+wg+B0jKtEwY+f3/xL/vxXy6+G5Dj
BJgPMxI2yT+/dgQamVrc0Ts31O94/No2/sHdHIcHhdvixVqy5Saf2umuDIZ63+EmQjlU1/4xFNlw
ImudwyUj/2PpjYT1kT301PkVYYyjSzSMkn19t4Rtdk13f7ofq6gk1a0d2x+E4jCyjDL3o43H/khz
KSQeXAfE9nRrapg0gQIUTArrpPUEHRm6rzbumYMREuHZwlvZxniEd2XrJDtRptMb8c7LXo1DTGs7
VdulDupw3dn29N0iQUet7Mol8aYVtrVdHBHtnKb4sJCntKlTy5VTCHEsXQbKdcCjTk2AElc/enFk
JJ8qxhW19Qv+smc8fVomZZ+ZTqBEqXJnWDOVTT9N0S673EzjN+684btbVnoF0ZcmD+ITxNPlxiXa
gwNxxconMthGs10VT6awF8I2pJ99Car8m9MQbyiTdDoWo92ulZ67Gy5TmHRiWuihd7gl3Yq95O9v
BIrEvz6GJHNRM8BV8S7l4F/KBtZqOOjFIM8MvbpgPRMsCpZer83lODFxhG2wDjCHINfHsrajFBPv
PgnkqKxYk7ZJ1R5TQwYkC+Ul+aZMwInbNjN01ARNVqQN17tOMhgmWC8wP+bRLJ9Z/rsPm1na9z4L
XGMT+V4VkMUdItSvKcduhrrztlVgztwHbo0cu3TKuNyVFh43Ujdp7oUMJjbzIoIjCdPP9CEsIAsp
eIa1YWd7opWMBwaNMwnfvdl/kqnNElnUYBtw7x0mawGdxVN7oAOkS079uXI66l5bQv5IxkKzNGEn
wdA0v1qotTdk+jorXk9arZjo1Xukytysud26a59T0zcYOZgshqE4NaTaHZaopHPAZFHuF6ayzY09
xS55jH2RvrAPZC+tkcMl4kRG56LJqvy1RcGDiKiQfnJA9apD9BxWg1Wb4ho0osA6G8OoCxxk6ycz
JNzLaCt/owiQR5uf9t0WeRPYc2APLHkluXbmqh0Vf467XmcCpoA+1qHfuu4G03b9lCRde4zJHncR
muXOR+rEdDcTyxfFlQFmlvInmh/QhzfGdmHU+VGVDetqJysC+VnZzbVRk+qVeGNxmrkRUNeM6MwM
d04Z5luO88XC9hdyP/XLA46IGLkSEQJnRW156LSMd0VbbfmBLTE8EnRsYPao8KSG6CZw5all3IKB
j9BJ+1kKoYPBEVFU3IX4K0nJnxK16cCzMycSMY0PZyl/0Do9M5nCneJRttJQJnuXyXxR3QZBld7b
VTCu2QwYErbRvDxcHqR/y4WfZvH9//7H+2cFmzmjy0ly1J+OqYx8OQz+68HREa8dDcT2v/imP/TC
wW+Ij2wQyR4aQhJY+Hk/z7aR9ZuHSJajDYkEpAjqQ80fQyObLzEzYorj66gGHSLz82zr+L8RVAHq
F9kvJ1sCK/6JgBiq7J+XSIC6oLM5Q6Nc1hkMl0PIL5VK5mduXlptepokGkgGFQ3hZkiRroQMDLp+
k+VC4mAELQpJVaaBQGgwGCChfGm5Iw/KqmDuhQ3TmP9k77yW40aydf1E6EDCJXBblmXoihQl6gZB
US14m/BPf76snj5b4p7p3n0/F6OZCI0IFgpmrd8ui3TCbT5Uy7jqTHN6RFdVOHusabPxiD2l/dwQ
T+uuB5Sq6XoOcxzkg6UGnsYFfu48dIHT+sJckNDS/XQOUk9W+lZfDjyQOwf8pgq2S87rbDsIypTX
9ljRYaFwPqwccKZvQTrL96ucrvMDgo8XE0tPXOedWqO8t9yNiEbHOgdWF29UUHi3IzvYqhh6UuUs
YycVHWurOR9Me+N6Inmq03R+nGKzu2sjq7hobWi5lVNlgF35UwSi5GIaXnlpfcndGiVlNDZb3h3z
TUTj69GCVjmJ2N8j9WhJm6+SaueWKCgtFRO6241WJjaTS3Sy00nrcx4gnEjsNn8SFvU4Qex8jYa5
vscaH2wgpe2H3krbw1DNziYWFva2hddn6cmtMSNRmGojf7Clkd/Z5XhxzVGt3TynBKAmU+Wd2O96
70hKYODfs5MoCnK+vam5DC0DIL7IJLpVvXLuxli/lQis6c/muAV+q+7Cui1+pIMX7AZaY3fK5eEX
tVJdLC94d0O0BSIk/dozYlIJFX+Qffw5QJ+N76ko13XuHocRC7+kmOIpbZV9sadgOtm1HB8SZTaP
dRZ/Sy07fnMrb9ws0XTKTXfeuIQyrxjdHNRTtfE4VFPxlLdZsS6zXN1ZNgb8jjPCRJMRZZR2d8ZE
8lfCHfsJTp6wAGVNdzPVJJt6cq2tcPlNDRLGN+YQRs+LL4nUzf0Gp1FaVgE/Nk1Rt9W1ONlxYx55
vn/P+f/fR72TPzIsYtREfR5cJOUrj77l4EVswzSE7V+WO8ewu3VaD6zI5JzvF6MvL6bFFS29vjtb
JKucZmbFurWdneCyv63oPX8dWlRqW95K8dFJyT6kbCNndrMHZ9Nk2bjvMUntjKY/eXTNH83Yux0G
1aCg9kqA08onuTOdjBsyHgfeqFyDtMnMBAWHSL4Z3V8MI9+hJrtQ8GXuQnlySDRZIfhCs9anD7Hd
3hvgHILlbBPkzkU0Zr4t/fpd1VICLVQwfKghGQy/FhKWiBTdbiYf0Tq5zkgor/6m5u9GhBiqEjRN
Lr352ekDZJtzEN7U42DcjuQkbcO+jjap6bzyMFT3Vl1MO0O1Fd7ZyD0AqjsvjmeMFPJItSlC5kgD
KZUHRSepVCayw3rFod5se1m0e1YHi7Ts49Il567owNA7ZPwomstQMYp6kI8tI0sxpcV2xDe3y8Z0
WjtZqi6wUPlj7bvRgYJIGmKWzD5QzTs9FlO+7MsOVovY/na/ZJN367QDueH2eGhnJ8xwI6rxkR3g
BVmmcWM0s3s3OiIuucEq5YwmSlGG2mDTiNZKH+ZwtIszHNId5qxvTGbu1vOW4DlF0LmjoT0jLyAJ
H2bbT+5RJb2VTu0c3AZabEnEm1cPLma71uy+qpaPTNdJvWnr3DpFOdF7yBC4pM0oh9NxcgyZcf4w
89glkZTnXV4RSLmW5fx16cl0AAkI1yizujOM1AwvMpF0T3Zg89S0yFtNIJHIL4t70iIo8x6CvK8f
IjdEYVuPMSWXxJLUq5wUKJK50+pQZ6QxkM/T0Wddl8GlS+WPujLHNSYtCsBiP6cZwReI5WjR8QHh
yqIK104Cqx2t2chSFv7EM3ZioWvGt7piN8cNIySg/EgK9AshD0o4NzNz8rGA5+x5txjNe2ak1Qyy
mVJYNsWj5d1nrV/hf6gm/ybr/XQ5T1gxHyde2E92G3KLZCOX3qHFPvFFiaQ9xgsyiBVt4O63jqs/
WQu6ieO1MELp0IFSy0tDBZa1CVFCHVFN+MdmDolUDdIyugmb7jDTlHYf533+RFuJLVftQGdXnIVc
uMEyxq+176jtYDnFjSCT+Q2PuRmsKBaiMBUlhnOO7FYQt+3UsFzLSO/6UJM8ONrDMGDKXFBx8Wj/
UWYOxkZaOcfbblDqgYWrMTeSLOyWcbbEYkiBhj2t6BvtP5vE2L81rZm88k7GqIB44BaBYXEfDm7w
w5ziniqnPLQZsbPhs5Hly12BeY+9P/+dqAjvuwsBz+AJHNYTszAgRqOV6+BWw6HgabtWzA/zBlgO
CikIOYv01sb+Sz/M7hmaJ/9upGaKRK63LLXy6mR8DBvHe+E9gtZkWtBJzrNlrNHf1iHV8EAKhzaZ
pvcsgc/jYUQ2BeVsg24XRSZWzLHxkKSewopuF+0rxU/ZnZ0DPHAVd45cW0Gx4FBqsu8Oixd7DZHv
kEfWOlnK8JAJ7L0ii7lZa9Ih75fGJm2c3ZwkRYsesGI7W4F5y249vrrjPP4e+nHzFch/2JVGGlBB
GAVIF6ZmNo5gNMMDXXHsF7ZqjXfHnNX93NJQs7LpEcFQTOnOjTTG+msQTezl8xL2h1qAZW6g/huQ
AFbfz42fEF/pV3Z3SR1cOsQd2w2q4Do/cM+RS94ThTdjTYRC5jcPtrZszdcwwLu5RcKQTRsxGO6e
JLTkEgY1GJw9y3XZ9yQ64zxBOmrHBFe6YijWdmbJ8zx2zVHEnUc+tGNu5qFXqI654GReL2t4T2dL
+gdynNQi8jimM2klVE3gmuo2ijX6TIgu+jWJtG4zId04KOm05arIy/Y1a1MNs0e9EoBpqvqSzdh0
tuiK5oYSnWb5nfY9+zY0x3pjW943J4qDTxJk+q2KVLWzY2T4Gx7xYbGaydY1gFkynogu2bqHRJry
Nlgc+XVw2xxtcY0TAm/mgsTFnu1vcmzjUxcK+yVAFpus/MKe0Iu0cORlZVU3ZKvzP7Olz/wbeiHm
i5+FzbCeQFjehoAo0rp066+EEHePboDWeZ1OlvnaLwyQ28gce64lU2FlLaX4HjRWk27DwouMI0rB
8AvywPIT1IendjYQwqlX/Yzt3jCoAWmx0RboCw/EDj2YS598aUp5F80DhrmCPGLfgIWlvJ54qYDI
0cC861FnbqKgkEQMY/C6pz/BWPkiknsAE7deue3gfAvkYiENYi99KZ1Z0hddjCgHhWGLeS1UYlIO
EkV3qrMWVPhLeLDSHJ7DcbvNUts52dFmfxYGEom+LX6PU6unF7L34OExGCMrxkiyybyu/RS5Mvzm
sVPuhspEJsm3uWiBttPfxtZEiDJjFo6C0EWKmbRR6pC56qTfa0S8pfamIrmEUuXRAodNwEQM4z/l
z4lrxgQMuQb7Qdif23oKUi5wzz9lbRGsI5MZsRgj5BRUJO5KULUbPyG+CQ43yr4orJPQWOEINhon
Lg6Fura8bRMuyykzRH0coQzPfML8bDlJ8h4uSYfHrusoE2uGXRTY5aHJIxQn2fIZm/7Yr4Ul2rfI
buSD3TTG78JM2sN/t+T/E/9L6hqM7V9syeX35K18+7Ak63/z55JMLir4HEASjC0aRgjWPz21/m9I
p5nAaIO/Lrv81Z87svhNkrVJjL10BRSxTkb7c0eWv1EmQykqM/Efq/U/2ZEdvW3/jOazI9vEv2ib
LU8tHwf7r4Byz7aWLPFEPpi9TBs6yPI3N4VfoUnGRAgXY5EhGkrNsCg9UBZCMZgQL26L24UMvGkt
MOpvaUsZvsteFPcLHrKvAWld5HAFGSU8/KtiM1Uh1zCaha+FCxWG4de6x2XhYYdlQ7vFMQlLk6Xk
Z22Jd/dw9vlPkpqKSzv1w705vBVVyz3DYvnSYdJ5rbJkMNbLkIMhZ2Y9vZGbXkwr+i5AHg07wqw6
BSVzhN3JKNvWXpN9i7mLgdzaggiSGU0XEvI5wdLUTDwB8qC/1eZbElMw7zgbt7V85IWVL1kpbRgY
vKhohxqyN+LVRGH22cYAist+lgke0zInLjkzsuq9hkZ/reCl7no1m+veztUJIdv4Tp1i+QrITgwI
w8x8SsaseZzrNHqDZmUzTi20pHhieEHVa483J+psf7xbqE56cO25wlTrUywARjvKfT4l2Z1vF9Oj
k9vLrp67zawqwgtGiq8a1sSh7GEQnXk/Wol8wIoXIPWyi/eJPBjGscJ/8FxRH+gR6p7IBFEgSEpt
Ycjsm3CpBSoSIyuPbhfJTTov/cmfRpoLFiWa47DkJK+ZEc1fqCcbEtvMwirXrTHnL3ZR90+9kzFJ
9YJqSGKZxJeE+vovnVFPh3p06c4qA+M8LjgrICs9OuxnZz2SAXZeItF/ztFjIfgLivY8hm1zin1a
N4M2WCjanTuDAITcie8Hp8y3NdKbdFOOQVOuhJDDLetsq5Or++ytuVoP1IT7KkoKnHIWjYdfU8Db
XFe9oHHKGjuiDyIoBSKqObnEdWZ/tqIieQwWl6NBXrdPAgPIrm9i5ySslCUh7qv4hlUYv8CMJ8fq
huZmJDHoEsUFdcQ0XL0aZdQebbMIfh/bUbY7zywixhB79JMt3vDgAvBDiwW27sr4kka29xCjM8qQ
LeMtXwVqyd6dGlUkoAUms8hcik0AZ79uCsBfvscM95iKH+SUqlsl5vgoYRwIgKrG5oywzEGCMUfF
hsu1evbtxtTdjhW2pYa/F1Xk3KIK69H1VUV9l5YSOIG5mrv8y1SK1CFWMSItndNDtJeJN3BITP6r
Ikux61ZTMMypd1FVMJn5mazVCfUfctduwf/SU607UBx2IVTQno8xZfI3zeg9CMSXbP5yWRNhAwAF
K/w0wbEMWzX1+WsYBjNNAiHTk+ydQK2z2qp0iKH7RLEZHo85Ed1aNzhgKkvMO4f1+ty5eCwdqr5W
qlKIV6mfICme6HYydrkUuV8uIQpc5jlMl5+m67oKUGGmDzLBHhlsnJpl/slZFIRaDohRunQnNMbN
2LcvDiP0o5H5uu5Yb8g2qzK5Tt5tpbfnQu/Rud6o676YH0EpLKQK7NuV3rz9WeWPY2u3l/xfezmZ
AXaQbyXKmg1x/CvqzJKVaOI7nbbV6w3fZNUf0iM8Bj/JNpp9r9GAAFjA0/iAC1CQpoBYVFKuUI8o
foxGEzSuEDu2Q7k1WIPQqAM5U+o+AYgINCJBfECwpS7MuE0XEd5E+mk9A2GUGssINaqRzd9bNZy6
hXMYduYpvQIgIsjMnaniT9MVHQEm8dH8HQqAExx3+Ra872JqTCUEXGHtu/fGNH3ogF2wa00raz6R
yWTuCrN6GhK7WBWTRBepgRsaEIeNdUVzejoPEaViHZo12NP/gfuAAKEcVyjb1KnT4NAc+MPe0oCR
UHNG2YYlWRfpOzkSB+UkfLx6eY0npW6DaURIjA3K4jI6eRqWMqPWIidJQ1V01O4NtzQ0Oc7VNFfL
3XxFt1SFIMPXkFczz8HFXlq6VKKkyx8zDY55QftdVrGJXD1CaFkEzdZQo094MFku+jGLm4D23jl6
RrISbRCAVZtGw3GLBuYiL5rv6BOmeHsQ7aclIxbfcB3QvSB5dFuj4ZYA5oN/UiApQH9tkRdPQx6G
j64GBh0NEbqVOW9svqaA3WOTaSAxn8K3WEOLlgYZLQ03Jhp49DQESaMUCVC2d1Qanpx6Lp3UMD+7
GrqkvJzZNJ3wJXj8plYm30dWi4sPU7VeiI3YIYIKdpQI5D88FZZ3sDlKg6Vj54CbthpC5RljnNMu
AVdtUIZeiD/IN2RKZydbA7CuhmKDScXvzhWfDSql1kR6XrgI87ugMvMHGvrclaeh3USDvEKYDxKT
6kbDnYdCQ8G5bwcbo9fw8Ci+ukPLfCyM7ImYS8J7NJzcVQ5y+yvGzONQ480DKZvCoQR6vuLRtE7s
hYaoDaDdo6vGGTd1Mh28jlfklC3ewciFJ/4Qc/2XTfpbNinwmSz/Yk6uxg9D8vUf/Gk/Mn8TGC2u
oTM/Tci4kjzH8tBpSOL2rasU888J2dYsksDdCMWkB+T/mZAdUmg8PXObMFIO7Vb/qKnEsX+1HrmU
ntiug81K0+3wSfYHycVcECNayoQm0qaYTkaKfH3MrOwy2W72vSiH5YDREPyGekOwnOwK61wBnivW
E0plPLD/ggCx9g8Pjt2FL9nC7X1qNFgUd0kaEZyp0Zyw5Pm/puYPaIkSpi3LpnyZ6Z567AlAIY90
LnIqgVM//z5okGpoev8lxjAMeHZFsborolVqcAus5hBruGvQwFd6xcC8Kx5WamiMVIj89xK0LKI2
8S4NpuFzlzTOBcAPVK0n0PJHp6G2yBhuM+L8QCqQlr0uGpKj7Gj4PEUN3pVZxT9IBAG3oweWaJN2
kg+1R4jKZpptxZ0eTbekk4lxRQ4qpbSFYTxWZYp1VA5k8w6GRWfUFTOMQOOg6CqbkOI4zdK1yQMD
vGrs47eFDpab3AvVlgiB+FXMxHuubb/w90rzfivIrvxpFvRaMzGA7/VVdJMQcLXHtu0fXbiMvVlN
tb1ZCmxcxKKSa7vQuC3RWoMDgO5bPfhyxpSzoc4h+D4LcyK72W+luQbYgaAI2m5thVlz7MMs3aZK
UN4Me4RDu5mCk6bzr8wimoSg9u8c5nVe/IPsL4MsmhuiyKobelsVW0jod+sggZVfO4tXPzX52B2F
9MERrYmTE+R42Iy6zO+FDKVJ2eGS3iMNq3AUu3L4kveEF5Bi2vmQbxUi+3iZJ92jKAPGTi/s6FAl
wTSnme++jDUwMiUAdraHpcgZJ0pF0WB1xy4lS3flxVP04Hf1D7rR5/7G7JYm2RjEl/ygZJNIZjKG
8E4kztK9ly1jxw1Co/wl7Kf0gCqu2SL4SnV5uTe81SJgqRhboCHQqF1g2K1k5WjsnagCFq8pEeP9
0qkofWlMskyGRzT5Cf5vsUAQ7aUYkss4y/ihsIJZ5N/5dlGakAnZJpxb1CSxoc7oruaKZBxPFuFd
pJoAL1pl4SHphtfRHVE5zcL6FPkcgyCATZovT44izh5hvXDXnRBDeRMS5kdOBTgdjJi3HgJLHgGw
sx1lmAW3t92uUYBSJpvhGimBaujWq7bKrIt104lwl8YZYa2yQ8uH5m7VRjYZs5k4WV0gbitTkEhT
ORecxDf5aLrnpXZCxBQtyL5ZzjeQkpx3nAx1sRqcOdyUfssVSLKyeWfomHBMSz3lZG0Y7Ojx6Y5W
0RZb7FbyAK04nntKjzdjU6D7c6E9VlS2NydPNf3RSvviMguMNhQNee7eS8vuYgTqcYm5MbMq/YFn
+RNC6pWX+xm5+JWzSXEboWNJ1bPRW/kdwiG5ViVIVTK54okiaJ5afsF8FoB5r0wPqinMrJhokMhf
QwbgtuyzB9spXwKnzdcRFd4ro7Jv0i66eF4ZkxQjUmwuJZBkYg7uiv0TpdrikXieefpsV+MzQs94
Y8KpHWTlLFs8m8PeJ9L94tUa382XbMvS4B6k6xQ0zwfMmJGj+luS98xtM6XTeS6gZO3ccb7Iwk03
ccZMP1Fzf5R9J5/BWPpTPXo5OXuR4pnCmALin7ih8W6SBA3IkUXLvUkvPdRPlD4sZJj+nkUMqBXa
7BvqOvCtCyOYtpGKpl1oLQRvlmaxHtGBrqMka4h4JI+IokINAVpvJpnsxCphPJ9CSqjR3HbbQunQ
GpuT8khpK5AJZhJWxijnbFt2yo3KEBa8J8Thc87tAY4pmbqJjHGjPCewaPep8sfvg4kacSizhUXE
Mrcm8fSkcMp+h2ek+MI24pMGjRp+HfH1f0l97Ihub9y52VTeC8KFoTsi89kKrPyHmp3uVYrIeZKU
Dj42TRxtZzjSXV6Djw5L5x8gNXG55CAbW9Lech66cdI/JY5dHf1Y2W+24pK27WY8w+OUtz5ZgpjG
XXGvlJtpP0zPXTXOT5EodEmVIZK7bgiYzFnWzsrNwxszdtP1kKpsUzk+j8w8uhcBncMkOibI9Hvp
E1/hSzgmO9qQUgNUEnbxcjTzmnpeIKO7xMoJHCzhqFDGuuor4x92mcUYkrM1ZOqG0BECxBcxfSu6
PlsjJlye7cEGNA9T2ZJlkHTRilrHTw2a9/MCMHsGOCcuIvfMlOutiS+u14snZMcWWWYp5rWxgScm
LSP+XDe1Ii3Gw7ugKkAzHkzNDW/06S2mS/qZgDLcCwjQJ8haO0PF5Cwkh/UdfcPdY9cTM8F+bouu
+2I2nh5uZ1aYzPwyE0NX3lSTbJPP6Ih1vFJXeT1vosz00/ulosGREt++2PbCazazPUzkZZnT8t3v
Bm8bZjNrMFJRuYpthw2nbcdwFcVzvx/NghxNBIJJRmA/F2l44KvMNz1x9I+2RpLcUh77yKg3DW2x
6//iyP8nHJkRFXXSf56PT7+XXf+ezb8AyX/8oz+BZPEb0XmCDh890lo/4cjBby6js8OLis4UVsz/
MejbwW/CodqOuFia7iyhIxb/xJE9xFs0igQAzMIz9b/60N/3l31+jNu/wsi4YdBsuQzLaPOtq+b6
J6mV7dlx6y+0YA6C+5O9VsjHkdblnT1SSZo0TCeD+S01RlBAbIEj3LYfkCUzdDfIaIa93YhmDxJC
EMlPp/Hf2Gtc68P87vgWH841cUwRlSDMjwj3pNwZR6/vHSRZg9V9wGvj3l888CpsNy7lCj05ZsIx
nG3ShqsuAnsz6gGjPa/38LtPwPOjIpSgabf1LAv5mdbP6A5ef+zWmB3EaxHDSLZIw+plx6vDIPbc
RQN/D4TlK2PjeJ3h35Dus2wcM6NJhJRnArUnHngyaz/F8xBxoxs4XSgZyBtkHIpAVZ4bQCeAsMGR
JEShwep0O7XBcwPfRnJVQJ3UA8XV/aegouR+bJtioNbHItW1H9PmW4GWl/gcmyCSwWnrdI0bhcHR
z8AtdgNG2fzYEZqGo3iYUbSmqNkeiTMhxyMaoazCF4IGjX2bLO2xiVKx73tbvSdm3N4HBfI4L1Un
EVXHuvLUs6Ru7UEE07yXqu9OuCSG42RgP07kAmKdg3jeNY49n8so3uHiz3jj9qK6GE7watqpWhmk
z1abJcvjL0jZa7kye3e8NUBIH+E8EdzIeFbbMRmmcySXJ7OPcsIGeurGiLqlEn30RLTzM8P51lLS
Qt15rFaT6/Ks7W0z8S6mn9UXioJt7Kd+8eAOi8SBg2Ahu+UlrOxPaQRtOGEoul+WZstYZu2aIB+f
ZyBODAAwbpNXuwTkFuWull2crUXr9WvFwK2V6+KGAtt6K5fAWNmL2TDq1RSkL924Fk3kPXLWmxOh
8O0uxY12jPC1HAPh+UeygfNoE5Zm/gWHiHquJGNaMwoCZrLeYDlQyYLgzZrO9mDK73hqvR0sb0PA
Ap8e4Fc7kodW26OpuuO8O7sF5wKEdVbHbxmXPS6Fdlp3XGmrRUXjxZTDeIexYDi5o+q3UO8BQGpM
KYABG22Nic0H6mysNVjye3OxVlGb4BjPSQ0LdyMv1Hm9oIL44vJD1saUG6vQD/qtG4zizYpSWmPS
ef7dIqrulgIKZ+NPU3uD/gfqqGPeflX04iBqA/o7WINHSUs12nO8Xjo0Pfuhot5iJV2lCGlvCmnB
BFA0vjLRNG/yKI8WJHih8exOCnDXMfLuEID5n4LaRYM0cR4Pg4S1XhUij89U5ZQn9DScPboTiDYg
/yJVQ7zLZ8tN6TkPnXeI59EjdXNsn5exLs9BHgScvqXJbl14MGwHhHhYfqLvrthvIIhzJxz2TIh2
Dv5PaKkk4NjdUyDiHTIo5yAel29yWKZtOCrnEJCcuGJ9YyOuhVHd8SQcX0mP8rEh+95Mekm0lGKT
JW0GczyW44zgqpVfy1AG/cZFxUQMAe3Zwx3cinNAAU/ETwG2AuM8dHFxpjWGoh+yPYZDFXmVi9AB
vxf5Y36OtrLy2tWQRNY9tMn46LUkbBEaGA8T67zK77Ge1VBEfkxcEdFcBlOkQGWHg9i783gcnIo4
yEluDPPiha6bhhAju6u2E37rWywyzdkgIU1tpOYZEs04yMoy8o3oE2djakbCu5ITreYphsVtb2k/
jh8Sa8w+kQ1fPvua2YhmIhmKemTGvBIfrsqy9zRCa87mqakRVknvgdIgmpYQ10KeTJpHsa6UirzS
K1GNRXvnaNalXezmOBdifI38GK5NszMkU+J6g7ChaMJoV5FmccwroUPNqnOKKWrcyXFon0hzgPoJ
hRc/CteyPldDkVzkPBUkyLQqenAcp0bWS1xAvrawLXytsF0UKwflkrtvNecUavYpboKGPC4xDbcd
vB9UqBhdyl5tH6AyY27EwKq5LHdAdaaLyUnltkCfAyMed4301FfPCDhEFJjLGVWYvUtnOz20GRkm
zQiHxrNhOqSaV0P5JPiDi47nPDd5BqJMs2qlMXUdakqyCuRcqnk6caXs5Gxp+k7B5AGZM/0NTOmn
DrPX9WvDsBOfCrM1WFJtPuQg5FbF3ntqAz6PPi73rJnsFziZ+pAio3wI7Fhw1OLdgpziQnQz+34y
6nMa8uhf3PwczX4I74g7VaK98VyDaEJR0MxuljXSBye9I21d7p3KqPkHy2Td45uCMhs1/Ylo2lxb
CE03RTzDgbT8kfim8TXV9Glr2dPJcRv6XRRtf6/UJQ3vg6ZcM1KONi0qr72eS6hygZrlKnUpELky
toR1wN7OmshV1YASg9dpe7J9TQa7NsEUa6EQfOsgCfTIkESBvZtbElk3CNPMFy/tunLbaFoZcTMM
83xlmyM8kiEBnJqF7q6MtB/L8Y0eFU0XXTnrXtPXiSayATr5uuI3w0mHewNDx2U2vadsCt19emXC
bbKYqTLF8HSrrlw5cLV1H2YllE8XV19nTap3ml6Hb+b7It4V1t2w0/KrjdiSnwkpb2l6HlgI7kdq
0t5vlDgrHmfcRZrUj678PnMXXH/ud6wwUlrZG3DsqyKzZOPOwoafTYP6mMJQSiAh3wAYgisnKYUK
g3JrVE1xGbWOvNKKckdry6erzFwrpsgQ1OrzXqkL4Si8rF3fvY3dipLNilvsnID/uhsIA2iCkR5P
0kkLBzZPx8aGWvEOj9Z884nEYYtZjOAIVTDqAdO1WpqK0czTYol8vtVKev8qqg+0vr67Su1rWokt
oi8WopVlmg7nRlAwghNAi/Tbq2Cf8aT9bF1l/IOtJf2oi9DMXoX+JtcAHdRa/0+XK28CBDllc5M1
nE9CVMKYVAskj4hkc9t/mrSfoLpaCxztMvBb8vFXMYn4e7/y8vS2jedsWvNoL6Be/emlxUl/gRqW
XxsyDveVB1e7ynBtvzsi1PIs2ZT7RrXAuYauFsMHv/DKoAyrpy26Fg+YcOOCtIokQMYt6x9BaTrJ
moB981D7aW6uSzI+V8ruSV+d4LHt7uT5swVs+d+17v+01gWEm/20j/yvzvZz1WPK/SgQ+uNf/bnX
+b8BtlNVC5NxZSvQDv3potHJa9I38c94RJ4B3v9/hZBt/8YmY1Hx7sOOBJb2tvxrs7P4gQHrJowJ
ik9Go3+UEGF/2OyE4AaH+4CfYVOUgOW/CoSSuR17gkzbg8uF62/S1BAXM24W8ieTelc1qd/h5cIi
qAwZPpMX0BKLW4ZHo02wr/D+hxjBI1uZXrknjXTQ75Qc0pR5/dmvC6aHuMYlUJldsBZwk/eixFCe
asP1RMTMi2OBntXauMq1HoKwOvG0Ied52LQNWK2IzHbE6GosNzyHvKe+7Ke/MZyzP/+823IGdAYH
IQUWZZVUzui//2m3TRnWWFQxnDJqTg/QEMGemYXaya7Tn4vf+6dL5N+trP/meFR9kssMgyXJN/r1
eJYB+xBlWX0YDWzGU5R/08CqDgD4Fxzznys4//eR6K+BXcBFCrRgf/hkC8jUwts9h8Fi97N4fDNJ
usaeWPnkabByZz/HaXj5xx9P4hsDL+Bi8k0TJOOX02laqC6YPg9kec1Md5rkVjBv7qanqXhe/fOj
uSAc2M18Cuu1R+3no0WBPyZlkZIxZI5udlu2xbKbPBip+z4Pnv/6WOKD4UxfKYHkbkUWhucMOvPX
g9FKlcdFZiaHJp5yUPyYXX7TNEW18emoWsVzPN33rPPnEefuDWavrt4SXK/+8WfWLn2J5BBECLf4
h68Vy5uci56Jsel1uBMvekUEexg+Bx5uhr852AcBIZ/ZNfmPBfijE2Q+Ij8ti7LdtV6KPnxZHiu/
VZvO4A5G5ZzFh1klIPKyJLf6b46rL5OfnPDX40pP0PrueUBi5ofnEg1QYxJ5dXoox2ZgKOfbHIlQ
Gldl0qf/7FgOATkQNhpH4+slEPPDsajdHMUQB8khYZ9H4DFLukfNdj5FpGN/+uuLSP+snz7X9Vgu
AQvkfkjTIZDz12soLTp2FGa3wzIvo7g2eh3zxB7+JVX4j/f+R1hMfyZEELDnPGS4XK1fj9N7uWqp
C0owE9O/wTTDPrFy5hKAfSBKJU5oL1tNiMeoxwRAIki9iOI/YqX+4+/w4drRnxVakAcdVlASiD5e
OyxnWdK4Hb/DoCIWZPLwKec0otvQnotjFfmss549/83z/EPP9B95RzyCPM/GoIrX5cPXOUQe010o
k0OMZ+pzm3rF0bOd+a5Oy3jf2jUp851RTThO5imSaxIP5uEweuX0Hda8IQoJgvtI5wGiKtMojpQu
88eSGn9Yk//j2fl3vyfyA0YDyXSAHVY/bn568WRkvo2LNIwbYiy8b/PcO+16aHLWLOylo3eDsQOw
bE4NiUuyGrNbkxQ4OmgIdj70WeWcMAOEB3Sk9l1geEruvCGuUrT7gRz2//Sq9U3OpokXmInE+/ir
mgHBxZhVkkMRmKRoZ1gWMnYX1W3/+jgf7nquGBzDfGVsIfiXCSH59ZQkhsVJMVRyqEbSUwKqI0no
yCr3lCvHffrrY318nF8Phh3ZumYsYN77cP5nX7nKmVIe54SsbyI/HDbwTv0a9WIGDajjSqZxPol+
kq9GUZLzWbnd35xYYbr6Tvz1ieDbyE1J/WIo4Nf58Jnztv5/7J1Xc+TImUV/ERQJkwDytQplWUU2
2TRNviDYhvBAwptfvweUtDHq0Y5i93nfNJphGRTMZ+4917C4MsKj14/NfPJyi5tppyZbn6JeL/eG
7YrvcqVfJMknM0DHacT/xkS2AdMsb+CVh2fV9/MXtm+gV9o61eQS5R0+MSsrlmset+hKoHQ8LLkd
fgzI/J79OV+uyErgfau6cdclYcY22pc3QyO44bLYsx6Ao7tf3ViLY4c08RJj5yDtRSfGo+GNy/0c
hXa/yRk43RX4/d7zkBiZxaCMaw3SvjdqKsOPwjekPpdFzaq0RHhyRGbstIxKYygIttesNUKFb2xD
+jCRrTi1fpR9YT+N6E7qzQRtz9i2mOw+8qFzxqDo0C3uWj+Nr6hrC7IBuLWYzZB872Nu3lUbyQ8m
y76FyJSykXZM+NF2JMWu32NBdQ6jIyiGINwTHu/11g6uqfcKHhjoNdtszjeu/ijbZ5Xi7ZGEGrhl
W+6dWGy81wUNZDBlKrp669+2NLoIy6WNMykZWxQFSW48qsqerzxn8ue6nse7z8MbupCurDIW99qu
Y3gUi5fHJ5gKrn22sEheM1w1/a6G9sWk+fNuhVfzpukW7lC+ORlvZZVxRlZigvGQ5yB6ST3l2M1k
TsMlESJ+dKbEeekBqRu4j0T5ZTVVretjXmckdeqKdQuEf+0l3xuhxnITNs0cHRRUDAiJ4O2+ole2
n/xyQFdpWBzbAgzU9zwqrL2JnOCdMRPpA1w0YHTCpCDjamTQte0y0nfEUE93hEkPceA5ZvKWux23
JjSB+HMFPk97PQ+L1fLu98gLtnNMZGSwTGSxB2ZRLXvyDziXvKJbrtE45+EmpPWawdMMkKekweJo
tUAGfbyynlK+AFPgdASe0XKC7dCz6nciygW7Fp+zF5b99KUJEU8d+5iOATmk8egi7Vil7c58jYw8
PWd+vlMLg7qpcaY7khUgbKZM+6MRgiVIS7mdjaoBthEnxKI05Q3LkzUlJk8C12rF1bTL5dzXwj3a
ngwfo87bVc6qTnfL7DrzblusR95dsXiHLCEsntTGaU0ut199BPcrdBrd0owcKOvtQBjTwtDRsraE
/TZ7NSHzxL2WZ1uOqvWskuEuichpTk21j2N0NyinqjP7OrYtBjpqYhHUpi74WnnmN9s4y3IcdJDf
rTWnp5POa8PO6YoC/q6ZMLcCAZ2CYfadLQ8c4iTq5MkNXWyGrbZucmwMos/kVnfleMgUMR7kS61i
JMIOlSZ0IlHxQxvP3zGBveueLN6UdJpgJkV1YzFzOhnC/1avGlO48jrfzpPPU63X1lthO+cF5gT0
hOQ2dhM0r477OAzhTVV60bcO/M6OPMTpHOcFN2BnrZEKa751E9u+ImWu780EvrQxyCxYFveSefXs
E6hWYL9WcDRrK2p/IUHSx9msMOyW4RDilo7s9GxWTmVuQiPyLr3M+UBV7tiCea+1PMnFsffTmIf9
rhssdYOYqL6jUHLiYIR2BdwYQA6QpOiJkeX4da4k9UPVaj/aANqdr5m32KvtztuT1Or/TAs8WlPu
TieGxQVvShV9bSLx4MtxfPDGed7ZS9/v1ucPsplKD/E20XXxpe0YCnpcafmJlSWlgJVhQW5mapHM
Z1mVlW67dYWXcCsqoeo6IS5PL1LeUae0Pj3nX1BQ5u3VIph1kWCht422irtWdM+gUOvAZNF269QL
9vsIBwwAaUhK6Z6dJoIdDYS4TDP5RWCS3LteH710aTTe2P0UdEk4ntOxF5gC/FG92YCowNqW2FPB
YjTGqVRNfEYtgg3AGvGZLkPBiZlSO9Ai5MZ9PjferpibbyVi+r0oUHWRbeV/dM6E5sotTevRKqT3
Mo2LWg5CJgaC9hHxW9VTj5VTfdTLom4no3ZBJrCpsqtKb42u9o500ArcnWl1G232zS9t+f5Oj+kM
B86+eoUjrgqaL0HhyrwwRy4pYUoPKX6u7vOwBvwW2qFN85/GDmOKxnw0CNHYml2uzvyoWBokukke
wqj3SmNwfkyLaO89bC+nCZZ84Fe1FfhkLIfosjA1hJE8jOAs9i6CDUyUifOUYeH5At3HxiNgpicQ
zNaK8koCG6tlPYTmYZCSE1uVV5fxwTYslPUlqnOIjWRAXFSEK6XRCxREWZtB4Y8kegoymfKl9d/7
1RbKjabeDi1Lvi3x2w0ZxqH0D/FQWhh+xpX23oZYMsVk3/bCr+7EElL2E65FCjDkIwLYMqNy8CoN
+YGkae9VglB/5KtF8MGlXwVh6OSn2VDzr452/IIGtb/vHGMCnq4VK3X22TzTyTcjVLoa5C0d+5rX
Ao0hHMzqnJszPKSh09cxLfIv2pXdnd9O09Gu2xhCnvKPxbQ0p9EvjQ1CA/+mwl1/TfvSPzjRUHxf
szncXaZV/eKgR927bpp9KFmAddEeK1m8AMyS0rx59lr9VvDSu6auWB8ouVgsEchtehesJLCyGK1x
inRPLeubpOzUJBoFDgldN2Y4EwBUsY2XfbLLCuvHaCgdJL0mUg19BBFeUTRfWd9V3z2zHKCPpWw7
FM9ABrDLYZao/li8dV9MMbTf0ybjng38qCA6VjWfHHbHqzP51Im+9NofKKR9ZyOccoo/YgMbTJe0
ZLNGTkcYsd0ZH7Ubl9dJaus2GWX/BK9i+O40if8a9Qp38+q3wpksFp/Bt0RB7MGSLIvyaLjOfGbf
CkumcAdYkaizRFbUCEAHXGJpvW4ux8zcUkUheLBmL+gIdIekX4eIbPPJ5lN109EpU3F1xiRHBjny
zGCVRbIO/GaS8rg5xQCkUoIfzXAVupJ03AedAzyfx9YSffXt1CKIBFTiSaqJx4jJdIjzkqk8IYOL
8ZjAfdor0i12mofCwRa6O+sl6X9oeqN1O5IHpVFwFBo/eQut9VRmoiSuMazUknjoZjq6wg6fZ2nZ
74alDchV/XgJfTwbslzSrUmCFJzwST0RHDiQnSSbt1A7CeWkUFs28E8UxkSnhC7+r6x+cG0ihFbn
9sLtNcxDTqriWRBzuxG+8eANwL9SrySb0/P38PfdTVOiFkNKWWwmipPA80g+MssGlR89NiIuQrTU
lHzPcisutwZ9MtavruJRGR1RBFv73h1/AXZQB3p5Z1uzNNiTS+dts8I9W20htyYM6U0h1zwtFW0R
6gF+DzmdRTqZN7MsDtDm0VDzwnHV+wdA4dmmKOb8gB1x+lq7Vry1ej+6EjH1YWjWDPVSlBt3GKCX
M9jdtUyzzkkz50clGA9Y04CeWDf9QQPg/J51SCrp8XnqUAidMZc5mDiTel+MHYrdbkovmTkdMjIA
N4QrTluaajfo4LaOyJKgXkzuUTbA6kQxkI9Vw+PsyR+yKAW/TGYLO5/o6b3ftb+6hph5bVTLwXRJ
Zihq9dbMpHk0s3ZvOs3sYGHxgdEPNpPxnpCUUIE1pU5Rt/jJiDqqX8diueshAiKme4LKeuWWy8AI
CeANGQAfaR09m0o9eFZ50FTTMHPydyWSEWYKQ0qvU98ZhrXbpYn6QBmmfKpy4OSisr5P0ObPOaTj
wI8tEm6aLlCW2Ke9RoHgjahB3R+w0WE/FEy1MeLQEURj378s9vJjGpITDHdEJ3Dtxu2s5uhF6Ba1
Q9P42Rn9DhZcIPrAf+yDueyGOvkGQRRQQxdfZP0k/KFHGFSrXdwmXz07io/eqDJ4jkP/zbAafzeN
CK0GephL3zf41idyGQx/FmdpJ9436HIlC6Xa9YH5wYVMapfx6Jiu7QSxPdOhQv66w1X+CZ0jKgvs
iNHs42J6gJGpfqLHhiph6JyBDslarS8O1mCN9g3b77YF5oDg4EtuNevrWXVGrh9D55HBBVqxU4SQ
VbF+z1j/MtV00jVQIDf3ZkvWyCajHjp6du+R34aYNwlao0rBryiGpm470nJmCnBlb4WvfpSFH23o
cgHyrqwYJBqIhlKERgrYc0VbFHHa9wFRmrCKonWnMVd9+EowE6kpBuEM0BYkLrgFICjPuGe/Duer
4Ui65MQzdh1xuuI2NSRZY91Koit6j9vS2JI/UJprd2Im0/ArXaAOp+6Mid/Mlr0ZNcBBMyCAUWEw
5I4cz3wwW9ntXGAImnkXwriqGl157eJhbXlVR/RXLHULUmygdMgNVxy0CeeS2p6XNtzSwMBJg856
FomdZ3r0V7ip39y8sIKkofzbOLH+Ihtc1WjeT4BVUiQ2VXOyspYHaWuHZzuWDAVamny/95gRrJua
z/cbtGPsZpQjp9AFfUufgH0CTuK3z/9E+QX2P5e2/5NC7BEaeYSioN/bAizadmospgS+Pd6NhFMG
Bs0mu56ldL+qjIMJnoHUgbir95+DYp1PrFGmyg96QkaCvEi02CQJebqG4iMWMZBCQE/lwS1k+1Il
HV8gSXlF7iMLqrweSGuSm9+KXvCrlxnY6HCcmlMjy+lLNlHvLkYM1jHroUbree62k+B7OVDdHrWk
7auHWIM9nNP6QKlGb9/3udcEQxaSQZMsTEUYXnIz6E26E4HnsXIGSRBmKIqC818sxkVVkX5n+Jcc
RJYyUfSXG9U0La6EXMFU5dmBx7OMlmrfAe1xLjng4VuJIOSGIAQ2ZItkeBUu2fnzvDPgju6HlF/A
XrBXQjhb7uOuRZo+TCtFsY9x5hgsj1eMurPc5/16TPKeLZvJP/JbTbcVCRpnlyHl1jH1crVKszzg
wuuw8gE19aA33WHrIO+aKLE98QvLtXPWEF7iSnnBPHW/RpYyQLQNhBeDpAw6j9z3qfTENwChyx4F
QnPyyvXfVh1HyyR1GG6H7c3XgRciRLIhcaYeDfEtho+fBlmXKRKbOO9jg/IaniSAjs/Bk4kB6GMx
HYZKKUxre+FFQX5V74wSSxAXpTU8dbCXLsocw/MQh9V7GMMKn9G6EVEYcwk7ds9ukuTLc6jN6j3z
WkRh9WTYUAuGXKAayEPzgeaAb1giEe3xykQZFTDahYMqE+tC39K8QK3nPyhEnp37isM0tNCdx6zD
d75esFabxT+LpdDvUG9466lvh3PezeGpY+QKk8w32vcFrEskmMh1NX+nmiS74eb7vZftABM6ofXo
9I9S+AoDEOz1dmjCs+j4dTrSJF7qiSsw7GfFxKJUh64Zul1Eit/VZgR+1QWw22ZEy7pd3MW8yeEw
3JEXEZ5lbvPJOzofGZTcDg/Clgw/WIv6gVzPglEzmpNaMlKQ8IC2mY+4bzOqnrPEW8T3SKTAjV3f
AKwVa3XwqkYSrUV3igKQ+6NyOFJ4WY1HkvnCD49kQIBJ3XoONmLmzAPleUZkBvPYxz96NLwVSu57
tH1k4Q6/fJc+eUuDMX1rq2R6mwZ/pZxSkDeMUnVEPlSJ/MSCsnMx26G8jceuf0zE6P/UgxN+JNWE
elgCz4JVypPJSYhamqU34zrDoHMaVB2+pu7KQ26xXhM1VzHgDnKd/BN+/f/+zv/g77SlsBhL/8/6
9edfqKnK7o/y9X/8zT9kDp75N8dbxeG2MKkJpA0R9B8yB8/+Gz51GEiu83clOu/0T5un/BvSdHaL
OEAxeTIm+2+Zg2P9zUPaTpKABLlG6pv3vxGw/7Z1I2lDUtl5fELehMX7byshH2/MkjB1OPo+9Hsk
3f4mjWp784dj8m82++uk/o+T/FXGwXdEeG+zzmFb8q/bi7BnjG9XUXjsU2TlGxoMf+NPISnXHRUS
cwT7xAQmQxS7dPr1r997/b3+9Obs/BCGcNg8Dva/vjlrflo2sAbHiNDxbO817RgME4qGQorsITWt
6p0Rs1YQ0BM7aJc5+TUZXVnu3Ma1EQCzwJ77NDl0g59v7drAC0l3d8ekvSTCFMApvvpG71q6o2vf
euEDrswx+D98CW+1NEgl2JK6vx1B0TjaZgSsjrDHrd3kMBgujMIBsTXOT7UtuIOamWfvjIIb0+ri
fOU+x32QaG4+X6LQbyCn/lK1vr8RAz5QBdJlPyDMPEG3yPb+MJqPRdJ3+7lcuImz1kn+w0bn9xXW
ehLAOofc/WlP/n3p2fLA6mfq82MChDBoxIJZbWgQz6P9/uujta6Kfz/d4PAxhGQ3L9Xv2geJ2heV
GO802Ay+ZzKeCEX363PT2fW9kIRK/PX7/XYROes3U/S1jsUpTi7Degb+YV9pmW1ZFkbO+0VJc88d
BbFxH6nLX7/Lvzl+jjAdFJw+21vb+W0rpxpuF/mIp6JBro6yLv3QtiI4o/Uf//qNPhdrvx0/abH0
97jwVjXOb1dMGpmWGjkHjxZ7itPitRZ5aJwz88wPNxfAbDdmTCNSVR3qzUH6F527GWMiM3yIqbVu
CilRqc4uz2d3kC2jR1yQTK7ItYlyHprEd82HhHPzaYjQv28xD8BBQ9mwYDuNeJNJO6BdfSvBxua2
L6O7JMe//pL25xbzX74lGhxEXtKzkJkpJdcl/R9+tdAK8XcvzEnG1GaOEFXjyYvC9mTUTbavMipZ
F0PwBMgtkBkNFSdvesyLNXPM1N2evo2ksywZqUEo2dhtiBfTypJbqWbnzRuL4kXW7g7FjfXVVAWc
Zcas5rYhbOHREhnLigWCdTfE01McEYFcRsl8yKI9jMLojdtZdnQ7KdE3WvI4JKDKebrEx0KHFnnu
bnIEST5vK5kUu9hyzAOQcf+xCWV6SgmbDUpQK90GN8IPSlEi+NosOgF/Ge50bo5rgrznXOAz54ch
dMndwdO6xY/eb93erfJth8flmDVV9twRjpzXqKrLYjbuQNvNP+nIW6LHYqq0rLMPMnSwsqRubG2X
TLuB4S3OvSRP7hEba/FCcmb2obFsE8Im1DxvmYWXsM7h0m0quHvfPL/MAq+wmqNUKj+lM8bWhchi
EHqZH3R+UqqNXSQ05gjxvzOZkO/sKXcG8DlMotkvIzP8KyQqHEdREu0MrznjdudTu2a9yyx1mgaj
vK1CHTLBKccOYwdoPoOAPqHTy3o8g4pqbAt2DMloNRKJXNivcm3UHSjRpygriosT6vnJyDMsBybd
z63ZG2EO3SQmAIfnyxaQn32wKuWfevYl703oAgHgOJUnpplM09gwPWYO4TOaM2LIM6g2tv1e1U21
z2LmVraesOZWVtk8lQSObqtsGvlpMEGQhx3BWurZbdn3VsgqlHvbcOpyyKmkG7GwamLrp93wmzeu
qe/nJr8mRCFtDUwrwRDlfYB1H4gYLtB1G3oG7QSvPnIcFhBTBOAW1UnkvsUAG48xkTgPIWLbXdq4
TEazd6soy2Bs2nRrpK567pgt7O2mMS8EoY/nUmZqU2H62KLSxYGV1sYKJAk3HpJ+blE9RqCiTLcO
RNcbgzHdIWunku2hH74aOp75MFO4B/iE4T1jaUFdXQ+cXAOZtDyGcGlFvsumdlzT2CPXOjRta9zI
paouCFXEtpnk/M7gS9yzE8UyW7L0BX1jpRqrKMFcG7M165t5Np1TXE750bQTcfQqLhfXmCt8yVAh
aZJ3Fv4MYhmBxCwd2uZJpOWPZnCib2lo9j9dr52/2UMznguoXKcMJ+9miLRzaYShD3VHgL0MxXDq
Ta4vY8bm1eczizXmOcDHTwRR4wcLzJolYiEixqHGMj05gyj3trDik8ByvXNIEt+mcx9ulN0nDPpq
3M9TBQiTdRAsHP4xLXvSGhOc9GelRRa4FcBKwyUyvG4Fuox0mD+GrhmrWzFHeRBqioJlQDfdVBYk
KiQMQRLx5DCJGd9Yotc7MRDgxDduzp6Lrx+RRRZYsZhvlk60LwvhKHeMIwW0bVH3QRZ2uOaFroZf
ZkoApGLLcpyha/+IvSnau1XiPcdJV14grLImEtQXRDDEdxCvqU4GSj6mPWJDVmjKp8sxs2x6U1DM
MFV5wPlQf0tTOwsysRCGZlAXIo+Y2beY9ml06myvI9U/Vx0CyjqR7c/PCUeeOtx7mlUcDq/76ubs
0Rfl8LlmW9/aMYMGr214co026Wgu5JIgrfBfqGbgm5NNfLdG8MIkt60dxGlr55CyfLcAtoU76iz8
jaXy9iVyIdz3jc0nyQhtPwxDx1cysN9tOttbiJnIUrmzVSzvIA/nW0ZAyUGD8TyK1GXL4vXhmVqF
tXEICos6sjkPaDbBo8WwgbtheE7QFuxspoTnFFQ9WiZUuQdTFPUhLA150zWV8TDzBnFggOjdoOKq
+dhzLN/GUDJTD924exAeQJIQ2tJDI6yaSKjY/CYQrrQZkaDeAAuqTS04/tSL9o2cxIF+HYpm09u3
g107ex3X06nILOgQeRrvK8bWu6rsHxHlW9ux6xLkA6PceYlAQlCqARtHNByY0s7xgcPvZT8ax6/j
S9MWYFpTCC6bbip7xAqoYIIGS154UWHBPsaZ5paIZnDr8e00WkysTp+P9/9vWP9Dw2oJ5JN/qIT+
pMy/vrOweC9//rFj/ccf/bNjpfd0YG26aD9XGb2gvP5nx6owT6OepGuk3MWT/d8NK45rj/rTZxXj
Stu2BPaAfzquvb+twmAT+7a3drv8q/+F4/r32h5lv0vhRjcHC5R6+7fatBR92hRxRhROZBK7FA5O
eYkmKskC29k2irjI/nB4/k3vur7gH8tE3tBDfYY8jU/OYva3zotFd4xH1J2P05RS3BsD6Xkut9G/
fpc/qVL5SqvI3nEk04A/+cg72SIUkvH0926FK6K+z6oG8Ts2m50wxvVRxj0X9p/x0I7e9PTXb4/q
/U9fkxmEtYpSueg4tr/1MLRmzPdmr4MKCTEExcd6+/YYIpPn5oO54CEBcqRpCVjy0G1oZAHr2j0x
iHumE/vKDIG7YcV+8YpPKWG+bzo5E/Ax289Wxn9LwVLAs86NZQBSkjLZlWG7Nqf+PH8Alsge7NRH
ujKRrRc7kvur59ZoDGT9LYTkc1j1buQ/RiZAvRUbRSqF5XGDrSfz0bUtfduws31kSTd96WzutyPE
8Xe/AIq/xeo2f0BRpeEFwvdMePPMnXAqL6Fp5NsmJOmeSHerBCQpqrc4mfUr9gr+cJwSdWkZUO4Q
Y4cPakCGFQytFtWJQ1UWOPpQhm5DRM2Uf6gNGT+u3ZK3JNbjXM2MAydGBbJeykvlKPomxpdkd3i0
iVVOd7oZPOz0acezoHVjdIf2lBwZso8BToTmnPVWfc+CgYda700Ht6Yd+3xMmXY3PKdsDp/rdHG/
8uvwOMNMsCstFEo9NcKPGQTiNoIvtE3Gcn6Ku7B6xdjML1PrUhzdUXENjUxi7a5UF9c0kiMolPlj
7Cl1RcOfzKJpX1zQKpdwihzCvjrzsUdV8ZJ2Y3mZqkpdisLniKi0hqDpFCNQQLdfxCbLcwYimifh
WPKgRQOSPWg3VjzwI3cL8rX54YT8Y5TRoIFsIVnsiFqCasfpa0yTXM6+0c0HN+nzE6RJfTt7a1cI
cJKMF7tsyHoHVH/S6zijW3iqe6gtSEMMs4cIkAjqkri+xSZASKuKhl+ZoEIoSYnaF7kQ3DTM6i2Z
6uE5VNVyVfXAS/EoPmh88htz4hur0dC3YbZe7EYt74yIYsoBOb5znVQhQo2L7QB+E5hRXFIPZfRu
AFicu8jhl/gsdpxSz0HBvhNMEnqKj5Ey7x1ZjdxioEtRF03sPNAkh+GDK8L6B4Of5VqO8fxkjQW5
YhUXQ95Q9yAe6X5SR5iP2ILHAG8Qy7W1ymgjfse0Xw/1eormJUu4GXM/Ye8zybP1wi/huNV8gIQy
f2DK0695RMYbeZuvo9H2KF8bSGf+By0K7XliFNR3bVhYp7iVb4J9+Yol6J8ji3NzYxlZcrAEOyvH
yd+c0Bt+QX/TiMclJ+U6w59ifijXMzpiBB19p1G03alulHf9HJqPZdLq11661ZuBDmJHtbDsG4sZ
oF3I+Sa1Dfl18lfFmpGyKPDLkbEcs/Rym9hkk6kGLOnnl/NjLgLwp8bDNOsSoD24qCsh1e0LWh3G
ERWKXMpzjo8JtuoMcrXYuqNIjl3FsHU7hVNykFOCmh3Qjc9Zm/WkyOFx/0ZurLqkYmaMBhWvvu1c
K/KtFz9TQM5fh4rm8UfS9M5rYpZFFjFdWkrnmHSLUe5sAW/+OtdUY+cxsnvnwc7YXNcUOk+mzwIO
ig0wOVNODcaYhURADELs+LGyIZebiF4c+vK2rxC2dZxhZ8fIvlCEA0YT+YMh+1un0MUeW628X9jy
baSHWKmREaKn8JYNPzpJ6tBjZC3xqbCypxZv0A6far/rnfl74tM3OkP/k2azOIHq/YGmPj7Fi0sR
Zvb6UmGM3ZEHMqEFijoSdNt6FyXtDSijcA8kwDwTAKwCImW8be5JUPc6Sm6dBcUoIqBh3jZU2m7q
n40M3lrCxGDZaBXWJzTt8AKMCQEH6GQiSjJs4UWef0Qa0BJl7io2ax3GAk75MIMb3FmFoW7SONLX
1k3HvRtzwdZpYd4kczjteuVHOETWwtwcxEmgOTsWHms43dk+WFQKVfQyXJZQfQ8xBfHWMgpxM8pE
HfvI/GoXAMZcKCMXs1R2vrM49j9aPY7uVtbKWDZwxVZkUN4NR0snWAfMEYVxiICgRVpS0jedolGZ
SIIUmeUyXClEYUsc4tgfIhnxzGPc6O8H0MKb2Jq6XVq69QPmOnNjdlm7j1h1Y44l+mSj/OnNx4Oy
AZE03ZRTBJE1z7JXZYSVt3Undyaxd0AY4bnsIXEIEGw4ODYVImNMqjN0Nj0YwJPm/koqBDcRYnPA
CDNv47q6OnmrbxACL0BUhHWyJg1CN465qtodm8CajAXOQORP8qzdZnpaRhtvcIrozm/L45gH9mBU
KJfc5V2T3HSy5mJ51ATJRpjE1XFapDoVfTh/STJ7CYawr88ZrIata+UFp3s2bHJoeig5befea52M
4mA2e8YvI0Rc7e9rYyh2xqqxHgEXB2TXpt88F3S6L+YR3Mc8bHo1GHsoHRU6kuI+Jy5527IfOyWJ
jQrLGYYgIt7jOfcj85AnnPFM7OKTP0yYl8fQuVaKMHsyY4wH1PH+rVkv83l1NebIukni2tUuOQpO
VN/G4eJd1NTR+jjjSD+VS4LFCifOrsRlmieiZ5EQJrHb3OSwIF97fNPE38oRHoU1YryPZ2So25Qw
xV+6WGO4ILK6UyBS5gIL2IatLozm0Ju5fB3znnEGzWd6cSBq/yjs1EUz3ToD+ZomLEb5qgYhjmOc
gUwGaYCShIgyNhexHL5XqVltu3xc6wJd308TmT1uPZTVzgfacAOZhOlSyKgSBJZVxKeGwcVF1S3j
hQazOcgcZoZHwk3CFjZdJe9mK0yOS1zq75ZmmYsods7W34ZN5Voiffbkn7L6VLZwQiz2HYTCdj9J
Oho16A6LnYpgWorel7vwR5nn7MdnI3zQSH+5BvALXLxQ6DCI5LofjROAglhf75YkMR4M4NJ83cSO
9z0OcD+IaFi3BUVeDEFo0t8n3S96F0t+pM/BxdxTFf69+KoTy3xMzbn9qVMv9QMLWhx1coE4bTMR
UbOjDHW/TrjWGZFQMJY7C1ZEkMZWfsJYVF7yZlmOjmAfVKyTia5JYeQXGp1fEMuWh7sqaLvLde6Q
WMQERQWVBlFv+jZaPj+Fqr/ZoDWSDWj19aaMEv+jS6lJGPlQnqi6Nr9wGyx/2tqthsDAgMVTG1OK
G3Ej2hSQBgHYM+WI4RMyPGELDyPb8EtEYWxGosKdb8SA8SHuhzGIIp7lFcXWKxopYnzmtfxVbvXq
dVN+Qj8oNnbkmI9+Mc0f/qyTAwjmCh9HolDojJgGZuZUqLvJEjkxGa3/g29Lmn9uIrDV+jSNNDOw
aH/f80HcQ9M+j80R2iNhgF6i011dqHlfoXMPNIHjgYpt7wO71nDEnkUKmmm9+6l+GcvI3iWSx5Qh
yXLrdVFdGYk4rwNxptdksbMbIQr7zXKyeLrqSJfDTcO2Eq2OmQW4/5d9gtLlUPATHiOVyDthxnoH
QoA6IS/UhQc3OqfJnm+cmCqqqfsxqNZf1nJ642GIcPoYrNZx5URCEh3ssJCwW85t18En3I4Vvl1Y
kSekGNRKNCnUg4SmGBvibfjpG8wgqLvXGmkql/q+zOv1t1RruZRRSEGPajcOUKavDqKhHWNPfZuR
UHFJe/RXULKp1Yd4eF5dgDE0ESt/a2xMRucuXzzwDeEYcZASFOTG1HbTTkZZTMyCtsOcoDg4iljC
pdUZ4KT5QqX1XIWOiarQ1tnJc5c8OoHhSALoi/wfIYVUGIgWf/42TFwoOxtJpXOjwB7+9HIbBqwz
Uks1Ik5LxM0x3zgqFQAcTn7SWidKKA+7zcaYKa4+l2x0PZzaZGW9iJQSH+2N3LYSl8i2UGhxpoaC
2Y8d/X1O+2zfJF1y6AeeaiIbF6IXOgq5mLD55y7J37yGuh0HjH71x9xOgoY8bYp5jp3KUIwTSbm6
6WVsPDSpZZ9MLtj7DHLkIcxiElSB6+SnDln2+4RN5d2BqkqdlVuAAyd+T7vzmy90AP5lrgW0mJFm
y81Losax0bzAsiCnY+qqt26tqctY5bBYO7AhzpJPyBHzsSfmLCpOzMSpFolhZqKZePdsxfpnYeJ9
QrxTvct16ojNdb7RJl1L0JQLV15XmS3MDRp5cjf1Lbo+D4G9M1XvXVj6ge13VKSh43Qem52Fa6RF
C23+F3vnsSQ3kq3pVxmbPcrgABxiMZvQIrViMjewZJGE1sqBp58Pwa6+zEjepLHXvWq2VbEQABzu
5/znFwsl+Idka1R/FzmTXTdjdNpQlS8kFrW7PGQvqsoKNITBINbB3rx1hfjsb+SIDSPcuOoZi1n3
Qgy0tzjGeBeBKOtDNDr5hR3w4Go2rm1OAt2ycPP+yWWQv2iHkSnj3HnjulReZQl9uRPRnrhDPn2H
nkgefORO5WcMTW965ZRfICrS5jBfxcoAWDYbwtmZnP9ors0Fy/yrlTWLPvC/ZWEU6fwOzAGJ+vyp
KjpZDpJkWEFzLl9kpbqNqrPYXsQ6MDVGo3Skc9MQKZ3GKVQWs9y85s0UMUfAaQ8s84DZEj32iBMO
HJy52KCfNkFMAbS4u9QB3A7gFql5anlahrCs2MADjGh36pRkP88fzWasbk+dNg66Kbfi4Fkq6Fgr
HLb2aS6iHRZisL1d273oGKEtT22Zhn3kl9aq6CgAenj0M4BCqvDItJBGfAjD77gFjpcTn1u+VARW
MAlTYBBuAGqglyq5q0pL4awEn4n6kKOwKyA5Vl0PKELI9AQTCLMvNXFHuK0aNM8Tn2CBC9mDAQYM
7JLowMwdjGH8XWgjAUyGdZ7xxQQqk9dGYs8aZ10n8N3uG0QsBJKzhyXV84TxTorL/FD9HcR0ughj
xsccU4aFb9TpXpsRfGBptjU6KSiUc4c8c2kXbuPkCBumOZo6M2iyKwaBa1Nw+VPf7KAfuFQJmFle
hBYKKO2bzvSfMsXReH1pxiF1GmH8WJpw7zelRUueF8yTdZHmF+U8wagY91+4bVM9FwLsAp4sWEY3
1ygDns5ko1DhQkNr2dw1o/lapF7xQuyyC9Wg8i4Gh322GAgxXYQSLbOeE4g+JAkegw1l67qxKYtw
avMu5vVc1fM23PhFg8A2BQnyImYacVLz1722IsYGvstDOKONQwVrkWjsuHwRLkvCmrrma1fB2AuF
H1w7KFVRCc7rJ7EovNiJcFjldkgyS/enssKdqRhBkid3GTO7zaxfWtkOop/T2SDm+Qw09fDaYcun
3we8Ij7OunYCDXMtb/Dci8rjCVdjYjwwwyHnPYPtZqNL3lu0IcvQjsVDaWOkHnW8SA9gbj+men4x
mV1+IQ2Kh2x+ByH10uemGepyU08FRdEg2M0QmDyNA+VJmYCL6EVqPJzIIT772DN8kvIzDBv4nAwR
lycopm8Bi1yDMX+QhwTnKYCMht2kXFJeJptZIb2pCoVOk1Hh4uQg3Jom6FOR8lGMel+84JwEMDiA
1ZmRT4nWUrCYNhMPyADMyqJ58Zy2WQV7YEvHjiC0sIJPdFMjIiNjzjpC5UL3X5vIHWmWH/HsgqE3
DbSKPV54147O9hb2fEcJ2pVPut2X1NYma00jy0UN4BQY/2bRPsdo6zCUKeDNvFXONK91nZjJ9eQa
eAST7gbagM7PrDCTX4S0qnyTNahg3kIMxdlUPJiV031zZpFjy09HikeaBaoeij9opuWXhumIZIg3
Mf3O+ciikrkUCtWXvpc8NZTw5h6vOj6VPuEZtCnDv7wfqmeqEqLbiK9AppXqhUfd0snoCgIqm+wA
+/ypKHxziUneuOo7XvjoJtMl8x3/7vR/Tx/mmMUcMRrisL/lwJmKKY21Z/iqbpShjZsshPqE6JwP
OrKqQ+BINplesrKt0pkkVmfRdFnaE5Xw4Iwb1STfO2sqbCj5DPNOAN2sObIMOgLi/jIUjxWlMGrG
bksDxx1Du0jjYde51mcEBqTvnfg6NLLrTsLLxMK7cw+t3xa/IaWJGbl/i+wL7BeguOBtYToEeb8l
gHSFSRhQXLU7KwIcJlm3k9enQWjQQrodLba20KP4bgOYt05QZLgoSnMHn/wlYCp3p+VY7jVmPx7z
oayeu86yrvvIUI9sCdPmY4BeMD9592PJLMOrBkYTdJWzH+s6buL0mtnstGiWZjYwy8eSXkwXMbZ6
HY0JaAWFqOhpipK2obQCypjVgcVrXAKtnl72xz/qRNl6+wRn+ozlzj/KwSzobDYSENpJpEvQ7Igd
RSHlQV5fNW5X4SStMRisu3BF9z6tR7yyKXQ6QLa4hI3lhOCsaKKh3zHaPZipzW7gy+IrvmXOrWsz
EGeXpTDU6qJaVK3UVh//8l90KrjGnd4+RgcIqM7GHYiJkiIItHYXaMxcfQ/cBuSe6rGKq/oW+SeT
CLNyVz174kszcorkQ05f2LXyX7OX/44qfzuqJF7kp9f2i1Fl07z+HXYonNrm7bzy9Df/Na+0vb88
bIwF7rCgXXg9M8H7Z155SksxpcSkh1HhiXz7D8PWOE0lLZe/xszUnUlw/xpYWuIvwyQbkBGnCV0R
N6o/GVi+o+1xBexzTAyqudi7wZpnQoNLSq0kCzP9HtJybjW38Gc3x+E3G9qvrmToOtJsh4EXe8Xb
/SwlAsGa26adOw/5M718KYlEWWDX1/1mJvqrK3EN1LYWnz/MhbdXwqPUn2q8dnctfAi4+/p102NA
bFfT008v/ObHVvJ/cK24KQiXbv7f//3FhWayo4UVHLRhrvX2Qr2T0kLXE5p1zpUkTb5jj/895n//
k8tIvLIc3vi7dwSvBTswqUo2nMFbey7DxdkebJmo6D94dKxVjyk9jENXnLxvfmIdBqWeWUXIHfUI
1C8UZgLIuA16kfyPWbC4m9nMD3BvM+Fen7v9OD3+Dxj1lrtwQNRjd+PdGKgnoY1PZY/c5OMneH6W
uvPFTAxw8GmZyZRnxxOawIJvsyh3QI2AfJQ0uxgZ2aLQolfdBa2KrNpciNFv/3wpujakWCzqHAtH
rLNFb9cFqAzo5Y5zpbjvarjr0tOSJy3+LYt9Xmw/n3ane+S8Y1cgiZSv+u1inLq4GyNKhp3WVfUO
CT80OUP37z9+kr9a8jAl/n2VGWP7aYHMDIteY6i3I3hDoqNRT3025Ae8yf+jR/fTlc4e3YBHWsFA
nAWSduPKVvHrhNcHlPbffV5ifjJvnpw3qxlsKMUQpRhUvKsTmHhaFP+71oZ8KLWmgBiEV89gWs8V
EsMduCHDD5DZjURDtcQP9PCbp3qy13vzGzAyYp9ncTqeZRjn5nAE30g3K8psB9m1WEGO0/CIKSlz
JysbSVHUi5XwaoEBupQ7vVYFMToECcKLyg9QMxB1D7Tia1cF8CiZBf59QrKdmFzX2fRv0znJd1xD
zH0wif6ydLCAwJWgsReGRw1TlPwr+O5maxAvgwm9KXeOqjL4mp7xKXGMYi/92H/pM2r1IVNy5zsT
I5MRRdQQ80kljrIDMN+OGTtFHZVJRZvVtmG+7pKUwG4ahvtWi62DTm7935XPQSNam99uC64SW8UR
64kezqzjhgXJMimxBEmoIYrk92iGZ71mPjedYEOwKbygvGaWWKxaCWEFiM/3Md7GOVCBpLdIsn2a
xEpnIBdXgPoaVk1QQLm7KWPvxHKkXcKPMOBwsL+FQYSYwuYUwlxIbFqkh+2y94R5sDI6qphm84jX
AGaBGbWh62FOhF288SkIe3lUgYhfArdIn+wBcLVqzPIzTErjk8+9lwtnACYsM6ub+E09jE/0716L
Te7IdqNsC2hHA9Z4agZ4cPSf2S1yt/bF59Ecw7gqr+0u/q4L3mkX28Yn7Da/q2bw71t7KvbDvDuH
TVMcx3Qec9R0XixfaMrhTQwR8y7GWGjPodLCb2RmD9vWXFCJRLRjRpejDcM6bGERNnIVYASBODbI
v2NxLa5wYOEhdqnMGY4ODAxOX17aBHjA6L57gf9Lvk5wJ/7kdyESVgs9dwbF8cGdjBmtcqLkxZsQ
tmXVgP0EmaOwDFrc3ZbFVNvpNmJQWV4KIFZvZYd+/xz6peatmZk2LhYUuO4sbMCzCw0p5CdXy+UD
A6bsO97exYF7HNc5g98FnKVqB6vfeyr4uB9MvCvipaRZRXkMQwf6bBj2xaZT4Ou1Ks0FjC1eQeur
BO8WfMKwZQ4SDUE+1OEGsvOK+PpJW/YWp+xExuW25bvvFjIdyvCpzTXYhJ2bx6+oD7QNGrf+0nYK
aEWRh/NGAx+aFtLrn6d6Sray7Np0g1WoEW3i0pTTeoI/RBQbdv9kPalEfJm8svlqTHxblsbscZUO
snnsMZ/8TOS5PDpjyjYOJiwXNZOLA3y4iDnkgL2KSHgTMgySlyow8gOhEDmzhMZYoof/Ti/uQR3C
oIofgmA7yMaVNja05iEMiquA5AYCZlJvG2u8oc7k9EWYD47s0kZIjLzu477uklVYqvBbXnpylyc2
0LIdIjG3RPdcNmO/NYnvrRdex0KYMP44YBKNypt4pEprGYOKdOvVwbe2q51V2Kh7/H1gOPSYfY3R
IcttEFMfewBOY+c27PgomXerNWhafwlJ2Ju5++XGwvl6YZRO8slFMXvUPbXBK2UOtFJlu8yGhBQk
5pQRedIpi5pdkcCfFF5L3sXetUldy6SQrz6B8Lzq8TBjZBKP66lmd8MGod+K+egvLe7byOJXcqrd
a3eIJUmejXtr9q24KuDrPMQkdhxUx4pK2FBfOg/2hp6OxarPuX3ZTHxGqBW86zbvhr8brUaOETTs
OaGVuLfCrklI1QnwlmyUdc3+YYeacztFKDUNvLxWsGXBhaXZubd+kdQA4R072anYwyukwi8m6wh8
jtnEjK5Y2QOXrsGod1FDap0hxPB3KHMC39KceO9GZwXDtaqj9Nos22ITDqbLS8jK66aaS/vCKI6p
KFlMgDAEVmTCWiZwiheR7wGrkaqE+ym7Ljy5z23iim/6wG7Vz2tE6pO4gmkdXcUSUjXMWvwXBoqZ
haa18ioO5KYBTl32RU1IBKFo8M8Ltewnu3iE0eTBXfZzXE+cesmBOyw73jBW+3pd7wJOg4e+DHzU
qXmOcWOX3TYde48WsHsMHh990mPZ2uMjvjFjWQGK99GV6Rv6F0907RHUkZK46K7dpEl3ja332zgs
vG3mBdplW0fXJnadz1ocN9ejCttLP54+Rbo5wKCBCeeSYLe1JiF3E/aFTFawai+12r9Jk89OVWcr
ZsDf0QgGS+w5Hvmen+peD3YYGCD6DzL8X3SzvLZGaBgci3gO2tYXkuPw8XI49HCeA1mOQqzlcnbe
OmfH0TMXzpQuULpPvNLyxyZrW025mXgHG9o/LFdsBf3HtfIlgTCq22WGtOotc5+FwVRiWLSNF2N6
kqZsZjF9ZsUSib1s9l9OZgtWHRMQ+HyI8OusxlisQsKUlmaUMYtF8Q5DZKiyRZkZj01mZIehMjH4
dFq9ZNQCYwLTfgQaIhsNOPGVKhz7OA4nPjQ4f83+lzmDf1cx2BmYlcUhSb5Rn4UHnOnNXuGq4ffu
AWZPgWud3ZkY+NMO1J29mLza+d6McYjSsk+yb6WE6yOiwNkrxjnwHUevnkFLSZZco9jXR9dJcPhp
67a9IaMW//rY6jzCXtwgXrdlWFsgIp3oGTyL5sVN9ARSk0rvUU8pKI3CBnOlvodvUTpjf8hT4q+x
NfhiuR0WXDEchpFkH4so3o1BrOOKjaO/JWtEm+3iNPhwDkn2mmWMW75TA3FQzMC6w5t/Z1Rdy3jI
f01CmaydgXxwY+ahYROPBUJrKDLnyTNeAPbrq9wyOuIfiIe/4nMN/g4w4e4WiWg0pjG4LsSppu2J
+dPdjRMgi4Ihx/ZtBVQnNGwENA2Wl8pVyQ3vEoaDjC1H+TvXUPNdkT8XxBhPS3smWr/rAksV4cSI
JdkuzDLr0PVN9r0wCRxaDC1qlmy2L1NrQtt5bGEs2qs5d2UhkhBWnaCsgrf3ysGVH1wDjGo0aHWa
qISPmo6dPFoGrNW8jmtGGY2HsVTFoKQFXyMLm2/QVHRKa4soyXtEhtaraeNOvkA0QfygJpxbyHps
t/6o0ic9iuKX0x6Y52h2l8M0pyB+XJmfoLY3hTkMawjiuu5J4E1hnTU8zTQFVtfo6Q7Amr3XGPrL
Nuiw8nBraqaWMvtqNDXMg4yJGivx6uLI5ocmwswgCwnvd33zrPt793sAbIQDYAT2cIY5OIFBdAfH
ya7OxBOpo8c64XwZHOzu0+7OHznyP34Cc298dkGh06ljBzw73p6zJiD+yCxgwoBRDQVp7iMCEjml
SZ6HxVEjU/WHNuJ/99f91epj3Mn8EBMz84cy8qcWM68p9iw7SdlccatYsGMWq6jBg3QFt/4VZZW3
TvCNvLalO9ycjmBMZ4W9DY1BbKBfaqRhIsMrpqrfqoYa5+Pn8a7PJp3Ndg0Ir7M1O6qCtx1wSxag
XUaMWD367a0kD+uI3eHvvsF3iAVXAagwbHTvhuOcAzFd1CF9zItoZyOtZobPrpGXNo5nQMMEGiYF
RhoxlTuT2P754xs03vfD1AdA5y4u3ijjz3tR7J+tvk6HcEemB6r4lOzdC833vZesoy5FhCjHa0+T
3hO+sk+JN1b4U8kBI56e4M0W2SQRYMgYEXjiGWWug7akliMGZ0fxCykBytjXyp9NhjS/oWs8/fr/
4tW/w6uFmKcu/7sXxGX0dxgFr/kbqPrHX/oXVO0afyHu4CP/d5zhv6FqT//LQivgSQvwDFcHG4XI
P1C1+5dwyeBm7GPi2XayRv8fqBpPidkdmS6TjwafiD/Q1oizrQ/MSZgmRhCghTq67/NcBNxjIPym
jTjmDOBbPBNxRVW7Ws7cGsxKbJQX4ZgVF3EitIF6k0geSFchDlaNV8pXJ8JSUcBEjefaRMb2NNZQ
+lMrPgbGbJELFY5vC19IdCQ/PembH7vlz0Dx2R6KFSA/2OXR6mwckm3j7Z7hNh0WpfVElhHDujsR
Ys0gqZEuxt7RGYiOtKUfX5CT4O22PTvVox/nkADXn534z84JLUrNUiNy+wgqeYEhkBYv056jfhtb
UEoRQWAVsRO1Dr9xIBhLLTurd6ydZ7PxbGQQimKPFzvd/NQ7PJXc9gExjNZWN24ewUFHeUe3NfMM
UkO009by8+IYN8KvoWbnHNki8Wt7UdUYSC+l6mCIEqTGs9bsXt3hp0HTRerPa5uXBSLJyuVSHlhA
sK4df674pY+702BrQAI2b4TKtm26buOT44RLLwqWGplJBUjHXl+bnL2jpXk1gtFSXNUuIMLSQbNO
ynTkEakKoqJu9NBKIbiHgfEgoNVgh+ugPF80NaRFLRzVTWAP/AxlRK5am9IoPxv9kEyQFYwqvFZh
xi8iicPcc8oijK+RRE0RHS8zTSMORXM0CiYSV1OCh+jGdka7fDYgMYSHtm5YfwG2XmBZjuzvpjqH
qGCmhvpUugKbaNNoeXJRQ1gFpOdCFfu6RB607OuEv+TbMBEp3Hv+adnhKLsmJ42CSk0V5DdNj+Nw
Jo0B5xV1PnNT4WxHyzjJJfrjwH/qRhqOvsPHEkYGbo+rKrJvQxAeDBGbioeEWTFvwbYYdT2HqGLK
nTVhprXmOZrdUkYmjyXCaRmVi2T0eT9ORFwve0Ma4kicexoepvmVOPPD8aoo4f2VZnH0Kg1gI0pb
zUHs2w+XISbNt5qrQzIHncJCFEaoC92M5LJ1g20g7BPkDFT3toPIuuiNdI2WIyC7sxIzl1mND2iB
W0K5PRqjLPZhck2yQ4wRt/ISWbP9pPWOuBr6Mr0hdC14Ja482gEcW+4yMnLnNQ+S/lNp4sIIUY4l
Gw6Mz3uM+NxlGM8FdZaS03swlC3hMWK096RhJNzeGpjaE7zVOyybvnZ4vEOU2fW13ippboicRuS/
zBDOz4YslhtOJi27peFDmineHa4i1vB9RENdfuaPGfYYalB3UaaDL6DRj5ZFwBpp4I10S9pW8YAu
jddDynNlLzRSC22Y4lMKhukU5WeeDB8Xjl18lElZDP6mQe3dPON+re5ctvh6rU0ODzgySsPeJvAv
jhL1RbnwVUOz3ccAhrGP5wrDi2qH08SoLkwk3CSNFR1XAaGKp4Xga/PWSAt5Lo43k4I7SYGLn5VR
PyTTpGlPWod8/KI1aq2+GclCR5BBPTw8TiRMe4+RpWfJnd/HkG6hmFcgkciUJyzN+sU0ZjxLGjqe
pdIHugDPC3gQzKDqnZ+66PwsdpXwUFZIE5enhZwojRdXwMuvV3Y/fxRtDeFmoQaopmzmhfEQdRqq
LQZCof2sUrczrmOfcT0kNnGKmxsE/tUuQL87G9vh4h3Eauf4QR2/1KKGyLqQHSIT03fb5FPNDiFC
ZDnEJF4XuA0QmK0CzffWThpo9dpAu4xfAcvp0FR4SUN/qcVVjDGo+uR2fpV8k05uGABAI24XCOx7
w7jOOH+mCjYMXNS9nxt49yE+t3V9HxomDboUM7iuRYGODGyCF4XPwFVOWMiz7DsfDFXcO32gZveC
ontEyKetoVSEGGyVzdLsgnBvpp6PRs+PMF2M+mEhTDHKVUgO+w7YxR6Q+2GGEIFh09tsLLrvnEDL
csT3O8WQtyxd/anBu3ZpZvqLBs6CiQikJvKr20UUDsrdicQIvqSN73xTgekj06nz6za1L7qhrsY1
hiTq1i6c4EWafb7GcIUItrwx7xi65S/CCrONketgPc6U4TyIXd2NF2Dq65QJzSKmB7hElEH6aMSN
s/D0pt1MWkv/3SuC2mqonQydyus+nbILCbyw7mBA3rKtly+x14X3vZXeDI6u4m1dNdamGiuF20GR
b3Eqie6Dxk4fh8xqgk2NkRLholQFaVJNOIV6eA2ZgAR9NRA3kjpAJ1FvFg8cOuVzLrMyXMVTk2/c
SC8+hTYuHIKjB5DFll2+xHhbXZW2MrGx7LNV4DvN96jGiy+FfLMzpjjYDDB9r2TQONYqxJ52RApA
ObCaTRxBQ7Ni66bVOE+5zGLvhMrYBFLcxn5RbnUVdquae3yG6Af0g6bN3ue0w/16zJzuqmot/56Q
XXurNVOykZhx4oqhTe5mHG37SsPe8ciGPe70PB/3gya8/YT3Ic7xdb1soWUvq26M4XE29kMf9dNX
XU/jI2HV07HOay9dfVyhnDU41CcuPHzCQlAVG3TWZyXRmAVW69WtdYDhyRnmwLuM2PzpCCBCz6Z1
FiwCc6llPX/Wge3U7uMf8K6aREUO4uSculrsU+Yf+FObWRWZSRgfPEDVloAp+QzqDianoKUBCKOM
KY7Yv9e/uepZ98htOxBB8PmYddQOfkxvr2r5E0Yeg/QOFdy6z0gm2ZmwYqDI+fjuzpro03UgEOH4
RLk50y7eXodEGbtrvABjB1ByNnW95tCY6dlS+exYf36xeebM4xRQU84DtgSbiIYVinfAAcpbFzON
9kRQ0KLOW398qfeVNKgADG+aAR075fNJfhV4TqnhyXEwsXK9yuFdb+UACx4kvDg2DrjbH18PByLC
2AROA2jJz6bqAiMrUlszeZhU6D/9OAOJA+HIkvk8U2mikcf78TXfrxGmcJLb1MnTMaR+ds0itypd
pagrui6qd8MAwVKJoTj+B1dxcGyzifLEPeBs/ae+MeQ+MWcH/KHr3RjhqOa44x+iJfNnLmkocQ+Z
eRfvZut2axqV1LiXE/PCjhjfQIT+D96S9GAWmS7dzmyH8Ha1JxWjWXwl5cHwoXVjZ8s76UeMCNZQ
OsRVW6p++k1L9377YE/nY+a2LJM/nT0+TMn9cUht66AVvv0soEAzG+0pRboUgCqHeY5DVzOxeX38
2t5/2O5s4gYwo5ue8W5BemDtxAdIA/U9H5dPPvSxtSHMTDFc/48v9YtbZHFAbaIGh71yvlc5KGu5
VGbAU56ZsZkojlPDeDK1ZvR57uDUvGo+vuiv7o9YQBdim4SOcU4T61FPmKFni0NqQ2PJMygLqe6G
Wxqd335oJxTtJ2yT1emBTmCvajme477/0uaZp87nzKi0gdoci0zixuro6R3pIDXJuXB3wJopk9VA
XcfgbWyu+goF54b5lUVzUTAtROvyVUAopuqccobvbmKX6W8ey/t9D3mT6cx8KRhM4pxqlkdyiJAt
ssIzMFNSJyHDz5a8zQJbYpZa7FHWf/wmxPt9CJIhX9UMRcJzO8cBgxS8xOeIOWiuRq2rXJP+oUXT
+ZXcRE4sTI/n9R5H4qrq0uozhPBJrEzsHO+qxsC9rQq6aY57QFvRonMK/3hvBo2GOQlPDVdT/YRj
/nSC68RP4EzMV59NLkW3LuMXETApb1Izj2CY67+Dcd6tTUiF89cAlMMSRRz+dpupiHig6B+nA/63
1muDlixejFXOMlXzeOPjx/+ri4EbmZCSPLaa81MAKoWnB5U3HlTAXDvOUf+jiaPLkXpJl/Txxd69
au7MxfhS6LjjsJ2dlSVZoomy8fXxYOPXZFO+khtHCEJIl/jxhYwzESZUWLbL+eyGz8iJel6YpGYY
Kbt0Bg7wOmxudHq4bqlh75o8+oQINMcy7kFCrAA5TTiETN3S0jFrsOT5GCwqdRdGCTiBNtAsMexD
4jU5zI91zQbKAvUyN3o6ox9Dhb/4dmBcctPmSK2zP92IbZJ3PcZknGuQP88rkSjHDcLB0v5gTMyP
B6YURzRl0TbQxz8uergUa8BiFACk924iAsPfaHuF0KbWbRPxSsz9VwXBAhou7UcySH6LH86n108b
I5g/+6HBp88QAALy+VvKp8wUVS2tg10p65ttG/2htnzv6QSIzI5zYlVNKUkLShm/2emM8yVizSRN
yJomV55nkNJ8+5lZKQQDeC4kP+F5kU3I1F07wdoHCYQJLUH57hdktYm16guGvVdeABUiN+sg2hnt
CJOC9JTxTu8yUMQpmfGaqnbmur6r+fNJr1JndhOjdxfRjdOOWs5/aYjkzoMPxJg4cc3iVsYNM/55
eaUah8F2bGtRHnCELZsFOh91IwcFNNb4DG+PCcAR/IkKv9CVGzACvpS6hmEwUQPZ7QDacFXbrUae
SWTfFKPQpm3h5Ax3+xYnCt3BIOECWFrPl40jO4/0jbq8aBMczqGalRjOFWM10UBP0QGFqVgiP5Md
4lARVvhzdBjOtWDf+OUVr+YUz6zqVMSAR10pUvF1qN0EUFxDjUqkSTmDodgBhDf9qPizQ8JCsbcL
IEooO54f7uw+oSnJq4l/OlWYH5+KT8z3QV68dK5rqpJvLcxTiTUSXnIDcQbBTG0da+Ul+8DV1F2p
piy8gSWUFhdJUPXtbQP5JltB5+HrLkRWJnfFBJ1kVXetqDaMINVdokM1xs2uSO4gATRfFXPXCYQ3
ltM3084767KuxAxFDSmvGaElf5Fbl68S9cN0X0JsZjZoxNZFP1sbgGjgQLGJMLpXG7tEDbwCBwG5
aqcQINzNRpKfIA/yXyT02IeRNZj5vlJxp92rIuLSVTJxank6Y/tqEaZmY1znQy/bOxFphMYkLJfw
hnYRvagYHQwHoO9Z+76vSR5EjNFry6nMEWzaBlu4nAJWUE54BKxLZ4icC4v4qGEfIrEk6k0J6CxF
nYJpuXiTTluV0kIumJaDMjJxVvWDyGWdonqVLLA8hF59pUU1Z8OpDgCzZ/UhHwVqCG2mcAcUJgjK
fYAQF+vIsVDfvXbybxCHQys9QXAy7fgxZqjEgxUb8jXyw9BfN10DL/vHZ2XPlDl91ngNDg5YrznJ
DjXg/CgehBIhU1BOxWppYJoD8dSWrKLKnbVwYSp5rkYzY+Zm3HRfICcP/UZBTLz5MZohGfrVl+Zc
SAQWtZ1bOLA8RTwjsTXw/KKMaX8QcoPAn44/x+4AGUOwK+dCOswj8GyNVExoRaI3R3g+fKZZqTFp
SEeLB2thv2ZuYs8Iotsmr/ghQgc72ZSp0dzlk6jUS6ccU8MKxJFJcucWnuoupUrFgx3HubXsMN8a
v7kak4w1fHHDuh1FCQocjtTGJt/f4GScx4wByEQJQQtYKxbTHGiZVms6nyjMkxZKJnG9DHFTEgrw
VfF9iAJLtnBJNE3dgNaPqcnkGgRtckEEYJsdMl1XQG0g5K0LQDZ1fTz8OPH/Oyf97ZyUr+anmuW9
rifK829N0b6+HZSe/tY/g1KMBt1ZmMc4dBYv/ORB6DkndY5uu6dZKNDB/wxKvb9w6GOubgHJ0Lo5
HLr/DErx2kd+hu8dmBhpZH84KMWR7+35rWMl7+o4R9MwmLiUnijvP5XGJrSArLVy/ZjrWhFW2Gha
trZCqe/jCCVUuU4sE8niaPZlvSGVQ2AqVbbmN6VSNPkZ3s/MmcbmEvEmtvSwqiHLqSm1LJKYqK5W
QyO+BK4RPGYKNTmJ3/JTjzHAJTZK7c004BG0iYpYYrkH1ZFkUP7hsreVV261OEx2dRvnRydGZQuX
/DatW/OLNuCpc2QapXC9so32oo8xXXo0E79zLpqpmvCTIF65g6SVmd3X+DS8NRrFbIzYCoSQm2nE
KmVKmnFl1roJk9zsPsPmHJg1dbjzXSZmhD4aLp9TbhLe7T0uXJm9NA0Yx+sy9aNHEY7QCpl/Tcs6
ioFXcZNEu4/K7962OmPfOG24NVT8NaUuX0dONLsLVlFMKqdhbGMjehiR3t7YMRPMHf+KeYnTjZ9h
poaAGBvutl7ATDbXrdBeFVGnC1fHmhmvBoeDAsOndUXrD10SNe0KnLCS64k2807oqbzsPeZRou0c
se88r6Lrnzz/acpc576cY0zrdjTcPTIMU1vFTSnTOXuZndmp/fi5R9u61kyDeDIoXzyDsl9UncoP
tlekhHQ5DMK7bIjmysZnNjyOw7Ht2sBdakEZYqlqT3dVHliRvvUDpjOJwF2qrUGLjHbAZZdUoRXg
EWmYll/FG3f0/Z1F/udzOZm4PUyNNj14qZNaizYYnGhnkTOaPkW12+WPAanSxJl1nLFKWw84VzXN
ltnIqDd7JOx5BmE/lZF4JXiuDnhzpOBJmXrrrLGWBoYEVxMsxrXSfWj8sLL3YNd3bujbROWQIZgk
xRAvo9mF1iqqDLk5/sjUHI27SCfNjBaNNDAXm/weByK3JCbSeUgU7krS2AddfSlHN15Mw7RwomLO
36yWqFm3uCDg3Zvkm5zK9FHTwlsFY2tRc5kN9GSyKvrxs9AHYqCcyN/4/XgPmt7sK1xh1rjzxBdV
pun7UlrJpvUr4+Bp7PcJ5ey60SDVZoQCHyygpM3gFvgmpeO01/Hp5gWlxqM3GmRTkAFbicBZxGGr
wUqN+w1RrG17wAA13lOVfampJg51ZAXHiskEsauZvsY/acv4bNlYZbexSLdNGDCuokzLl0GleRpU
yThcBmH4TU7VM4IIjMCYPiCe0/EWsGpspNArYpTTjQFWyqSpgoBiMx1P922k4U5eRHNGrPSXVh2L
G359fIzlqBE9DM6+h+DRfUOtPhLIZvJw+Nh2VdmjH+GAJI4Jg8+qgrgq7yszvUvc6GISPnVpp+PL
OD1Edrst9MY7OMFw13jI3yeitXDkWgc4StWBHS7d3npsqmrrjuoyxtoNt5pObeoybde9zzAt8K0n
G2byYiB9jgzj9FtqYTdh5IONpCbs7iMtv3QrIZZei/wedS+bYOReWv+fvTPrjRtJ0/VfGcw9Cwzu
BM6cCzJ3KVOLJcvyDSHLNskILsF9+fXzpKuru8o1U6cbmJsDDNANtNtLKreIb3nf59Xo3WU5s0kK
QhGRjeI8mEDztuXcVixHx4nPlu5Exfvh7al7yNXMwuEQtMX76i/IBCwzPHkcl6ehZWM2J7a8ZGEv
sZbbpNX6uXhIs+ZhlNDjA57UWleXmeC1t+J6mqkh8TUeJADjWlvOY2413qnWfRbzhlHSzDpEp5x9
Mo2Ocsaav2d9SSSyD629y6H7g9FZYpfF5QnVmr3tONYfenu6Bp154VFJ/zHx2gfW4OaOY4IIT2lM
ftwpr3/hXBk21ugnY6TtXl6kNZBJ1qt+b/JG7cy6GdhoudmjPc/huZ1N1A1GT95C+QoGxopZyaG4
LncVAM9oltqPAFA/Ep7F6YJuEn+m3IHWtvnxSKvOnBz0UMbt0IA6V4KIKtk/FXgQdla5Jh8mNZ01
IQjxLHr5jKzl2QWoFBXG+Nat4ScvhSUHx5HP8aDhaRbQ7KxpBzbiWHtyH1qSOCSAoBdLpM1+Ctr3
ivCmLZls3cHsrSed+IoPsGKRUGbFeOM2k3nJhP04hPq26LKPnrIg2eAaN2tniThpt1hmPhOeyurV
cWN1PUu1EdwHnb3vcjk/zrx1SKzHFEKbtwafVZKKT4UbeCCnfb5qBjnPlj+SADZux0ad6I77nTs2
1k0LsjBqRp2zNg+J5lRLEexRga/HrO4PvZanMU/UHuJCHqehoVlVGoTlKQjfSYhAFa0wbaEzOO+O
wfsFGMUILgthFg9ZeYWC+G1zhvZGXO80EuEo3eyLnj0nnqzhds4b7oSpeBbOeKjg9YXjysUqQ2w6
bf9hZA6KNa58H+fqEAbLJ+mrYjvyfBAO1Cp2XD+/GRfwR8hUdw6GeitOCaW7zCBa4DklBEoOdGE3
bu6mu8Wwl6gbUvuVzGD9yPRIVZHBclZvA8XJNJZ2dZ8aI3rougXb03Ovabixh6V25UYIoXfVoIdb
C74OKg+L5mUwwZ7ZxnNmTNfrGWhXDdvcCNzLhJH3I2KN6s5M9ThvnKUgmoHgUDk8VtIIjmGn1tM8
2s/ObOovRjsa6SEp0UbsXH+yu8gmo4IgEKeGgMQ9a23HPnwvjfFeZD4KdWfqHzu3up8qw6CBNB7K
JRvu8Oq+dMRg7YbZq08gNl+Czime5pxcPgPxC4PLkWC1ovnM8eocJrTqb3IV7RYdVHu0SRzdynrM
9h5IjygItIpL5fBku/H1GjG8rczAOKeolT5iMJsiYn2D794ACnNgjR8ReFG81YG/fPAnsk/VELza
ytUxfFz/I+iRfGMknhljsJJPQIpM9BQMT0OfRDHbxnY3O9cvEW+YjEAbAkhh/833mh8vpYPZlvKr
btWXxTT8xzCsxhe7G7cmm/gLljQX2wFXti+1QK2et05GU9w6kTbb4gZ5dQ00ZnCoEar0LKziQGCB
ioGdAdgYwvoRcUQDuizIhgc4osFh9b3mxSBqqO6X+WnEk7YTYU7aZAiz8BaK7tdGBe+czgVeSS/c
0MMNz7kUN15lh3sd4rdxEXltsR9xQdBcb3oL1k7mWoxfSLG0UFrYqHEst7mVolujou+W2xJP2GGq
xQwhsHkv0lLEw1zk8PP0KD5wQHYIxga7CCKvnzIyXKsUXUXpKC6vzqheGzaHN6m3uDvSnvKPV0cN
8ShBEVxNBYv9ocxs8YWBivfFySs4mWufhsQp4qthbL5l7qV2FnY2tE44YvAlnvxhNQDm4CiwrbuE
RsXme1u1kKVhgm1KKg8MXfmYZjGx1cwlb1o0EjtVjumH0KAQFWcKrbgEp9WG6xFZ+1fWWN6+gZqy
KdmX4c9Kr+KUmvjW2Q0jLsk979rJlU4fwf0kD7auJcSs4fPYO7iQVk1oO9ztjUvKQdQmzTVXuoaV
/SNXW5OyF4jiYCM0iLJW4sAwp23S2heZSRuZkNfuC+0FN3lWIiPs2Tcp4ruXNdsVY9M+ttno7E3x
ZSgyCib0EFtZJs9MncqoIMI7MRwbJ6HWm85tcZTIBFnBUm39pjisFZ+7EntcxGJNxLVRaezeIwGe
c8NxkrsRAsoRGB0W31Vln6ewv/Uo8HdmwEsMH+4ZK0O9haKAMigvbyYP55QUASK6mdIQbRt0jtTX
3IlFfaxr5zFEXLKHofheVMMzqhoAzR7pgyV9itW7UGjQQQKy7DfaWQgW1W57Ntp5BGtkWB9ZunWE
65bl89x3DFDgGIHiMshDEQTD2DXakIyFamRJYkaYjj5jvEQRhU4rzusk/6pasRGzv+Iv41NOWmC0
mA7g6zlInn1R3GL5ci6tgwt1aKrvFL8ghrJuK+Rax5mhLN7SEaljl+3WYiifW0fmmwKT6A6ncbh1
HIodXB0u6S6yOAONtqIFq/YOLn9z8YLki9m16SZUM3r8Sc0PzYIUMuw8ES+FT9UjME2QbHOp5mW4
4JOJy7qZ4rVrrzMTc7ngXjoZIjDxRNV27I8j0pDQn27Z+n6t6TegrL5awfqWam/vi264pc1deDEU
ypr1mARq3KJK2xfZdyNoiH71OpP0QqkP5LfdN7kNyDbjeMyaIEY7YO60pr1FTGfvYZaTkeMKplXy
BtYNF6g0sZsGz3B+7MjO17fZH96TIf1S14rPT20/DP3Zr5NnMmZ6QEdV+tkwAA0OEKxAKa1xavu3
axh8CjSGvTCs94rLMQLbDLwbQFVkVCax9o5+kBPVmdFJM+6HFayqAvOIz44UZIiL9zBFxyBShKxz
JciEp8tN0CCK0dluIRnv2PIJ/ry02TdbYZiwk2mJMtvqSJN0sN1CFCtfi1qW9TbPRXnhynJQzNV2
QYFXY9CEz149TMgqD6MxN1c/rNrL3EjbWFtAFon7YemLuQKZHsNPmhzdPE9DUDDozMYjVbXCY55V
eyesSOkgP/wGa7K3a6vhaWlXFNV1eBcGg7yvckN8d/NuuFmz3DuBQm4PVrFcsz2TZedOTvvkVJiv
gtZ6o4eXZzJNafBT8w4XzggZq05vbSZ28YCC/czIGEbuOs97u8ZxTjRwvRshre96thqbNidsxK7Q
fJHlvUnRDeJGZl+Xd326YbZhsN4yAaIPyIu1tLdWViR3HjLhg18sXyBSh1Fp+Yh2C14xitpzNRTV
oZXL0W1HZIvTeEF+R1nRZQhRVfgZH1G+aQIf3WeZIcrVbkUZ1K6bSfHPdyFuR747qTdT7tH17xwL
emU/W9jUmGFmkLSP1I1H/5pIVBTluOO4ckk2I19TlW61LfCXS2wvNFPB4yANZ08rzMTFnuXrqAjM
A81oqjNXNbfQRLdwWbrwpuqqINJKAt5MfDcaVBkbjLyjWlgNFmOCvD00l4dOOYR/tVpGKAnNm141
/amr7e/NCjYcFVR07S2sNb8ITvftDGHyXra8jbUCgBgqEgiKYiLUyRARSTv9RqHnvpkceZ9biBtV
XZ5Tz/9YB2G3p75u4pmcp6ib510lzH06Me8oelKhtJstV9Iu/xTCTYSP/be11igJ+/PC/D5ql4QJ
t40muKHPsuwqJmawiqY+4+nBk4MiF6Mt5lR2zeSQ1QV6cKVdipblNPFNjYcrfdcces5IV7Rwwscv
oy+/wKY6Bk5zP6O8PubdYm1oIW84oj/qZKx2zjBvabX4JDPlj/uxw4dHZtxlFYO1D+aJMcrKpcvM
F9W2eMSpewzksF1HT8VAdquQRmetXhrHYGwyTVOws5gxc3Y+Wku68IzIlFXeROcVTNAlaAd7w4zW
FYAgE4GNSPLplEGJIii2+lL1dfggU4M3MnD3zdRkGxSH6zOKint/DUHOa2GBiDR3feeSON220osp
lA04ov5CNIYvn8ok+xaI5tKt1o0KvDdbWEzF33pBKn0ffG/HRdPm5nhuxSrjrgw3jaxiIbXc4Kr6
rvtWxYWhPmeNkW2b6+j/andWFhlZxRowK1llmG6qillAJlbKFmzTspb3bcYBHXdD683IfB3/Dr6e
dTKo6cnuTYn/nkaa8rFZWv4QNzmCdzDHpm62Fclc7Sbrffb63o0GuI7RP/bkzO5mVsWwY4qDAqcY
3Eitwm+4oZdmgCCwtnsHU24YYZEgQ71oWIBwqvURu8PWJY48azChzlTk/ZOB27LblQFqz11rqKmN
bVZs9Y1Hj7BwfFgDZn4nFA2wVl4jN9HMHKBymrcDFpgvnZp91eO9DzsmFr+um/+n5/X7b/XlrfzW
/Z/rP/xOccE5l/X/94+/7H79dfqtvk6///AL0Al5vzwM39rl8Vs3FPzVX5171z/5z/7mv3378a/8
Pyfx7Hf/ehLfdTn/0Tr/4yz+x9/7bRaP/chEknG1q14pVteB+9/4WqH4hWUXWC0LbcXf3Eo2//Nv
Q3fb/AVXEsK+0EJP6Plu8K+4k37emIfuddaOz8mnOmFkeZ3I/27iPph9kPVjlrI/JKfavAKybXl1
kzhFyLbcTLP2HYZA864FqSa/e1n+K3tR8JM8CB2CG2LWC5BW2CHKqZ8enVF04yrdqWMpiQzxU0C0
UEb5XpKNDdWhz8xD37iwKvDqcAkKaJxONF5DZWr62OcVPD7FcHrlpHOkA1oNxcJSUyVIn5ggkmCy
GAgttGpXC/J6Pqw3Se4vA99LTTIYBqBz6JNmyk/JAbtkzqwuP7JHIJ+zJW9yCNhtZhOALZGHPGIL
8YH5g5wMpoll5BWc+yPixEdZc6rdmdfNq2Cn8mNCDSQTXL/ZIRnsiEOhS4LDOC6IlblsMod6/lAs
Oh3aDwJqgHEKqPAE9Snv0tcxJY1yN4U+lbU5Jmm+LYd0brnmMsN9zYh8rLEdUfJnN3VPDK8dTdTT
031j+UMW+WkwpZc1NLKAyM1FpI9TanroS1TZOFGelti0rY6Z2YY8e9s9Cuf6J1NIvP6nuVW62jM2
RU0Dd9uNvCXj1ExEh51FTMFqB3A8yGjLAfh6ienjlarSLyVp5Xejv9TbGggt02l/aXTErCr4tA5z
b3AiT/OWdTfBFN666fnVdfMPHVM248WnZO1iZab2oUBfQQ8ATGhKIKy0xQNS7mJftqUJzT9gjRzu
dDsGkjQ1j7uOiqRxGn3f4O3gA6N9iPNDXsfGEiYPo7fMz1yk6pOZLSryiyqLbWw3ZPcq95tRzfIR
BQ/0nXBuNlVoEB8KhPjYw2F/lS5jG9jCmHj9tjrmYdWfnAR3rxDFY4YP/2GckeGjAE994sgbcnIm
j+KjIvp3eYLdO7aREYbdF/cK3C2BaG9mOvSjSkksNKe+vEGv15Hn4zCAXfOCahzSb2OIbJ/Odfju
ESZBumnSyvsRK89bOnL1U4As5iVcAi6nXgrjBKaav7WYlfnQdszIJ2JQPtpW8SQNbb16MB/TGLr7
ew5q5qMX8KVywEPtKCecawbnyIB8hrptT9+SpAveViaX21DX5kIET9q/MV7cypV1tsgmJ1J6uhkd
4vgKUBU7e1xBD3i43w8ti/Aj5h/vTMaGeJ2tIbgIvyLyw5r6YygV2GGHKPoBt9ZTh7vvzp5cslDt
0r4hm2e+4Jphp5Zq9wFEgLhA2JGfmiqTr7yjxX6eB/tmqNfiMFSVvqjVKd414I0kTtrUP+Wtvd43
bj/SVCHuxB0jxijRgU9F07PoNgxG9gYZUOdgae2HcDU9kAB8JQ7F3CasDoI8P1U0vncDA5HbsbXz
FyQccGftZTLPWo35uc9U8zSALviQ554+4dCqtgY5Vq9MU+XHdvT6m96tQ2PLoFyezNVfrZ0os/Ie
vXRy1ECF9v1qpmiCwmDXNqP73R1BpCBoWl5mCbiYQeixUrqEsZ6csT1BiB8yM5p+rM+q9GiF+mZx
zYWRqk1h7Axfh2pCoqCq4mCitIsql25NiA5CaF75OxInZ2K/vOYLPNPhxmymfFc4oCi8ypkeZE3b
m6lgOdTtYD8gCV4+DVCL3nEvjg+8IMndjArlhQ2AAMsylRu+J/2mLmdJhokj99qRHkiqoVbPOkfc
wdvOt8WYml3oK/2V/IZ+vwYl04s5Me3t7M0OlO+2vyc6C9TCiIaFzciYgbl2re+rlbHCMfFq8lGm
kWLg8QS2ezyD9rrXzCkvVm2ln0jKK/arGza7mfSiMQI2bJ69XJnnsFfhxWBz97DM48BF0S24R+sr
zqeY74pm0ERY8EVFmp5C3GDAXMbJ1FM0IwE66ZqWBiMAAKbBrs5Dw6jItzlqmLbi+0TwYDWO+OAt
LNdiE0xj3DXe8o7vbqZXNYI2p+CV8tCBK/rCppKlnlQn7hKEzk1tfZa07Meic1GWOnn+JFrZPaZ+
71/QfTFII6sAUdSimueuGkJGzf56HilM33Q9sCIWYnos8pppIt8e/7aaJtKCmfgtMQIlKEeVO52M
tBz3SSfGy9i39skqrKvXp2k+TtB77meX/mMhCWVv53P2wM2mX71wqL8EfeV/XxAasWjpiY7EyPaV
6Ye8wqCZ48EymuCp3Cxz525ghPYMGvk549Do6BSEklNkdsX4pkHCFLgq8bTC+zXQh2RO8zEZqn5b
+/iyArfMSXP1pPpeOWifunBsXoK08rytU6flFztNg33VzMl5EElwMwYVWJF5bY9ZGDASV7BpFov7
jWleX1x6xwzvZFB2ZyWWfjsEHYPp2oCM06NxkY5iVl74dLJjNbwEgNZgMTFXZnVIGFrU2dPwoNMu
uF2NcPlm2kMxXHlQXNcQ5dKbYuqNpyxzvVd4Hhw9iuUONbchCUebeg0CZk2SbW8GNeTwyr7k7G85
luDLqaBYRCQTN9j7PQM6PhNTDjkmNPAAE9Ucw6EJ3hTS9J2Z22+YT+qzkVbuh4BBOBKf2b6d+tDh
GFyse4RzZgwP+Xx9AzHd2GK/kio6LlV+DYazziCI5DG14CmQ/Fzf16llP/tBP25n32CE3NTu3vAk
Q0yUwVt0iBZWsbzbGLWtsQGb3YNPrNJ7n7VFT4SSXjfDNIYfhIsgoWo6a2eiZXoCnpc59KrauVdJ
Aw/bGufwoUiJl0IyWseTad8GCQncsVc6JioKxrOON5/C3gq2aM2ab4CarB5IDWPopG/8A4svHXdF
t8RVsnT3ei30vVp0c4BSaB1mkqti2NdGPE1ruO4T0fov1ALW02yHEnCNS8xJUBrDa0ky4i5R+pPb
FP7WkOEDOaid5PmZPXUHUD4ANxOzFNlLuD66NY5eZXWYqxnZkqSMevA9120JkpTEnZM1zBu35npb
GGHx0XRop6Ry7xNq053IuawHQPOSrXbry43drNQfKCGGi50ODU13+7EySX3Dj+voOGFVtee+q3Yj
MBomBLRlRi78gwWL/c4X/syt4OevFGge02bJML1ZksOgZcIGWxFW5otWqKNbpCLmk40psNZoFFpn
li6WqJrydexwK9LqPXptm0XTak9Hz1zwMsIy53uCSJkPR+gzVl0zpp/K2iuTYwXhDcX0TKVakd5h
Th9Gs0ifTVUXz45FDeggVnDIXW6aO6368GZVHtVK6iZHQr/QsKRACNBZ1NxgjKuTI7gPJkVYKeVJ
9sg7WOWJfKDEDOsDfWfafbPBFnYhHkyU9MgUoD/fJiNcbRRi7ckt2BxjlbfPDGiXS9gwBA5VDo0j
beZTVk3rNqXw/7QyYZeO95R6AJsGK7/gKxA8S+dUKl98Js7TYsZCYniTIKWI/BJnyzpax4VA8mic
MoLkB2Dy2l7f2ozgNt94CDTDxBBU/abAFM8Ync1Q3VfT3rQNuGIwuWZahJu8EOW2kOkzb4u9I87T
iemSh41dUNwYRU5AQm6fO9d5FR0L0XnsyeJSqtgoFTCHLAtemHJiD1EymkCbpSPUgtWJjbnN7i/Y
ZWm1nFh43GWLY320W+yqcTDXZWx6VbsT+Kzi1Zhx0qvB3qz1Qv/vlBiewMOsubRfF8OaGXoiiCgB
/4WJ69/NXqZi7VVoLfn4vRmdv8W7nzzBIfAOGmTfieG5ec7KIifJfHLiNWi55rosP+bax3bZ9WuM
qt6NF2eYIl336aXCQ78LlVzuXJMnJ4Nim699SZ+g255BJAqPv24N/9yWehaCD3aGcDMC+sM/tqVZ
wugiH4L8KMuOts6YSVhs14BT2iW/54NjVnSk1FIVVzbg/r9+8J8sDHSlnuWZlnX1ZdlghX96cFRk
bGFWnR/FTKbmKlvyC/Iig9AWqse/fqifDAzXhyKPiP9eu98/+wJzVFgegAYeSltEafEdWfCDL2n9
7a8f5088qOsDIcQPGTgARPF+hsqrellQwfjpcdDMrDEQOUdv+JFvmff3TauwaYxhxkZ+cco3fcU1
caoQj2Ek2bW5ZqdXbX/8SP/TkyH4L23d1d/7P86Cfsx3/jEo+v9qfuQHYGj+gnhTV/1b9ZOO88ff
+dvsiMHRL1gMPCbpV/sqPo6/z44goZAzzcwepo3ABXVVWP4GvAl/MU2T38IExGKVb9XfR0qO8ws8
Mpei1jJxPOLx/VdGSo79k1kGBxz4Nb45to1jGFPc9VP/u6GSZr5OxulCHgh7KsHItWSNgfHFjd3G
U8vBB89RMTBPicG4IibO5PcaccFI8GuXoCBiglFaJJuY1+j0bG2YlVP6eu8rCQPbssoDh2WyXm5r
tmPFS746zW3dreZXaaczqWyDmofIBEdwjYodR3ufG179jMbMRwvZhON4YpndTueWU3KbobKng2af
g37QI5mQr2oshqSP2FjcmsOi8wimCfGMslqtDTPez+NggVBg83J0xpmWbJHQJrFCMcRdIIPswoAv
zZbpD6sBx8vyc4FP40ih6R+MdmiPY11KRrB5NT+MjbG35GBtait8mUhS22dG0bP4TevrT4W642V2
Ox2zpEd5AuwiCwXt+FViIQQrGnBUm6EuJI0WbiOi4QHZMS1jg9BxcSTMlCPeeV5lcx3EfW7l7gnQ
ZXdPOKf0biYw/u+8IgQ7AWRM2qfV0+sRNEVnODd+m85qK1tiqZ2J0MB9G+iMbM/Zms4kpJAMWVx3
TkKY1Q6BUDmCP3SyrLcPki4DxxMyLD0O/g0DIIz4ayw6ISyGQJkaJJumMG1hARxFiVhqpO4Ogf+i
HRfYyn6YMXxfb7TFzTralnjsOjg3rLeN+WtY+Vp+D1E5fF9I3pvsi1V1bgldAs3Azuvzq2sGv4b/
SZMKee07w/GW0Ex18pDb8EK1KsnY6w7ymLP7s7dtoR6EqNutmSOWSzI13XULcp8rqI+PJcvPzaJV
CgNHiFMgVU3Sp7nuiFpUe0UStcj1/Nh7g0MUnFFYmzykJo+Lpk9PQdD7TuzYvNqxJYPkwKSGrUlh
L+6xnM12R5nbvdWWLt6tvhE2l2znsatsrgOeIAlY0RMmhcawC8Wps5HIOHZaUFMgDTk41fA5k87Y
x2vtuPcGr6BLfaDTz2nrmDfgeMsdQmVjP9oOQlce7sx4Te/FKuaHqu7FddcdyDtHJD5rgmAC6WiZ
6uaqMWNVxIhwgye0Oo6T6V5ykKds2fvCucUYtJ4qylwWJCaNz5C98TOinzURTQ1FevGyjsJ3cLxb
rOKQeWaVfM7aLNxB3xn3rC2drWpUdRqEr58xLF0IrHUfrp/sOwaN5sY3bUSxjTivktUPYSF9HNja
paVls8sroM3vtVjMu9pV6adU56AeGgc6yAh9rytYyiy5l+6lHNUeq3hCkOQVWQx4d6+9NvyQOgZz
TdhUt8S/fFwt866yJZJjxES3ah1dbvvGOEBcnV7chnSrSKp5QlpmW6+kKjNrGeAIcT8Wpv3oQaDY
Chgh3w0Q4GXc82rs1Cr7IyDld+yYIZpsRmsbY1iaMFKj53zQ9jRnqJbG+t0JlvQJcUpqMsBu3S+o
LQj0QkrMv6GNI3MxYCYQsaJmINhqMhFhKQDncQD7k0RsrE12lQaH2fXIPCO+MYgGkPO73k0FH/Sh
z29EmA1P9Hlsvnh9nrq5eeBjjUDJWsjjBlXuqiQ8GGQCwTS1G/8UtAZkELJbgq+zV2X3YRHk5CrU
1Vc/N8NNYUL4iTRWD2+71A5Zt6YgL1I+9mUbHFHmzxvFp/uDIIS0pBNbLFp4O4mnnl2fKQGZzS7q
X99voPFi1Y0Yctif6yIFu50NiP0n4cgNqAT3FVBiiPVJr4/1jFLK8dvpBdEHNaAt67NVaIWN2J/f
yXFFg2jZ/fcUIQHFe0M6b5F1GNcs+5OF2PZuFXl4NxIweb9Ubr0TBXp/i8XxDbhi8wP91qoY6rSq
2dV1l267ujHfsDO1G2ce6kcw+8DVFxoJYEuDETk0Jd/ZJpuHaqz8V9vqV2Oz8tHarhw5cQZS0IsI
F5s2Vc3JH0xIYPxg9M5Ws6Yx30ibTktYz/hk9U0wudmpDlt93wgWyj2OcV7ZMFu+5Uvbf3BRYEr4
iQkZ7eZS4OcS6GuSGbySIJbouLbLMsQYvb6VJQpZStYwsl2rPiNZlTEZge0tvKjpofCNLcOb8Nwg
c84jpL1ZQvyXoc6ZKZoNe3X5uehG8tG6Qp99HSD9nkTHfIqI+UeHGN/DGDAxq+ckZyKSOARnEXl3
145avZTMTl7SoGrvkRskH7VK8pthBl+TsTF4Fq2zbDOzlvuF9eM2WXpUIF4F+sfh2TIYoRXtj1Wx
juh6/eEZRBwD6Nzpqo3BYCb2XIcsOzMz7xu2EPbWD5L6VE0G+q1STcuNK5dSgW8lQyyoHZvXsZ8+
OTO6AXdE1IyIl+4ZXe56Ernw3i3+fSOukyq/hyExsY01w5dldVHSOisXfVCZuBS7tMt3DBe9W59N
3xPJ7C0xobiMFVrsIHc2wTTfDk3d7hjhA9H53+L4n1qugoegHfvvi+PLt/Ht6x9r41//ym+1saA2
th3HxmMPcOD3Hic6n38UwxbFMBQdn/PZxZwsqMh/26+6/JbrBaYZUD4HVzDkb8vkv+002UP/91hY
62r7/Z0nmUoYI4hHZAwrTo9O+6duMuudeaxabZ/9pPMJ/XNcTkmBs8BdCwLGM7Id0D7UJxrRRkS1
aNCgrkhj8d8W+8HqmlvyhQfrE9A+dan9os1uGmS+mEh0g+Fj4Mv10R6d8VOvYGX36UIWo4b9EIdj
MMLd6yXaCi+rSAGYFvE4kL/7Wo3JeLdim52JD6yu9/7a+piMmOXtcuSfB78lcQ/wHjkCvl76vYcD
t450JmcVk5jMCQ14GgrbsvjeLpvZNx5oPddhA3+NCIyBCV+EQkp9bRi13eWpO5asXMr5Lkk4XyOg
Yjz3Upds5QDqKf9YL61DSSUGCk2ELPyufSV5nQCULCz33GY5gqpDNl2Wy8yylB8QC3myEtyBPaa0
HyzUag+hI9PHVarxrikYXUiURhvM+Hypk64GrD61/qEMi6qJpVOv6QGjIoviYFCcNE6L0+NsK+sZ
8Gvvr5oNpFn3zSERbj7sy8RCF7dnBKHSnd9CMzE3AObayoxVFcwXGyZYJWKOfuPodKIm5EKnDapv
6TlBVSliXQujmF86XTgQxUaSKaOWHoqxkJsn43xRzeiEsNaKvA2ZuqAR3WkWdmk02OyeU2wGmUyo
jxZjx20swNC7HZgaXsxh9PvbzjTGbJOyuPXrg9lNIiHmBnHYpnG68frBIalxZYDIKmyWhCeo0iMK
8tT3w6DNC9HgsrfxeXXdOK2EoUwWXrlPKY2Mtb7OebFU7dd+avoS6QkEvSJ5+N8D75888EIANn91
4E3/dngrNfO3lqHPrxKV49f/+PcfmAP+j7eu/49/N3zzFw8hxQ9X51U38ltWm/WLi8LDQttxBQwB
g/rHEej+AqQDkNKVyv1Db/L3I9CxfgGAyx/HLCpo4U37XzkCf55xoSrhH7rCcThSAyymf5wGoB6b
0QHw8YPryf59pVS1vPTj716U/0JLwlP8/SlL8hcPAmwCRQnP80/Qn74eDQ0OhsRDhed99rsVbuDo
x6xK++1fPxRXw58eyuFl8V3H9E33Z9RPTaJPI1N7PcxjDlewyOmYLLSJBHUh64ZBcijRPBMT7zqk
DSOJ+OuH/9PLiWIObhMKICEQCf18n+DhCdzJs1iZVNOTVfovAXudv36I65X0uyuLQCcewmW6BGYI
Zrj3EzCmbY1lMBPRHFwxPc2u/ZHus44HcGPMEZpvf/1gEHn+/HBAaWBggQq5oo2u46TfjYuIdGBp
RM9zQJtAGKoqBTkOoVGelJuUpwJnnPMj78FJm57sBxtNMFyVEORkqa75EB0C8si3UgGCgrSaI5YB
siTGegxRbP7ImOgYb1SR1QgAhCUpFC3u+iNyVvuLJad9OnY9m8kryrftTesjAlSQCEs4lBtsPPYl
awb6kEzZG8D188eFScktDeaURrblt1SxTVg+eaxrXgj/rqOwRGWQpLV75/bED3suw6/RQfIPnzNF
20AwbFoCurxGVUDFcZvdOKzrkc3TGX3suLPL8rvjF4917rwzWHnoW/YBkxOUJ23On1PW8TyE9LYU
o5hMsThvlF6bvWquCUKV2LidnL7RbTfH/2TvvJYjN9Is/Cr7AlAg4XFbKM+iZ9P0DYJqg4T3mQCe
fj+wRxNSz6w0ir2dmzEhkWUIJH5zznd8UkwbkhKZSDDdcKxy3OlaezcTZhi2uF585pn27BsiPmcy
hdLe+6sbS0GtMELCi/p0O4ssQ0rUJk+Dhy11DPLIDFUCtDNh3aFjRRJ3Ee8yMI/XTGGiUSJUjQGy
XblojvIdrc8wR4mekxBdTYanMQVO+9T6sL8kxVdkBRAlGlDAmL4bwQCnmrrO++RUvvEic9XdEljN
7wkgtjzVImdS1KXjkSoSwGjXARAB1Cav4rLtruvCdAmKb/M9KxcukbLN7tqabOJMV2Kn5tHaq7Qw
n506J99BMaEyZGqNb2Nq4kiNzFlcoM8mT6mkgaxSwi9i9ppb2XqrFChdyZNEq1ziWHb3zUKzU3b9
JcYv/cZCcHhysLscUZaKazHZ3rGsuBbQZ6b7caimQ1Xab5IWnzFjii0h8+0JUH0a3ptkfByIauuu
l8So79bQH6sf52tUQE0bhU1h7jsN6bn23ITQJq8hcWRy00MXOuMVy0uiDhfp3UF83cexDS8oHnyB
bCBBd5BL7IPuy6SSs1PGa52p75s5/8TsjGZGZQSf4KW5YjOUA0hVtNNjou/B9oqDZafmUcBsOs54
FU5u07dXc22uWI3ErW/LmecGVzTDZjC/iXlvx+383rN/Xdm/1UUlmXE1JJ5FMkaI1LcwSOXKSiAX
bJL9bWu2vFqS20hvQwQ6GJeAk8WNhBtlBPFbkA9VFAdJeEjiWF9NjDsiCL80a6jaDr0yY+790tgQ
cokuIh6nqHQJd7e9Qp9Rk4jLFNrBPs68kLTmOqNPJN3e8+W7HdsvoVhw3g6D+ZBOs3m0lP0Zu/nF
CIrkMa9NZyN8vmmcE+fBqVm6x3lHmDve0JgkcbTykHW9Jbs2+hYLRBsXWyguX4Hd4s0GsThvgjhR
p9hIGAwZ5j2Okf0w1ckxM1Cm1GGjDwt5P2z3vfYTwBC/3PS9NrYNUV77kY3+e6+A1tay8Xb9tCef
zH5y3SaMKpEjRKt81d+NRmO/c24Hp7TUNg4jyb5SMXSWEqn4xnWa5SYu8gGBUNzMn2oRFBcOpIWN
VkhdbLlvXa1xZYeBsdF00xFAUcTjprzQxB8kDwCc4AwqN0kCIKgoRXXTl8GpUNanvESWZMUCTwAb
XEKomHwwad7GuRFcJ3H+LZ5CstXafuePlvM+mk5DP2Cr28ZBkE0qGfceR4J3m87ZdIGYV5wInuuO
dpDm21ov+rWegJRQDa0AVbb+c1R43EC4TqZ16msULwJGGg354tyDDfLYxbJjEEWZ9ZvaLeyDX8hh
57Ei5z7xpq80DMZt3la09H0V5Szwn11yp45ziMAjartipUxMDh0Bp0cRwH8bF9+5FHaqW1xOi7ot
+8A4Ip/1UMX7X3xhJ8NGkaa1bWM3QzIf+E9FP4kDkJly11nOjAFohuqUOxgMvFAeESQSrzKN7tEd
XPfWSwUZNUaSfA7cHXEr86GYJV+/ktMnwcm1Rfgb7PmSiicb/HPkmgL9kjHk1qPTejsPatPLgMT0
86RIRvM6b3npK3sLOx4UQtZ03c0omgHXXMaVB8rh6AA2JlSdi4yH5/cq7y1Gol2+R7zXn8hg0ieV
2ZwZP6KSkNOvwUnWGqL08aj/78rvryTjcC//ssg/f+v6b/MfK/yPH/utwrd/Ia7CI2fTYa/2AVv5
Z5XvUuVzoPkWBekfdOOkLtNDksZN8At5LAxG/lnk2wEJz2vmKv8EJbr59+YcdAY/VXFY5cDJEbZB
7LMPevOnotFqQfjbuB+OoSJNHd61PexYZHf5FfEI7hXbh1Y9Jm6PUNpM5XhSaTXcy8ZQ5SHH9ZDj
41EYdxHAoNKJR8KSRgTPVjMlTBxIwLpHxGViw6nAVIeMRJfJ0MQCCtQduI7jp8mq3Fdu+/dCUHDw
q54U9+fjkNfLfd+FT3WT4FCqaAg2tVfE/cor72nBs+V6ZChT4ZsL2DPh39sMzWC+hjDSQdgbqfVQ
VTo/9x2Lm5osyx96B+0xUMUvPt2QGYXZxRDiIV4sA76HEX7vrQ7bZFPbCDVUiZQNdD27JTSBKMIV
xulF9yEJlH2GJYMv6gNL2vnyV/7+KTiunp/WQnUnFwVPcKBeD+soK8fTgicqAhHDD/au7i3M16vD
yCvDMnxR2dImUVUE5qtfom33GhVGrhWirTWB1gy6Z/lokPu1CATsG2zj875Ph5BMgNoeNxKyNbbS
NGXAr3sanC4LqIGJnDTextFGqTZA1N94oy0uXdCH5kG7onie8wLjmkpG8dqRjpxu8glZHU8NOd0G
TWF8X6QOo8lu43MuJ/nV4LC8aXAEHz7eX7++K67sDiwB/3mysFRVm4pNUeR7iIj3ZjdWh3GcFc7j
ZqF+5EvuA6R/xHWsavchtXhsCVhom3HIc30B/iUlKH6RL0evRxC5ly7JBwd7WcuNjKERuJQ6Py9O
fVKdw1MSCglHZZpYrw36e28vmjnAOJw79JNDybWAc/2cjX2/5dXxbPe9m+4cHxgPG63iuSMS45HA
lvm1bWR/CbBsP2UwPvfYGTtvSyFqnyvw/Fdx68iXbF6pWgRyXNGypuQGZrjR8oHqXeHNj7LFNXbu
YvXVAfEwqmu3Ze0H/sVbKRTL21Lp+RA4fXgoCsv+rj1wGAihy7IG6g7ueZtYWZrvw8wc5E1e1Pyu
kOTjvVdjl7bYRSJZghTf1T4JdEneP8RlOF+ni84jm0fIdhnM+Lr0yKghqUYHBzGEYt8V0n4mFik/
lAHYtk3OUqBAxJWWwSEXZv841M6rOxQYW13zhXnYTPadatfdGY5vwPeg8cskXoaoR5yyT4MF0orP
jh/1DnKomFEstvCgwzFZ1He9t5CiaNhYIOYZDXXqiPOYVKz2MdXvSixRq59+2Fnkq53RmuYFi0tt
R7pw7U9skGkSyxlZHUku/UZPzDcdaOJRZYE/hsIX5/tqUISR1AMeaJNExWjUvYGL3O6vR5SGt1Ng
51eVod07NmmQEqRCImv6vYm6i6CNbBMYISUCELlxqyfTf1WLkV7HQiRf5i7LGOIQhDLzp1+a1fgB
NlJjhK7hEMwZRMDI5GfeF/JrqIUygsOOSV22jy2WsWynlZC7USoYP0ZeLZ9Q75qksLbyRtEkQGtu
arI93PlgtT55mSiha8hASWNisiDgpdmoYsA2CRAfa3+FTk5zUIjNWGhzqzxvvtIxk1JJQsNLyOe3
4c0xFzw1Ze33W29JuvOI7JP+11tJdZpKfFOu+LyN2Y4Yc6Rfg3esmi7qCks+edhnFrps9otWV2ZX
asjymfiXNdg0s4A+2F7TR+TLTgdpJlWk55KIM7Ml53O2TjW9wE1N/PITmjkO/9GSyz7UU4aHuiqG
Bm3a0jGgZXfvs9ykPuQwtzzFqdR7Y/z2cbK0+RB/D6cyPxc1dyjxPALKw3oXNQRCP04LZ1Sny2Dr
GSbHKkHV6M4xASGdrb3qMCUcz6QaWg63g7YehLu+EBvTaYtilHdSqHy51ibZLKyzjLC64Wk/32D9
rudtXS8kwIxYp7pAuD9Q5/8tl/6qXGItS/Xwf89EbxEX/6FQ+vED/yiUAvMXV6waKKohd1VHMU/6
xzg0cH4JWPYIZpv2b9uh3+RR4pfQJ7gO8BzbGuaI7HF+2wgFv9hr2jhiRGwyvkA59dMG6E83Qj+P
KkkjFGueFo0Cz+1/UUfFmkRmWbnuCfFQE2+tbMkxFJHo4DqOitidc2NSlWBzwn2GUSomnwAnOwm5
0ye3Cpo3x8v6FyQS/UsycQL87pv8N4PUn5WXvDvL5OPzBi1oth9Cwt8N40IOYeieoXPKlFO/u1ji
7li9Vis0i0d7yybgEDYmbtimppL689eG2fxTEYkElhISPp1nMsV17J9mxawbwGmMaXuKk/i1bGM8
83pMw+s1oNLbeo3rX5gkVuDvZs+/mpwQ+l3WpZ+npVq++iM0jG2zzPY5Kdig5SRFgRkiFXrXtbV3
78ugmSMcOu4p1uVwEY1Nwp/ZQHGBQMIiqqSRdFRf3kprJksWr4qISOtuZ2ox39+O41LS3Y/SoDEc
vAmGuWe90THTrfcZduE+qK/83ll2XU2oJSdwta9np8KLMNgBQWItdvcIVm0W2aljvhj02TskKE8j
ZocicpYWnKjvNRWgiynZGUCAFGeUrY6zUcZRbiz2JsMGMG8WXyuQfzHgsEZiaiutaX6tMEW4G4NZ
7YWUtnjrdfPwEmCpZ1JmcvpvGBOspiYYTkeeb/Me4ot3mEIKGhJidc9O3mofwtHI7s0e5MI2Y5sE
gcH0YPj6Zgf7bAp3erS7dK/sKWBFz630ANc44VHbtl7BlEQOT2Ks5a4afD2eVu8ehmqrGh4mHu8y
ErZGj5N6wtyXJK0FmyoeclTRrtcIyulkWUkXnQlAIkktcoRBkW2yboF70oAOOLoAC/GGoOHfaNd9
9bM52OHVqO7yqpv2fdIiDxpZlGIfB9WIXH0Se0aLHYk5PMvnwjIOixUkX1tpqT0U1n04KLXlTg1h
yfjlw2LNivK/HrMzuefZNnAH/136Q3MEQrfswqIZiJzo6mUPdiLBMJ5ZGJlY3E1DpGAKH6iQBZqS
AA9EIOJnG+jYMdBy1eT7rvzmaFPdCng87gaTVvmNRmolayxAiJnewgxkbNcCdVKLS3qmD0lry733
KBMjs28ADEBFon5lc/cIoCqdmk3rEx8fxQzfkiibYkbLQTPkX6tMxmmwGbrsYJm1/prnqlzxYBIl
xAa0rzKvkf116Tvz0ALsVKUc67bvcfgu47ImF9iZevUmdPyXGS3JO8RB3CdxOE4ddwVZ6V8IVM0K
6CBDyzCM4i/dDXAijF3N7PdazaKao970B7EblbGkj7ONAPlIRYi314grRjt11ZUJFGWZNCuGDJE3
Y8PVhTO7VcfAODePNDOSR8FQXTpJzhZDQ7t+72vQzgK1P5f6ZNanmaCYB3SM62GIe5NNdlrdZsuI
u2qENY5oL+TVuvWzzZJ+sIsXoXctfWi/gc7TvwyplzmoMRXvfkpYU7U1vRLU3+YNEXz9ppWF/zd0
Fbw/qbmRd5SBk7EBbTz+aoKTMOExdS62zFjjGW6spn7v+iIk7tgoqGbWozzkk6MFRei5G7KPFskY
1M2UWstz0RNSV0e5tmGAHqYYIMSy5Ukg5nd3HAk6PAcAX/ivPCHSg+sIP6/DHFEsWr1WCTSnnibV
rd7HeSi5dLBskuS7eDdtL3jHbEFqY69RgmVrQlAD5tgqbudKkiUJ8gKMTi+y6X6k97l1SPPqiFMP
itvOLVCZVYlXu2SMKwXC3qdPYiQoywuJaD56Xt4B127ZOKeKzaSCMtmBsFhsNx63hFH6n3FggXTh
y8nDqEgAGrHy8GZzM8o56Day9fVbjUyMXLOZoRd9UL2JidDEuYIwPdd9/Wsvhk+00N5JhWHmrq2I
vh9JbS62BhgxdQhkgKNZBClOVqsO6SncLN4Lmopraat4zXefq4sETvRk5eNE9Jwc3S+uqnCAKiAJ
+1ojcbVqg8Q64U4Xp0BVEEslISMsK9CoDYrT1AaNywKiE1eEyeNnZSXub7iAqFp5zsBmt0PCrkM4
SjjUS99CsNQzCx5rC1rIPPjVfKi0PXP6KS/r2CkhAoM86OynmAO/L+3+5b9ztv9smS7Wbez/XTje
fNP/c/1tSr/8sXyEE8yP/aYgMm0EQJQgdriGWPxBQWSioccSwriMeZpPlfLPbbrt80MMxcKALehP
gzZmcBbm5wCXBx0ZMRx/p3x0f9r/mmRZr9tn13GRJpFs+9OcrUV6veikyi4dXI/53UH6S+aF4w/O
zsRGS5dsaxZG8zElFaw0TrUlQXWtOezVkbgA84Dhav7a4VwDxWI2bjRlPG+uJuLpvzEN97cp2Trd
0h4r1jeokTd5oWfnEYPQEozkE42ACvuvBQ53WsIZDK7L9GrJJICs1Bj8e1WPCi5z4w1AWx/tCrZv
5Gk1UErYukgpXoiXBLoOOqgqz2lg6GgKfFY5CnEtAYLJ4uaTvHiqapvgUVr+spJwTYK1mKYDq2Ht
i6+x7J96anyxCyAzFOZL2vrDMh54tAVWyaOnBCJN2nUOzsZsv0ij7/Z+28x3rlVUhHrOOuNHvdlY
PjcVZrzr/96A/9EN6CBz+7Mb8DYv3mVd/lHA9+OH/nH7hc4vGEp4YJNaj2yEfKx/dm+kvHCTeZ6P
ouXjPuIf/cZHWW+/1eHEPbnKX37r3GxUMWtuHTI/Zt20fX/r1nNXJcLvhBGCTCEflnVIA2kJjFs/
tSedyoNq8kR7dgZj2trAGgdGQ2zsh+DepRCvT26ITG1DrOXCbdFB/v8kBxfyNj0nroSJJ/AC/akM
0/hgwAPpnpCFF1csOtPsbsDz95nRif/mLl51liIBcq0zaxuuoRwtdoTyzJqUvQ3p6dtBZdUla1oD
OZ9saoqusSFIYBaAqZidJou0IMkq3YVvKp1BUGKnIaF2aGcPsPY0BnczsHcW+am88Ajk+LC556oo
TPD/v6vBkK9jV/QliIAayVuDpN+7DK4ph2RvFKVJzgB5cnLaAOAObH2D6Zso7T0LtKW5YRDDx5WE
tvpMcmbCAY4sme1u2gHOM5F2VJxvuBvQNYeWi4UA78ZNYAF00Zu44PvESjqXowYhS6I9pk9FPG4k
SLswv2hd9DhDc0m4FGZUVAccCVVWw98sR2CEMxPqymaEHFjQpiY81axEZbDg4d/ib3aWKPdUAk6R
oZkl/ZzBP3CJ7OsSz3Pv5tGAA9tlno3+AlWJo5KDlU9xd8NI3TiZ0CrvSHaJN9h3wa4g7ICmK6uT
NAx1SJAsPuYGHezG7iFPK1Hpe1GAG/bCZn7Ht4IiohiLaM5nySy5R/sRlPkFyb19qHunBMQ4jIe8
UjAI2qr2NoUqxlOgpgiwC7qGsqq3tieTW6b6AGZlMW09J8m3zkDDkHlJfYQmHN93pS5f4srAC50T
SbtZDNXcFpn3CaRZco/gpr8DXubfI6FXb+gjJ/gTiEC6Rk73XA/1flZ1Smk6xXeFVc+o7huDCJsR
gnLsW/EWjJh/E4Z5/CybyT5O0jNujQlU9qbvoKgov7MvsRcXB5I802UrsNzMz83KX/TjwvvUeqJ6
xNADshikVzJFUGDsKUrLzp+iekYMU3WW521CUJLgVKvhpOmQD7rIk2ebpcpVuOBX2IjG1U9wrdCa
Bg28+O2Yd8V3oR06UeSY7rRJ6qoiWaVeNjNPdJBAi3/qtPuUIUHos9GxMZNM/kXA4cEqni4F0J5u
VLdjklhXYprqo+PQgQ4ZqF8mqH13T8tcPXdQvQ4KVt2v2pIvou1UNBRBcOYvXe6Y7jvR3DfB9TIX
033s9fIMD7B7ShjPv472UoKd1JP1Jas788pYKmrptrX9sy6mcO9kzTd0S/FRuAxJcc4wgwV99hjm
wfgKuKR4melwXmw9pKubLshfWh75OMG4wzxj6A6mjww+9PWwTxscXjXGI3ZWxQGHznxbhZV71hNU
P0ymOSY0fta4FewLQLTyDKcPN9O7isgcZBgNzV6NRIOrGPaSdIOp2KSD0W/BMs+7Wo9NpGMm/Hwv
A36OYoVCm1Hj9poNX1htmWRZzw4ZLLeD0X1Kl+4xawz/6+TiDmSzr8x842oyJRAyL9kTgl7nqjTn
+GIOtDmMuOKtnyan0On961l3LbfG2D8uWGK2bmfWX7zRBBGol/rOjsPl11bjSt8IJLaoo3SD+ylx
PhEUDG2tZba7ApJA1i1hcu1YYnwbAMtVuE5wVpdQO3MhSGuZmH0T4Pvek/b1rYAnHfWqvVgjnH7X
09NWqhE/Ca310TZ8C/ya1vPlIxfSgYNHuzBYBnecIxHUtpOx72hvJCC4oL7Ps36lPw8i3BXjJG5U
n5IFRHqDCeiy1MTEWnKYHmrtECyTJ9p+VAOBUSQ0EZo1piMhSB8ppYiP5gfHiAPcTsSks28lrtxb
I+vnQXDOYaaZ7hICM4DwBRKJhwbM4AMReSK/qb/xk5DxUTLaeks4HaqAPkUiVNJibhrMxxdDWPUN
dDP2RxB6osGcvsAlrh6E9lYBdtxH/FIWshnCAchd4WFoneliDOtSDLHyF6fu3O+14XxNm9a6CLQq
+GZapmZFmO3aDjsdzP78Gv9TcB3aeX7BFkIvli1fpIluszXpoZxp+lSb3SNwOzMKRCdhRdDCpyz4
9imz3YMJneS+FV29MzwLT47DCvGYGGCbc5VAPUzjbVd1gprQdQ5Z4pp77vcv2VIFD62FblrSqT0l
PqsSIbvmrLMc2UYXu8U1rCZas75S1zU5z0eD4HaIXiUwGweD4D1XbrmtzFDfpWDGvrZTD+/QIq2K
sscJnhMvds68QwRceLGi2m0Y1xS5W96VsQFC2Zrrk6gGGDKMcrdALNOL0eGF8qqqPgzjNG4hNg5v
+JLktghq0AV+/nnoxa9ZCzh74fF4AdefjBuv1/LOCdoSX2ANS6GUVoQcv/8ubJXvRjGPjxkGqh1S
QUKrEkaPTgAZ3u6M+BFCQ3/D9HU46NBueReY7hBr2QLQU4jFBZUggPtOGic9XnUp2Gu3IpPBdIrP
LZu0PSvB/CvxHWIHRoS/axB8lkHxrYMucrIZDESmnyOScvlf0AjCzYzh+IhQ1jyZWUH2WQqz0RpS
ccHfln0Js8Dl7JTGgaUvxqo+Lu6zoQBhA61tj3ehJTYkgamN3vNoA8DZ+xOVl0GA5SG3pLpKieri
PpqadjsIw9iaMztGvApqZ/t99WVwdUryQ0G8OkKacZbeUSsbpL17vTi6OVZOmW/MJrT2tXC/tGZz
P44BpUMKzRSj7IEj2sDUa7yKFF6vlKj50nyhwiiwv+VmfeM33b2/Qsf79rDoEt8xlqR1aPcQINg5
g7VL9rg/AOIj7th4aWVtMMme+6VI9rFTXNulYTyEPXyowhvDIzSpZAtX657V3x2QRLln/ZxuFvDP
kVfMaCBGsc3TvDj0A7ynYWmqrZPUATzIEQGSsqH3Gr59S+w4sMfQ8J8Gx0qPgCxrOkDxDUAGy2Ui
xTZpCc/DShuXB1kOW7iyx3ttifBLWs7tzje4/MDeHD3MKyA6MBYSwiU3yh0ZiYfNeJrKLkSCnBik
Li7BuYTOWKTuZyf2P/23l/qPeilbePQffz7MeEM/84dN2I8f+k0yJH5BQmsFqKpBRlJ90xn9ZgwI
f/FhXDiMtX/gAFC5/7YJwwC1DhhoqNYVleczG/lHP+WY/5/AJ179990UEctrxwbmA5Ez0v2fZeZM
w1plmgkiDLLKUmw0iXtrd7q5WQr9N6OWP16LgBPgiQR9M478qXNDOmSQ/Cuqk29rcbMwob5BlRg+
z3wDF6B5f5V9+fMajc9G/KQFoAEIA9Ksn6Y0KEIsvwlMXo89B15hs+ERRnIUqc6TY5+qIYbLxBJF
PAFmt55+dx38mx3ez1IsXhwtFiHqAX891mk/fdjWMHs0SYhFl45ggbIomeIUQgWXWSwke8RL+Bxb
5l995H9xDfCqfFu242F0+1eU6NDjVNeBD06wFNNdjgrzq6pKsivDNe0vMf9uvih0cIpgJnW8IkYF
niNcX79bVWamAY8ZaRdaypjFG/UHdroBQkRgG5/tWHlvf/61rpq9P16wvvthiMAzw5cL2eKPLzj3
AmdePKnjWE9tjtU6JllxWXDsbgLtEKU7j6m4CYrKOflzLh7g/FXPVdP41BxevrCQ8nv/gcQra9x0
HKUk06x6IUS50ytxNX9xFbj+v3m/IBW497FX8HhZxX+//4IqmEBJVg7j0fXhUjwZJQFHV31SmO0+
qVdUYpsIfUaXMhfMoQdXPHEPzg8G5OyjZYKWPKcM2U6wi9z3xO4pMqVXcC31sUVq7BIIVhiylGdl
WkW5A3kpbkryKEryQ9ZIZcyLNA5GlwJInq0l2DculS81AqnMIxyrq8aYpwfBJvUuTtHTsoZVtftr
oGyClhhBTortaGtlV53tTncep4S3TQOg4UdSMo0XYo/C+KHt0J0QIEYHCfmpn41kXahJIb5xlbLB
2gjs7hNcslA591M160tlSoKIwfohzUNsSQj1ehB0eIhBYykiUg3IgHdh3nZBNIEOeBszC4hsZ9qn
Hxmjk1LNW1Da6s5kzFFGYUuGRwT0L9yRduC+B51JJd+tkZilips3e63sDdCeT+4wBtt0SYn+ZAOP
mHsOpzevHug0PEcwMWHjND2MTscnRX2GWYXeChNAlcbPhAUwBRqxi79/dBAfeZhx54gnKqT5YQna
8Fm3i/vuYbh6SJM+3LW2JkgUVuwQEKFq0DL3Kp4eflyrEg/TGElkzuN1mk+MdLOaDb/j8mFZgzb9
odeKMFGjm3N5Dv04LU95a7TlsPEQjo87Kgv5IpUOn4OG83QL+oDk+hLOkLdhw+K81z1iBfZ73Pww
OC7h3IXPDTptiswq5cpADEkCGD6Hq46+j569qac7hH4kjyrP4ivl7m7eJlyWZZTUSCQxynT8kUIp
7NMIO6bZ6Gb9rNoJC/z25Ol+fP9sY12IKYGzkzlre0Tuso/aKjRvPv6dIY4ZwRFcy7mxyKPBZ71n
x6u2mg3bfmx7LmD4JeiFhpwSse+zOL4SeA4aUP56BBI/BeGDTaMNmGNgLs2AAMlldjNgFIHazkDH
mh5hy5iU0zF+ebUv4GSsuT4ryYP4FfOkxeCzgUsIMKMY7MkgO8zmmOltmxDE+dA0lcvMqkb3v6nk
OMQXawlnoI0EnqjZaFWkwWakdxr+l8ZSqmZMEUS0Hnp0X6DBILoRGqRwuTOiw7WuXL7n/qmxY7mb
UtI74iqcWU2if18RO9iuSEAI2DG7wWp4UPqIrWXCv1FPTx6UTyLCsFh5ljHfOG7uRb0vxWtPx7bF
seFtwFgKwkLk8KBli7NkQPD7eXBySDrS7hHmMd6crpRvqCONSILOywRRszHr5SboRtbxPccmikP/
XKXSu2nMKow34+LMF+ZnJX/wCUEssJEENkazDF9DHDp62xtjkm65uEPAvMNUEWKqejSCvs/iveqH
ClGu8wn+PU1n175XwicEDIuQc2y1zZEtfJuLrjMVl9Sck5goBf9nLXGnBx5zXMtWXBEV6xkxT+ml
Sw+g0Zo3ly3k8xqOlK2gZRQXrlLTA8LL+HklON80jmjeZqDqBQt3/T7VQfKcuR4HZm3lcHnN7AVF
AzcWm277FCO1OKS+TT52E5oMC8K42vIYrZ88t9zBeKu2PR8j2Qu7DFyIeYsZvix9Iz6XnWEsp0U6
Y3Cyyw4EYCQaDCN2JzpQN5Zt/wqh3/V2XYUyLmziizaa5K5DqXJKgvDJl7J9LobufS6n9fRPxTMG
jXGbQbC9wcPBOe82Ij2HdWN9Hg0ms1EhVx5uqP1Hy0O3sk2VPrn2SASUrVuS56Tw8WTXXbAP0Xzc
TqM1jfsFsF2J8mZbT0hjUEODxXBmxIvw8xxX4WCLqxvcXs6vhbD59xueWN0nV4ZW/GsY6JQM9baJ
6/1ComBBCkk+wufrc+OCU3rkqysZdSzINF9nP6iPqVMFt760TdIkh/RAk48ycbbi/o2wDWqRZnCD
i61BTOaoe540kpxul5I5yWHhFEl3g7B5xqCfBTfGNPNYKHEbbo3C67+ShBjixQcBgfx14aJBDzk9
9IkZrDkd66WERhX5razFDQvBVS31MfTPQn6Pouc9eIMML73mT0NURsg5WI4MHUGDkBCTgtRNUL/D
B9pMNsILr2jSEjFvznnfqe44S8U5qNyEnElob8EFa5gRZUHNK2c8TMoIY+x019i8vOdqfCz+zHO8
7nhhO16c9wXt6Rh9HIGswckG9skN59LXZiHvBl3R946Ndi6MedHZF+6C+Ihx39fKZvy7EXbHFYFU
xX3HVT/d9anLOV1+5CrPLbiVNQrDp2IAbuAdfrwt8RH83MqMSiI21iWG33HatwXB96wrprtBUfuW
YF52gtnrfEagDBcEvg5BkteCUDw7MrsQDQaBmfLWchXvOi0bPqtWCy9ZoSL1H5y2KUB7snEkvHNT
yGQVBOvAVL4fJZPjnce8h+/DOGh+jI3affOk4GCdOyO7gAadUKwDgyIIbxTJk2bfSMaVWXgXZ7GD
nnPRF49FbZjnBuXX96Frw4McdThteM9UOanhh8/WpLksgoKdbNSGg3iyu5bHU4K2N993qHzoy6d0
/UZbMMvkfMBAicYmIBwVE+FQPcbrXzSDjPS+jGsCfNHzZzSQExCxbS1mZ2LrbEhGKgJoEM/CmB3c
xTwqff3o2akxPipvgnwUpVomMnjAZRV6PKqacEFdFSTtnO7nnHAc8Qn9SVwnh0kPTOMRPTxAm3Z3
qemwPyFZNt0OmokK8z7rUKJy1uxApHnOnU7esJdRUWrIGW3ajJsQpNy5yJYG56VsH+qAkyVX0nid
jDA9GwMOUdVLHj1zUB5xCkK3h067L0b9YbTyGKXBlDX98MqZ+zhqoTgkAUe6TTrFXpgJIeuLKDfd
NDH8VSRSJ0MhHiqHIwZzJ6m0Gcsycu+pSAavzL8bqQMjStXxMVxqtDBDq+otazdNcFb1vera7wSS
3oaTo09c1xQGY2vehkNj3iIXRypjlpHXz+VxGt12R20cP07eOO8zHqJb9NeEtTrO7f+ydybbkRvZ
lv2VWjVHLMDQD2oC7+l09mQEY4LF6NC3ZgAM+Pq3QSlyKaRK5dM8RyllJnt32LVzz9nHQZ6+QDiv
7/lrcy7Xurzi5KtIUhZQfjBKbYLK2yVheRkKh9o9flW35twmz1RwD699I+ybZqTvYGMnJgOk7g4l
RIqtN97ZlfXA5FfvBFCiHyCd3Cv7N7d+JbDzI0v5tA0HRyNfvgPS4w/iDLyF90Tip3RbDat4ykQw
El7mBJbRDHeaJ0i6hjY5r3gaKuwtQyeA4drw+S+yKHmRVilPm8zreUUu41o0E2vgSXdzMeVEEhi7
t39/jVpvHX9YopIuR4jwbRdhASv+X9LlgFnzkBOvPbbu+9CPDRZ86zr4/v3X+cvthy9kWbQuulz7
HS5uv95+8FmqIW/w7pW1x8N48H3rqWM/VaIwW2s7ynp1eX8c/v3X/cvVf/0BV4SMx83U4ab469fl
Sl7Cp9LtUeel96YMiocrqUu9n/yU51dT1fOD56Vrv8S4Trl//9X/Qifgq+PgZdcaenwTpLp+ufPN
Mkc9sbzmSAMjFxDgruIpWJ+6cHh52qsEkh2KZ8+1ZJ288SfzcH//Fv7rW3+a2+//7/++fasIC1O4
1Wdf1S/iG96Dv3U/3H2v65Uc+FZnvzogfvvAn6qdA31DBHhnA+xEADRRAX/611drO8sagnvvFvXV
nf1TtRMf+K9WbNFP48S/VDsbrc/C2o5z3eLSuzrO/4F//bc36C9vYH+NIPoWigJeeu/PMkiJYW2p
WnNGVqiLeTus5cn0J64gxhj82I62WsvG5ECEdz8pD+wdKk1/YvTH9rt0mJM2aWnS/NdJVbrblGnG
iHhxDvhJv7bsvW6nNaeClcHcOhnbsoi+cIIslSGpo7BmCP5eKVhe2ozGO3+ZWxWxlWPv2efpclh3
WKxo5/5qXlMz2PpNRp1leY7FWpztlH6668M1aoNTpXtMijWAY76Hcaz3XM57RKd4j+s079EdFgQF
z1cdb2lOPmYUj34n7pd8ndbUj+ZjPrlzkw/4NEgFAVYmIES2kHuhT3UMO7k1Q9SsaSL0mPI8rgmj
rEnVZVxTR9aaP4pNlgFRs6aScGwX4AGSfGQTRWpJs3VBRCHJRLsiUweTPCGWNekU9PyaCZAz7RCc
MdcOC9DgazpKrDkpEfKbd9bsFDD16k6teSq1JqtoaGnu8oG0FQW36B9sYusrHC8t0yS5rGJK6Y/g
GaM2fVBdat9KzB2cJ1a9PaSJfFMT8eKWpa4HQl/STdSjRbQ6OJAcIBQmjDzhUFmzYnU/2C+6LMQe
iSU4VCQwCZUB0L+AYIAtYZtYNhrCM647ygffY4LYee/H3noAyvUodDgT/fFuhTZt5eRQmcGp6Qxr
xYtcj1KWmsPrur9/7itb344ydzch568hA7Vx34/k9XC212MaWStmas7re3c9xIlnf0Q68LZk/ost
cacZ9D2H/rwe/57hVseJicBsLEXbeJ4/UDZk3sIR97fxOkLgjSW4ih2YklX0vcFstvH72BGuE0gO
i3s/rFNJOE1frTg09s374JKuMwwvcq5c61wj1wlnKUPIfWBdQCcKZ+vV7n3Dq22DqH8GuZBGVdB5
W1SMT0sF4nNZp6h0nadoeee7XGesZGDasgbua+U6gTk+qOd2ncrcsm0vTIshDc2SfrF1eustPW7K
94lu7HjdvI95ep34WjzS0cCtd5u/D4SEMbC+rlPivM6LY5LR2HDwnGpmkgziUmd78gbT6uC3FoeJ
M/9t/gQYu06js4FQ9Ci4w0yPrvS4e0duV6TWiwWlNN+Zbp6dvd7071WQxulH7SzMcoOVl9DRw1WN
ojZ45uuP2Q0kHUEuhm6aqETlofY+tlOgJlZjuJ+gPdT5aVqtjlGJl2ciKmkuTn3oG4qQH8cscyaS
wO/++eTdTF+gAOSvRaH6pd4u0LjAn6WuZI/a0oq3HSWJii0vsyR5rawsWetLLeDz1EFUTGVTQyZP
k7ZLUvRFvY7Y00xBUpnXQbBjkFVFcpxV4LwOTT2pr34RUpqEdEAUk57zQTVX2NpRNck/FMrmP7y4
OOUM4pjHUhPB56kuBm/emJ0tIMeqHtONMCy9++9J/b/ZrQG8shjb/v1u7bEZVPp/tm9Fo345qX//
wJ9eRe+D48DcciFl/URq/35SvzO6OWpt3lkEWf9oFXbcDyFJspCsU0ikbF3K/VyviQ8sqjio2aAw
GltsNP7JQb2G5v44aaP5c+ybJmc0E8MKvP51FgxNyZ4p7owzcYLxHksxipLTu6eqXIodhQ5yazKN
P9ilh5W+IbdkjXNIs0uAilE009NceNXZlhhqrU4FxwKzihvFOZ2KQHkAsoCH3RUqeUhaG8YEla2x
s+aYnPplGoq7SdC5XEwJdgJW9XTa8vCPpQNbtlphHE4BuqVzSvGo6o5USivw5dpJdeNMo3wiQk0r
A6bm7YwL8ZtpUA0U2M+0Mf6wW9yBEALu53BWDzmAm0M3UTFJA+5QPWRkP66aNoBW4+PNpCKxKgAg
0xWel7W+nsntn6pEV7ucKNWVw5G1V3KwN2CdFw+5xTRveo9WhWhyaM0ZtQbq5evOTiNatubjehXf
ERmLMTp17rXZB0di2A+tCRvLVqF1AWd9rmNdbXONcywJFFGGFChM1wXxXrEG3PCCaXZBbSFswauN
wIxscFlRHVnTM7Igm+591/CvqhzrVtzEqKWO3+61SBhTdA0RjLmAeFhRLo+dW3fbaU5f6OoTz1Pl
eift+ONrbVGAnRLxwQ9hN/FN28/C3JUNVBWmLhBF5nmsY3t5BD5Q4JHO6PkxvhaltngMkl0zFs4u
mROmqgGrb0y3cQixQWvlpg1t9YFdS3ATJiGZ4ynAukf7BmHvQ8WcdwSBqQ/UwdKNlll0ZeqK9Jfh
K7or58yoUkVftbRHbiKZe+0XPVldCwTkzigW+qHVGFLZhTWvuDHmDPLx1qg0Ed1D0/ZLD+MpLxEg
CAs16y2TOp9R+uGmHWkvrK/8uFZe/9qI2H3ol3bC1hbKJjNyUItU8uTTPWmziqohOuWTWyyCKN17
7onmsBycpe0VToyZRNczRcDSfDTG2QvI4YV5WYUbkTABUowDuAAeIhJg45r6MmX13Hb7TsY1HJnS
tD4CKdD3E+alirB33eF2ySxu+4WR6G0Gji/eGINkOZNBinxJCxfsDXkSLFJoGJpOIyB6ODe6b+6S
dMu2wSH7UGOQgQHvux3xr6JNX2IolNWNkc/C2gDCp2h4nDzWDAbh9s3QpZg3LMrpGICt9NjUpUFd
ByvAzRQMMwmo1AdvRHf3xyIr6WZBS7A/d6lDR1BSJbcd2s6t12XBTo1tu0EsoxaFb8C80Bu0Ams6
zj5ovcdsrts7jz3zC/15IPf9zkLgxcLCzMstBpRDnsenNPBixG3fmMjMKOy2iQJbCi9DLSQSa58/
+UJdau7aao6sd4iRKdUDUMv6juRNcvCJ+KTW6N6G+Zg8xWWrz20JwyjqjGT5bcX736vrf7i6UkK6
6hT//kB8yfok+9O19fcP+nltdT9gJ+HzrHTC9dbK3fTntRUbvu+v9SMgMYKVVPOvayt3U4Is4GdI
z3iewGH/r9PQ9j7w2bBOgPkIhMDw+09OQ6wrv56GXHtDH+Ivn5LvgnfRn3WZ0QMFxtx6DIK5Bg87
NsGmN0N3s9Rzd51N1NTV8ee5Dli9gZ1Nn82B9kSEpeacpclwYzfgDMJ+tPeuH1vxroeGc5fOSXvu
vbp8auoZRydmjFMXq6eYRWuAH6B7M23qRzOKvfvkGfWpfhHrwrutJlS5URj9NzeuoUOtIpwDG/2t
NnHQb7SQ7pvd4qGOBF6EF+U1xneKeumztKnh+x6S46ZpMJPOdJM2/q6vsGYmOj9TPddCVhnj+mmy
HdoD6PEcnJtBCQojRNoYT4bjcmFeUqDp7PxIHIOCIoWWdc7WF7a+sXpNsrNIg89lUQbiLNUY8Gsh
zXa09JSQObCGDWEADm20iGYXBxMGd6sDnBbL4otTLfU5Ia8ZucHibN3eKT7ReFfvXCt2tgYJjk0Z
29ML4bj5oaK5Pjk5EnESemZ7h5PX9ElBps6JAkbjVUlaigZuSs+pCS+8yPAQAtUbO/+llRnNB76H
2LxbqLmiijmPcTbEIc3gG+hgStx2mc3W2HA966nvAmhkrUM4GEgcIfrECa5hBFhP4MbW3zK4H/Yv
tFg+hQVNvlSCTJRdZ4qtfEnBdxspckZrHltZN9K2Efp9JVsEXtgR1S5wR9S2IA3ZTRh9h+o/1UNz
toBkwCVZ/7HkWsNFv/VYFHQUWeIWSSs+xrXnAgJirVm7h5jDN66q4pfcCZAG3YGtgBqd9SaUJiwb
Eu2ybqc+Zdgw2oUv1oDMHvWI3hRqrF4AQYXbulcaswPN4Zxr5B/sEw4E963VZScPDsVbcC61XM5h
zdQQzRViKPBMVhQ5hyC1AesvBZyTk1OozpblyghmvoEJS3OyQ5fgt/tua8DsznYiiSm73ro0axKX
1j4Wz8BvPHETj1Rk7aWKzeSk2pGlR9Lk6luOyWCDhZJ/d/T6adm00x9Z5jnyMy7HUdJJapj8D1CT
+fTaW3/4YFE5OUvBzLPppxVEsHTEgB3wjCetU/4sy7qaRf/AUGC0/BDxIMw7irU8lip8Rc+nFGY/
Gp59mkr6OqLfpNd8SuKXqS/wRzDIJ/7WmQQ1iX1vOW8maZDgN3uCZyKXdoBFxqhzdX9Mstx17pN8
CHeFzWl7yuysl7vYG9jsdSJbNz92yY81V0FwnRJ5+OisGYKX9++SrtMhOZazk9Ubpjm+Wbf1eJUZ
CHs3YV+CE6BgFTeL9Cb+zrS0dsujmoqm2Dfl+idlRl1/J/lsyhs1h6sBXDbnGeKUpBt2dVYEYcKy
jhbxjIIS9BhG7g75fyp5Qvl51x+dyrTmfcbi7MeyrBvN3DPW15Ql2CEkrhFUB2J8E64qq9K4RNpC
b9aW8GmrQrEQMvGmB3Ni3ThCM3q1eaWxqWsGK+B1WhM1D52wvVbBsGlaF1CAK/AsRFIw9gxVndib
uZf+6kKOz+/bUf6YXrpdNceHPJ0ZDOivaV+VM8h4T8ZeY4YPbfDdQbVf4J9tzDFxySwr+TU3CHfi
QuZtwRpFPwaeUW18QRdAJPqp54fhF3BNotPgp6sK4F5L49Zyo0ic21s3rHHl8ysbofmSkDxORDi/
doDD0WPqJrB3kGdZGAhZEEumUOVkvztX5nXb3/s+TxAqAGAKiWq6nSzX2REXEoyMyp4i0VGpHlW9
055sykMOtP+ltPhxYtzXVls/0ApEdy9kJHLPfpGK57BZ/L0x9fN3x6/sq5jN7TEfA+tb6frLS5AM
2t/j58ivu97LvtvYsZ8G151B99TETvIy3jDrPmOy719S4UiwlIWi2T4McC5YQGiFNkrMZhhEylDX
ezOo5l0NvoeiiaTgHUCu6owI5ZONpnfFiaolpmGO5MJZQZHAhiR86zQsfXGhCNXdutO0Gly0QqHI
4sW/dpOOu1NffQdWlzo7Vg9jGem5m69qpYObcjIerIqrFboP2+RNEYzSui5pXOnuF8dOT6NJnmD0
9H4Z7ZFWxaK9TFxAAAMM8V090rQAzRBvttEOD1Zdf7KTCbu+CuWSHMYhs69btufiOWYF/gLbon8s
J+cudcfugcoSPJiJBNFG9PCx9lWKCqNVcNtBrUbRLdsdVefmp0RMGgtD8LSwr/w4cBs4NARW+oM7
1c2K4GTyPI49HIzCno66hTM8tOJOSlxnXtWmLDbpqbgGU0TGKwZXfC/TptlpfKLUCNKlBFCopxaD
HH27g8lRm1uEr+lz3OqqhEM5uPnerIahOhILhExpWE65w7De0ApoqidRF8FrJrjYcxTaqJG5M0SV
abSn0cPyspns/DNb2fZMyGy4UcL8PPVBd2nlQnOgNenWI40XA4uHX7odsTg+ziFVT7POrfvC8tQP
SBb95znEHfimlVmO9+wF4+SMSkYnU1nUGyiln8S8xPdpasXbwiuAeQeWvh4VWnTJ4D/6HikaaRu3
fa+8nRR2MkczrItSUZjR4WjZxe4s7vNMja9B5sXbpAJfG7ahi2FkIg5R1HQiRKbrtzdU8hQXM+5E
vUVgNe6hZdBE6wysYqvSh6pM2Wgrq/pzNih6K5v2OR5altVm/6I4EndpzutU5uarJZJTjmfq2phd
5xPlz1RX+8Xcb6xYWrvYSNOzTBzuhPifLoPfH4NhQrzwhUKOow0s8ptWY41IFf3zWG43IiV2vCVA
OCgOP+PGw9JCMCW9rvDuHEVpfYxzx4+S0mOBLRqHinBVbFFFy63VjrwORIvjRHshJ0UYL9sEsicq
IEf4HvHI1JEQrX1PE6l3F4TUwDS9Q/i6r9loY+BBkV70nks1QZW+cKN2SJ49s0N5IElIske3G4ol
XfAmVfVI2w81Oznjx15Qb77VoswpwzRXhoXy3C6aZZreVRpOHqro/GT2/Xiepb0CavjAkVThhSfQ
SFsCyaCtqsJ7W5n0ONVDyr8Kpz3b1dI9pG5Vjpu5ltMO1RMAWDo1cNugXtA45JnbPvZO8FFILhXJ
/ExzcIzDqBpe0iH9BNSEhmDXIleZQCt+HlvKRH2p0ZQ6aV95baWP2kwIT4TUlHoDVo+VbjJ5UVWZ
dIsF/uD1OBxSqEpepSjA1HC1WR5xOmITRWjyq/KAuyV4aXGTRSPhtsc4b/w9C/g433EcTscgB3hN
0IREaAx7VvfWQxqvfhTWSuyc5gSyhjMTGjTTeTjr3mn2kxDa3vMx+uJXhJo2Ps+bb3k3eD8C3FI7
+mPc5ZiGdEG1vt8dQzo3duU6WpFgh8k6zh15eKuCwLsivanMbXd5PUIFHILhMrWW2MZzSYZqhGyE
mVGci7wabxaclfYz51txUXVpp+OGzVB1lyvAm7Jwm4cBT5f3UBJRXSiOCPsILhtjQT05Xwp6UpJ9
SOiIN5DJLFh4VnELc+MRaKa+hg4rd/NQhHqTyyC+l4wBa9dSy5N3thPAkiMZ1MWGths74SvUx+Zh
iSeyhFWS7rtimK9d6bo31Ld3PUjZzqCgzh2u7KZUZ211sAvrTN9ZrpJP6VRddVN3boNFb7tQdKB2
G/mVzIJ5GFXXX3Hrjw99ErwwqE17X/ZboqXOfT5S9orvrijYlOmKQjTy1pO1z8KFbM7k9DQfNWXd
5FElvOVhsM32iy4qTM488ih2w0CE27Qe+IXgjLouht6ovs6jlnSozcutkWL229Er5g5UZLdP7TDX
hQ8iZnDi1RTDw+0Ua+/Qpbb/QMn4x9YudXquy86Pr+3afFNT2F40Gk2UBbwWTsWUwSJZ8hmOeZGn
/kMoHHZoWcU/9RNbtTq+a1rCwCtmD4PCBmvVR5x9DbTGPkj8u0S03R2n30lVnKDT8Q83+f9PXGC9
+P5xnxvCSfMQsgMUYArZ/hwXKBiWSKmazdGd16uTi+mQJRBiVnL6+y/0Z2fE+xdiAc2JgDKOR/BX
PTroGeY77EbHMi3dN+6pVbVD/GVWezeoyWz1IuA5ZR5deOD+pu382yqev371gEZXrPssfOmK+HNc
ALO55cPvb8CatuLJm8iY0L86M0qsNjmi+V7kKZ950JgqJvi//9EtlvZ/+iWDroFNFgp8pezv//Sz
T7mL7SruCWhbLZ99nJLBufjY25/qXHKDciyPH3505gbb7btHo68H7gB14pfHBMfK099/Q39Oa6yJ
iYA1A248x3Kwi/z6t0jCaZiRlPuj39MFO62OQzdLxdMy+/Jb2FvZ4e+/nvvntA/YEogJrmDjYWIi
d5GH/hhGKFPUVNeUzbEmOXatUu5rktP4rTBUlWLTGr5iCnCcm2QMBvvU954dw5AiQFtdcjfHPmPw
NN95Xe30t9V71MDwlvaqJ7P2Mq6xj7FoeCU5Sx0zq1erYTMx7RAVB2bIo8DF2+86XfTHbBi4W7S5
+9a446QeJQxBuV+UZU1yQym97XwGUULiMg40t/Qkxqab2QkXUKLC1lOFdel1Kmf5jedE/QMbfv1o
k1FcaUGrddwTZvtqYmDUUGnZ1K4Hpsmt2jLi+4VttQTNym3x8O48mvk/9oCXWjyTfWp5eietoHl9
F0Aqr7Nu3v8I/5U3/5O8CRyG1+O/lzefcOZ8l/L79z/6eezfPup3fTOwPnhEbHhy/baz+13bDM0P
XNJt+B04duiMXN06P6Ek3gcvsCi84X2/ArbXJ85PMInzgf2fh0YXBuvb8J9Zchz/L9omUBKWfI5p
QSei5+ZP72Yf+cVIJ7c+GWPBA+Yw+jEGEgbbaYJuXJmBxf7NF9O1EgD1K0kW3pK0zfpJ7B+7ysmi
2I2BLUAEQd3qHO9JF2ax8zKz3iaJR7HH1NtI/57+xDqGxrIZcfgtTGrrJFqTXpDQncgSJM6O3tVv
Q92q02jL5ADULtniFe8YtIt0s0AvPMyE/hCZSPPC0NBy76agxso6wMaSz80np+2Ct7qX1Wlg77M3
M28/SGIcphrNzZhnya3VY4Ks56x8Iv1Ncn2UDiIY503zKbWG7iBAzl1RokDvBLc470sc+G0a6aql
PbHqk4SZeVbPRa6Ca50v5sMw9WJbl/494drwQsV9tw0q6Py4IDHk2wUdJ/7A+JV1eCNzsz/0LJqO
U4YPvbfn+6ZtoEpgeN/TpgjeaBit29oPr5K62LqNLu4otMAZGkPVtuYp2IGmbKKBupbHHojnbuoc
c4NZwbkOqfE9DXIxjrGxWFdOkRpXpaxbCBbdskmxfa53mebSeSkWpi4w1lblaXhCz3J2CH/+dRJX
7sFprWovOtvls8rlvh2FvPiZEUfFwLGnK/11xluwkxO8h9gv5P1SYFiaZq9ksG4IV7caxECW+18G
+uHaev5sVpk8QMvMjwPyxoHddvwyBlmzZ7/jfeMSV8wXTpP8kuC4QYxpqTfVWqGKciPYZmkQHKXX
93v88Lh+zLWnEfrouhxl3CEV9IUG+ulHMs3hfjFrdPMurtCLWa7fO/Mky+s5b58JOOfPgW7mN8OD
FBTVi2tewHiP58BArm0qkz9yFnKvbpNARkDAaZhZiuAqpmvy1rZGbjGT9ZxqA/XbsJ2OO15T3Oum
o06upqBCcC6dnS4D7ElHW95vMsuo/ONggNna9xKdIgrZS5LEH/R05QFnzWsxhthxVsK40wYbYUEs
jLpGcH0fAoxSS+jSxuwMJnXAAmixDZlH4CVGaZRWlUVaLNUd9L5jiC0mSoe6u/SeeGveJ8nufaqE
LvDRy3p/lcoPkCUt4yR/G0RLZeeMpWM41eFXwjIdM2vM+Lqsg6wcRFB9pd2Y+ZaeYGA4anh2gbXc
UXeX9sOuhDvqxDLfhf1g7ZKyDq+mBh0rCmNJBU2beu1Dq40qxz09j8mxddjVPgsklUJvXRxjCvs9
XXNkdqQbSIMoAPh2lqoev/dqBNROKSwXWvgDsQmouZvUxmyN5KZDDPA/mm6AxLyT7mzd12zK4295
3ElmzyWMeMKx8HMMgGZD88gr1+VGFkIDepe4i40eV9uyqcL8CwLBbByDeoQE6TYoTBGtSnQPj+9B
sVinDFkTbUsEdsgwFsB9eaWYIBRPVsodNqq7Sd/BKnW+ca9TxQED49ge/Rmu5nakB5eFtBXH4a52
C74koX2GRHqb8fcneL3IoZSorebUZgeefau9tojXXUIoGWlo9siBp2Rh3dwS8RCNt+6DUludC4hA
JuzokfC8r/0EcFvt3dLmofeuM/GvKC951Lv8jjeeFc9P5KEFWyZD9iy++w5gSRVOB8hn3qUOne5U
ZCHve+3GWxcShdqIgarCwRLpgbqY4NBQ/3tXi/J6AfPDRcZym2udrrVJXOtgICoHOYyKNd5UI+CO
7VAPFtAbT1wFPtKXUbNE4ubO8yvxsl2fNLaxB5pmPqKb4dgTmNhQD10D5b6ubwiXUC+MDnSD93N8
hcgo5kjY4RkIFVJt10Mw0E5yUL1aZLQsQ2lGFQrV127uvnBG9TeMYKDf/ZhNAezLIBJmZz6y/oj3
hCyDZ5cs270DBIXDoS4pMPHlbaMCkgXGbF6NpAq+Ljhy7ubY2krfS048OuNjxaf6VPgIIMScgteR
dUZDUk20x9zt9Nlf/OXC3BpECVPitp3m/HOKIn9FBTRsy0TvlVE7kVYmDkhlp9BD8pEi63yOlzsv
pI6Z5oqDpGDimbuLOs1Qyg9WXy8Hui8RWXILl+AiDaJ7+DBu2ZVSZtlrEZwzm0d8KGyAoT2q/8TX
f9Sh40bCQkRJKDO4a+eEut0lLXZOHuK/4wcAyFUgr0I7Snk0Ls4n2+64zI9u2L7BwFMXrBzW93EQ
zd5Vi70r6NY6erKzP1KX3GIObZJtSw3UnhhlS0ZMlTeFOXUvA+/Dy9Cr/g45Jrwm/FIDfQc3SHdD
dsAHM94gwqEqiNI7Utn7mb1adj0DtfgYU+V8EyN680mkxyRAN0I0BFRCNZVt3kidVmqT8c6/c3Nf
H7gk9W+BX2MD9oqtrRd130tXV5FTBd6pCmV4T83Acraw5nyZgPtGiKTmrqCF6gRL/mPcw4G2avA9
IP1Ik9FIuqO6og+wFZBBqWNz54D4urhZZkLulNytOf2JrVC2xXUrhaKqLfUMjFAF7BjJVUUOob8Q
uAg5WaS5TUfKfrPgPMyiOhH0o1WB8L3IRDFJ+GwsQEgI8abuR7Wlg859E5p9j3ZS7gq+mfMk6GGf
QmkZvTn1H236NIiwkPrMkvRJenOb3f93vv9f+fnw5f2H+V6/yV9n+/eP+Gnksz/QpcEzyAoxKvjE
Nv7lXWB+/+DZAslpLVlZjQ1/nO+Jd/A/sYFfYQ8h/rrf53vhfghWSyBSwztygt7Nf+Dks7AH/iof
WGvno6D0kTT/yjkU2CT+eHs2FXg5uuxIDnei/zgaaMsc018DxNybxTJAhRk0vuuqKR78KbhIMsGf
vDHvHtvGeOzMXl4NMwUpaw8n5uvBOM2x7cWHscnTO8YO4414DFVsXmN2ZHRjHxSYKxJ5V/vubPOw
zQpGA6MuLf+0WH0gbqjeMJtnWXaCICzercY+tAXNuZegxdALsJMeWa0jSIWqwhgQ01uzX6hM95Hf
pr7vnsugVhhgfbQ46yoNtScivE6h2vmp6ch9WjqivVIObzQS+uw9uDRoLi8Yp6qc6dhvZuhiaLIM
TktjNWCEHCwXB96hs3vCH+7SEVfMmZ8/MSIY2G4tvxi7LaHq5g2BK/iWeDlzGEUrWlJHAY509DaB
XI81YHN5u1V8C/JQ6EacEZYWuRno8jrHOWvgzaR8NIMRtvi4Wxow5NugyY9Vgmil64xWwrK2FY1v
OthNNF++ziPW58BO0mMms8cE6DZ/rCG/sNlojrmYXvKGDWEO7TGyqjA5YpvEqNAhqX7MdMZIMI/Z
iXjnpXH6c0pC86NMqnoDeu3ORndOeMSEqEeJ91XpGEVxmF6X3JUbAQG70PYp0cWLHlUdzaGVXwWB
8yXJmn5nx8XwCNYVgCxNygdm+BfDZuPG7mU6EPIG5yjqA3fPh3HJXghd/GjKTJ0X2TCLFckNY50P
dFG9NpW8qsamPhYKULef2Vu9VCKSuKnPLebIfd8td2lCR00hipeW/fUW0bXZsdz+DhTJo3Bmie+m
EOKhXBcT4cDORdpsmJCiD87oWJFeGNGJZmzHERxiAuxsg1M0vY6Hsr8EahI7H3nzBM8yo0NycSOy
cdw4ZRd8AZ82HqrRzb4EaaevdD/Pu7ZzDYyrrDnrPPkOQb25dQ316KpMP9bVXB6wavLYz9rsWBew
CCmJ9CK7mZlyapeyILTUE8+FdN/3Itwnlcv+KTXCw+hN3xu3qE4oXCQCeHZEJFtY9cc6+9Jw6SXC
y7o2SdidhmYlGQPZReH9nDfuYrARMceS3kDJgl/oJ8utzagvixejjE8L1T9MSi2tocr46M7kQOxC
51dp58I5b53shw0P7vOw+FgqFU5BZnVOss5bk6JmcV2NxXD2CCEDWWAtCL90MX40UEeZUonSuVHj
ByZM9nxc5g2pcIMKO3N4mK2RxHfpFJj9TFHVa014dtMGwtvbDS7BmCu/xPs45JxpnPDKtFjIsnUS
V/VAjTVoMsVX44UFzDDGDT+UHW6BeBzvKKK2NuPIyyIJxxJ4vdbzt67lobpLfGe+AlteH4Wa5onN
MC8tGjtnz9QbSD7cCUh2qh9W19F6l1Bqs/f0MKQ/sB+GvNcmqByRY3btdEPJu3yVTNYjplgMQHtr
rMxzWofVAXRpCw/OYHcnME12xQS5JfcOPlvbt1zTl9SYCcQsexww+ixrcq6zd7iUygNRkYzd5/JJ
U0by4metvilzg4LJ4qNYMhPQQ9GQIlVXyuicm9wUxRYzUE6tUPYtlkG/zUSbvVR9juOCYovsIjDR
EnIaFnu7WJV1R/b3GXRhAXoLOfu6dcrmygqhzfr2eM2+u31w7NB4LBzpvwmC2Hi2KbzlZkBt2pCk
vI2hTIpd3NR6P5ezefFiyohVrOQ2UUrdlKymd3weSioMc0bU4F0LRtK7p3rL3sc4XXao9SlR8PEO
uGu2y2aJQcJMaQ9cWWBdsATRzILsHrj5KxYn9+iMVfi1F/LeZwiayHTRXWEH6pM35xDHTOzCwh5P
TmkFIF8tG3wGRYU/YpIxu9xQxpnoTUqCF8ZZbYJkggcC0Z5MMKg0i+dBMN9k4OduF8McL3MWUp42
D2AIai0iLTHZjr4YVi5JckhDRzOgCcAneT5ErdUfQMP0PIPVJRx4ai32PEewfnklwo44qYKB25t6
NwKJ8zAEi4gKfFa7ZgXE8bOFx07rgzF34QlIxP+wdyZbkiJp0n2V/wXIo8ywNQwbfXYPnzYcj/AI
ZlBmlKfvi0V2dUVWdmbXv65dnYr0CQNF9RORKzgtiIptXMdHN1phc2LN/Q46ADq25aRsLlQ6WOHd
E2BfyoM9cnJ43f0tOJcjMbEYmUf+mBv3C9SLOlyYxu9EJ9OAGQjIFQuHeFLNyQ4nwHzS8uZz7SAq
+miASor0tUx2w0TBrW4NdiYgKPlgK6Gy3bSC9pYVuafZwPcaiQYF1Bc9MWa8hpFLMXnKOKFihbnF
9/u+rBC/il0+x5f+3ajz/GxL1E8diyTEEvj91MvpV9wD8GBWGuCU5z9A8Pu7WS7vCBU4oS/cwEzZ
0XVU6xF5soylP/fjr6XUp0DAmLiLciMKkhU9iAQ78nInvueIGP6//QOp97vVp8WusNkwjLP1UlIL
QWVrB5/C41strdUicc/9j3awDGTJDOAtiygCMRxEOj+ze9+o5VFcCIl5z2UAnDiUkdiymNas2un4
QhE3L4zefESLhpwb41fOZo913UmLr0YFlbFc+YyDVTq7bHRVAD2v2pGmLa8M3ZjCXi1WMJrqa5dE
CuOm424mzH6bKcnzUNDk9QwPZbnLza7mgjL4AZbkDjONV7nk1x/7PHvjsc/76xW18NS4Nl+L3P5I
9czRKeYp0Ao/vh+6Yrqz+yh7czPn0XacCSUzvrGIsR9A2mCdmpNMhnYXcaGTNLG++HYOQd2muYHA
UWgtkWNwonJxXaDcgjxtsJanzki1TVwbn3Y1V/ZW8TlvDKnXt6O+9AdBouzgzrb3PuWdeBugfmYy
6m8XYWpZOFJ/dshkbxKTd0ZIDdlcsbJKtHk7UbiCRqIakW1zR4jyofF8+2FSIC4DVk2NLYYhjcC2
uuJH15oeJ+guQ8dfXCFqfCGts5dSt3lkKmpEDm3nL5hLaSbaqth8lKlabZbiil757LUDA/a1iptT
MSVYJjI8s0ETm5/AOezHCozaN0C12L8IojG4QS6aj3JiXLJJ84R05myr+ZtY+bHyQpJdmbIRi+c1
gbli71fOHdTtc0TRhQsLwKjng64tGbezM7qfUexCBTI6F2CAnb7YsrWu9SG1t6CWi9AmqRDIWi4Y
Z3EahHVv1g+tabVpoLgUN3NueLhloxrkQo9ZY7u0Xl9uGdTB5F3pvLHeZrvIhdq7jqhCye/FfMTR
9khfUblv3CJ9YTXLX3jFDa8FnXOPzK+jg8jc9CjsiR1v1DinphqZCadaF+Ub5UzFc2ykmTqPmmKu
tyTtyddWg18iqL2QeP9PzODGIClnPd/MViW3gLEpmxOAjvtl7l+EtwyfiNHjwetqsoi4NG+tOGm/
1KaNadjtsHRuTbKJebk6ZNldLc+4VWCmcHzoJpDHrLD4OiwK1Bdfmg7pW6nGMM14Hs6oIgjApAgJ
XETe4rzG+UqLHr2ZN6s3WD4PYgtTmiI9nKdWbjlMhvLkbXQnAsO1OzwWWLeZ8SSVdk24J31j/F3t
UAdo7S6XuTjCjgYEg8nZ21gWBcXYnAFji2iO7hnKEKcpWV7b0n+cSvbGXdUMX6sVsa0lbrZz+iU+
txcI94XH3Zdj+aQnxGBhPxl7zIj5VbYivFXJLLSOmyKQ2lJg52ylvZtW9DeAm7bd2gshnmwk4zJm
Og2J1UIhoZFVB3hZ8R0+n0g9eG7W1rdznJCN8Kn1apwcUwvEpfQTW5mPFXUz/GxeYLuZrkUMudtM
1mP9e0nDoMi0tB2504SWZeofqHQoZgvna0fTAUj2qt2aXcI6OnsgkuvOMQ994tgv9K+Xw3aZYuke
iPdK/SsCerQVjMziq3QcU/xBSrRZaHjxtHWMAbxETs6E1YdienxfmjwMna8/zE3PWUBvqFiyMXOO
vdIwd7Ty2HJPbofeTK/QXNMgMgb3R9nW1jdRUbCJrYKupj3qzFOX+1H6puOCC0oqga57nseN12FQ
3Tqd530nWRMfnKFkC673iRY0jMWfCXuKMHVYnUOy1vkOk+nyIdhYnydGvpuC83HtSrGv+banxWj6
e4n+/prMVvkwYdk8LTKdAqO05NaGK7YygUszjHOY1kRv2R00ObU8+agHbZvVN5bVMMbnd/zSsYsM
+3mmxrXSM+wi+ro5h4w9G20fDoV71GQ1bmsO7g9knfxdmwvjw7Zm61DmrdzQKt4QVpXexiUMvk9j
PI9tvdKJ0tLh4+2S6SsGnnEPvfrWnBP/U1SgevlNNm0vjEAahjo0etGwlRriKzwkHkga35pC7ptm
h83JDhtaouk6XZiwAvlOwikqk9AveI1Hs5a/k8GTNJK75UFLIxOqLm+SanIqD5JN39EOoikouKa5
qyOLKZbvare9uagHOSWHYc6L6zkfKqpsKrNlB64VIT3WyXcpHes6itKUhbaJD1FNsVfesfAP2HIU
1o9gaXHM47oeeelM6p5JvH8zzjFVPFXqHHIntUMDH+VGdDVBWaHfeR4FP10H1RK7JXxut8qgd6s+
Z2PXeDe51rQBs8E81IvI2mTEqd8uk25zWhX5Mk3KN012b1DWUVkYiFuACMWmluOnAJR58FKxHFVJ
oYnOwXMdovbDZq5I/SoC2RvC+HTPLcUHyZYkHPm0NmBfXsF7npMY5uTSULhVvHYZ6UhkHlGHQ19B
YJtNMwTYYGwK6IanLCXRkYPUxyglHKya4A2CtdS8CFdq0IDHo7kChl1xt3TuXhe5Gxgts9UijvM7
5g9CbAeL3oZwpH/vpuvZb2cCOalZxz+z18kjbquCZmHMzHHmie9TxREto9v2QG0KRaVag+2yJy6X
y/Zbn8z9yS2phRKgvE7MtbZJoiRJLQcykaHlJwrRRrTBJN7FafOV8xpbMVWlVB0tWXmsBjnm9Cx3
6mXsI8rjxunaNEkusJV6wsfWBG7bu+fEgUvWzAsbxzqhdm9pqIUYtHZbjcO7rzfXk65oe8+M50pj
yaN0EBKdA3kRcqH3ksyk45lrw3YT3oisEdlPS43h0V5y41yp5CrVKrwcbnfAxPjYOvoPk5V0Nyl2
R1UsqU6rjTeG9cXRHCvrs7OLdivi1qSbq3yeaYn8IWVJ2jGuPAeIPTj5AKgorcKLUz7QMUxEtY4z
2IbSi95HMeTAucaxZUChpocGaDz+asyCjJ36adrZnaXImZalzhlnhlANWPKhYsHqN9K00X8ySgNw
nbVJr/EklKEj8vZkYMSblpQSPRVHWz4q6V7nmS1vR4f5NXwj+nYNCJP6xjGgZIWjV+hdOIhE3hjQ
OY78D/4pr7wfRmw8WFnN4uGlIBulyE/K5uWqm9O3KJdI47mWxyFUI5otXChTdjGfltTNedT155ZX
EjVYdEYMxjoLlFUcKH9wsa44KxYPz3REgHFv2OyE485gSXDmFlZgVg8Hd2zeY285zdzwAfKcOOax
dh35HXudAp5C1rgnqdOVMpm5G7q5U5ykzfgPLDamG7b6YMZnI4is5qqNx3vwc5+oztzxkbJD3Or3
jQXqmsGMe6ws+gNcrU/2nF0YIC6ldjsZ1kuqWzjVI01uJ/zxQVyY1T4RMg7TutSB8XA4a+2hg70b
CyYXWONFbn/KKfLvB5phD1kEKzyp1Xse60zOemXukDzTTdabXyPiPY+TZ68WXsoIAhpDpu92546P
rH1wvR0allzRDKe2YRglCEfrkWZdF62nMWehUTtsRZ4fcF1eW33RBdFiWsPWSCd/IFKjl+4mE0l+
ogQw0IFX7fJUyY9Or+s3GztKuXaGLd9IUSPIU5WufdRO2d66otAOGS+8lroLdz7gLWxJ1HJEwnWS
JVvop6cWdmBolkp9ZZ/FoxXL8iPNdO+2JvV0vfTJ8E1LnR9xC0MDsKbWnRrG0PfLTMLZTt0Jx3cq
JnR3e7gzMD0vN+3s1YA33bLeMwUtcUj06Ck0K1CbDQjG3Tp5Om+lkVLjl8JmoYeC9LclIu1GT1sb
qgkvg0MajU8qtr+wQ7AfmyiuacdU/YHnQIVO29Fa7HvPk+ewwieV8RiLQgZdYt56ehd9lHMF+a6M
PAgZBpaCYmVvnSeDTc0VAly3afoxObOH6Odd7LR10GapM5ysivUHjx/ol30cTfM6JCqSzcQsjD1N
6eibisMN27uJ1ArJsrp9bqXVnJvG82hpqF2f7jq4NXslsyhQrAuwW0FP3EypLZ5GvoGz9ZpheRly
VB4e44ihEQNqRLxKddfmIIcrd62yQAif4O83VQoFX8p2ywvLx888xOyYFMZz3egBYbQEYIKSVeat
zB33HV6Hx6M9ZP1BegkING1u2LR6BKXI+GG9xnM5P9qD7Bk+iVw6eDpgE0pDIxsDivfTTijF2FZx
RBKZmZp6UPk40/rNgxYuzVp14HYcvGeDVzRb0FJuR1P+AC9ShUgE9xRNU+8HxeMkcwfXuxymfYyx
9X6OR+MlW+P1W5Ke4ExaW7/rmlontdaM3kNnt7xPWcvqu4ImmhcNX/bJTBrmMiXq2nWrtP4FFqy4
EeWk9ob0yM0MY2fe4yzAIovGj4kehspZ0xLjqyrS/NR33ghYxGQYCoyNp7SuWFY3pe1B2PcwtG9T
mwA7bd8Wb6wBNZekXuvH2Q0TftCgYB/N4pzpBi753plsPumSZELfxtl2zru7Je7QB5HojHDF0j6J
xY1POPrzgDC2+lHIUn+L9I6N2uIgHzLpaG8S34c3HGdp8zI4NuZwjbduXFu8zLilthx2UlImXbaX
GnRC4IDluY1m9zhOog8lIuiVJNbSsbPXxVVN7dkXSkx7ehpnMG6JNlkB+YCI5aTX7mXeyBsbO9Gh
pCcq7MZF7qeOUibSptwlWjv11x6kplemtxovsUk+CfZ3V23dTDts/+aBcabLlEZLHlQCa4jI2MjQ
vs6CmETF9dD737RRxxmilzTLJHa/1eCdXPsjjwa1pkmYNuaxTnTvjkYsELLKHk+O5i5U1UcFfUSc
OgZ2jAHz5hZ7tj9cA37OrzzH/0o9vB6OkaKXw1MfsSqTwLBIO0ZexlhRj0pmZa16phOJ9FdLG7o0
ELA1bvR9ApeYdnGqw/MObHJQ55UyNr63bBNz1rcYg8iT2zV7WbG0b2lhqYCjwnJQ7eygyerdcEc8
kTmw7pPEqGxjLB5mG9yNSnjZZDYhO+ZZY36luYAVbOQbZqzEKlSd7PTcg2UOs9bOF/5/gTfenNXt
1FfMgcf82e8MIkks1hgmwtQyly2Tkg+/wjLixwgeE2gcoLWF2EI7rXeGnluHyQIcGGfQm+nqpMkP
eNFAb1QcL7d00OCWyJoXjOHZHdFGXGHGgY1Vvx8Xa3zXZmQQg2oKCHhiJxZ2yHOjpXtJtmgze8NH
6WfN/TQ09xRRFmojarzsG4Jn7TYptFtMiQrslJEcG0JTV9aofVqaO1zXRtVuWtb/TYoMxqDHt177
yV6L70n5SDkf26J5+Y9s/X+SrS0wbn9lS/3SfyS/qNY/v+B31ZqwPHWUAt++cHTb+EW11q3fhCMM
Oj0ENQDCQpr+H1AcRBhYcP8Enrm0VwphrowYm/iSYf87cvUlSf9PgQKi9T7eWZPqzFWpBpH2q1hd
wzhlH0URsI+suDDImKRSO2qL8WGVtB/kM71WzGCJziPLdJ+6Uul+xnh3p5qqPbR0OZ2p0Z2BlGH5
LlN9fkiUsu9YZTucfzXYqcjLeU+LgbNOWTqkNEGMqLni6OKPNEB8Yafkl0wmSipYnXga17B6EWm3
folGcYIFwqQRv55eez9M6ap0OEy40+fxGLtAtKJjRM9MBvXca8ZH8lrCetQq7HEhAXLDCuNsajGm
IDiyI8nZlAl+LK95iUYYlwZWldgicvfQlhYBwalIb6KyTBjjsZCRBnfAO5VG8rT0tXngj6q3RIK1
r1NSpk/0WbJBkGWSYU20aYtgSrnYabxL6mj48HXaYNquxLCZsjcNHNyqgV+Th3EhvC+uUZ2yeExt
AB9LjvwTTpMYmzMlmmWlB9Cp5pskzkftOE81w+EcKol6JBgxLMzK4zxblRZpG+7eSPHOUQ0j6r45
wGKN9NU+g4Cezw+U36TttZw73rk5r1zDKMefSZH/GNX/zqhOOgCDyf9uVH/53vX/709hHD+/8vel
wXV/Q1l2HJ9R1LoyrMSN3w3rnoGPHSeLhV9c5xHlWf/H0iCwuvC2cD3aYkxApbhQ/tuw7v6m09Ei
gHEQ5OCh9v+dFYKKmV/9LGxFVxyltRrqkUcJofy6RMTKIoyexcmxK93hXHsV/YWVIbuzCfuZDf2K
XeD4rD+QAAFREOO2wgixBbAzHfIEcnMYRYO7a3u/faRqnQO5WfjPKY5ipD82POYl+kd2t4FktAYC
5zUb2BFTbndDNkRrLM4iPog9nyZxK7fxFfgKw/aaNGzo8eLWxjPSKjTDuPTiL3rVAaUf7TYKfCd7
her3rF8ijJho1ZcFiA12hIJM/aiJbb+GHuM1/thfkpDzGorkaMomfdEioHyYdeE6LLrcYpYZ95h0
7tNIZt02mbPp0BL4vV4mVSGWmOIF7tF4ztZoZiQ5lJKdT+6wmDoNM/31L4cY0IVG6aTwhQh5Oi4F
14QvVfkYJ8gyMD0gO3b8MydU/ezr6ZcaC99q6RyvPUshuJIw1BoAhjGhWcCEqdU/5oTg79DzzPvo
kkelGpxsaq2GdYbvaQv05MjfeO6I9XwNtDoElhkjcwnNjiyuVeN7MzR8edFsciDK5QE34xWivrHX
h+SWWQGmOUPRzbV1gf4Elj0xqqRO27rqyZ2i9iIIbTxn6TdR2R8wOfdfrE6RYpTpoofaaLTMJhXe
ibarbD4Pe7haPOPQk/ZN19jvsAaA86h/jipcof7UfqF004K6L6r3tR/5pCdkGksF7MzOFfvc3obf
F8cPnUV7KEHDurj2srK5KS55ZL8oE3cjy9q5jYfOQejTolUnGN+iNjLuQaBnoU0+4kot8nt/ST1X
anHCqEnju4Xo8Wn28QNmjhmYHoHpYo1OFzr556EiGaSb/Su5AKapIJKOySV1PV0S2PMljU1soXvH
nzn8QDvR751S2ucsbszH3LGyLf3vA7HLrnGCfiy5ZJMs22sQGO/TbA03GmfA0JjEdzpq3t1pqrsA
9aM5jmt8vEgJkvP+0Ltt2SrvDfLN8LRolD4wrSoIXEXk0JdLJl1c8umRA1EKz+U0vcMkqcWWvrlU
hp3WdPi91pA7ZnQjtF0CAGnVjYJKaOLw+RqMlw2MnmDWFQKMNO4mW39bOv9NtBTiENaCqcOxkzFJ
Kv3AckmQ7hkwYs6ISePbxPLjSH4XjAGplV8z++2a3reLcfRuMWvRlQHrAFKjYxxi1pwHvgN4G2QP
Ii3pmaPHdJwxjHabGuPOzMgVFv91d+EHeNHcxsHQyrfywhdoV9RAK7pdtsIHxhVD0K5AAnVBE6xO
7QFaAaZxkOcXgoGxYLg/DBH2LcK7KjuTpabtNe3Aw2xmyI7XnW1GoWsyBk3KSA8b2XNWcplK6dLx
Xqy2VPamX87UUWuHmAbhfe6RWEXO1XZ2pAgfCDXtKivD7QJT9XUGHLMts2Y6e6m7s4DHbWTEm5zT
L7afvM3se/i26HwOQ0vgrWVAdY4VZE3ZnLKc00k9DASFLMj5o17G19NoT1yBbFmeyGjaRxtQzPWM
8fB5iknfF+dB5PGWQhpJDWhceyE+2nKXybOj5ld88862bjvjOC/REtr8V+fCJquiF2aTbmxLm8Hd
ATODYz/Ypnukgpcct9s29yYn8SfP9rC6OzQ4JTYSGxTORZF2QIwN/CLPMbMB07NmdzozYVg7hUbg
RB6tpOOQzNjV/HZnQPlZTWI3xRKrH0NCXCMZXXeX2DFoXfw5A1yh7hsGl2bruAkKceJU+rY2xHDk
yFkENfHMq7QY3nmxYD/vi/FQLc3EU4qEsTDPmSa6VMu0/2ZUvG1C13K7K6sEIDjG+mPsOt7B1DAW
pcKlW7jysn3hauUmWdpDh1awAevsgeetOZJWNKEYbSWOQlFrHPl5cnQmaw4BYYmz008McNYWjU5y
Mhtc3aed3U0RloqHyMGb5Xaxu5+kjyiIFesH+ZRh1dIR10vJ2jvpY7H1TaM5Nr5eLpssxpIi1uiH
XgdajYsSq5mlrhMZpzepIG+TFzTxUL7ub21odSfVN9GOk+MZfbQJcQd0nzAwMN2VcgozzItXvWmy
wxys5Ngu/lfP78tjbNOI6UMgHvLpK9v8IRS6Yggw8LqhxPPotV18YC9sbhnc3Yx69NB3lUmngIHI
N4z2PZOactdSUhqr7GEQnXY/JdndzHU9RTNxoVYUN6jwy26m/5pXYxrbYuOMnbOzF5Lh1M3E1cYe
B7DFoIW+WDlml2nguj40cFyd05L1arhWHY1zIaQl+ItschH8emEqYjvWtEJdEb8WESaRL5dH5s++
9jpdULApsJdlnSmt8JkLLZb24qIg70ZuVIGyTx9tzAwZLNmFrQxkfetmzME/UQMKoAYSHpQXoQNH
UViH7A3IwebWqA0t2UrqYF5M/C0vZS3mE5B+HUh/1e0bRRNVMJbujM+dWd1JOPnE0l9UXAMirwdV
CpidJSuml2vOh0Lp3rKfy06QVAYT6o6LiLEM6alcjYb08IWu6087hZT7iW9X23ec7O865TU7MI76
zkSJrTZlxfKaNyYXKFdQk/DaxzhtI3ydVLNsWpl3bDpKkyFuyyBiKxamAxPwn2nD240BUG1J89zK
Aa2xN1rObBtDDb634c0l0Eh4t208lZCP6lzEtoWmuBPVagQFF68bB/QM6ApFkmtHhh1UOYsI3WXD
cdO/1W3N6YO6X5p0l9uNH9aevzDPMAcsCHAJcfnB6d0C/83uvaRtHjI/o5fXd1SKY4uMTJdG867l
PH1Y9GQGLpHPo9gI1bokdEkFvhS+728j9OyrMlvLfQq8Va+LmVo7TCZ7EwcWdhJSjGqFKZh8fRoB
osbmFqfaBCMz7Ri3E5u6sRT24nUHhC2gJDx6hMQtXqjvXQdsMJ0hNuMK22FArZA2815QUtT3ryze
S2hykc6QyL4yb8TI4dqi3PCJwhAo8lXy8KGzhRPtBgqnr20EPVhvGVhOUt5WTQedxMkTfHB2ci3t
Se583A20urj20aGHB2eT6dn3XdEOOfmrqthba0zL50M74QSGM0F/nfqcIy95p7Yp/QIQ0z1HFhGl
NQnmXnVgZZ1tFOuxf10K2wwM5b72QOFfVEQEyoltiyTOEgfGbItjCy0Gtikw0zdTWuMUgK4gg42J
kXeJ4V8XmVLfDS0C5NOk+gfraXpKJ416WVKoryNxVkXMsnSjndaQJNz2Amte3JfQPqrefAA/YYa2
M9FWqtw8zK3U34PCGEIbne68uON0o7p4euiQcrCRT1AtbOSjGormhyL81WyMurZ2eooPFjFZkhE3
xh4qOc5DM+obKoYTZ2eMwv00KmO+gjq33HjNIh/lxPk/YD3P8NDqGP0qUbzGuihigDCZfwI1GJ0g
C4mTkFGDlGQ3Z9HEzr259FMwCVkfKXbhByyrn8G1ZKhArbP3p1nWtiPQWVCKcpbmstpNjrT3WaFV
x1nAhpF+MT1RMGfuNNGGvWzgycdMv7OVDZKtlBAWiXHLA8jD4iIRd7TtXJvrwCBZCSP5yhpRF+xI
vhJIcG/zrF+oJMxcw6IkBBCvzJLkgi+h2huSyco0Gft6+gRTCuhErsyT0VjxJ9NKQvnPRPD/NBF0
SIv/5fk/7b7VFeXgv4wFf37V72d/z/mNBcywOfgjj3g+2ZP/Pvv7xm8Yuann85kIWO4vVGr3NwGT
A5w1/2K4ZGD+cfa3wFL7UBvwLFqMJ/7NsPp6sv+f4aAFgMN2bZL1hBMt9Ok/DgcNDMQ5Nl/nzLmG
WV9JV6itM/VbFM32QU8EDCL3PwYkf4I3+bMfyDBE+BZ1oZ6j84f9c3Qm56+Whizts2kb3hYze7pf
fMqnnMLjNufN8xOy8L9yRn4dbfz8A13L4XrhyyYw9IfqVz9zONIYrnV268T5yHx+gJll+lNnA2X8
6z+NKc4fryUfNZ+1bTvCFX8s+Gwxo8VDrlvnvKQWkqxLeyDsl+KtBeh40yPKPrt5pt+00d+26/zJ
X8mdBPmc6TNQvD8OcKaGlUNorXXuDLB4lQeqiKLBas3+xnhu/vrv1H+lp1yuKXcgbkE28Z5DPuXX
z3CuC+ZEc2qdp9rhB7lkjEZcbgJczdi7vGgrM5PJCTYBzEbVJmP3SjMADWEzuOhAsGG/+uvf6F//
fGZha2cx1AfHtdZU2D/fVHCVyZ3EkXX+WaZ54SsKWozJEfx//Swm9raJe0vnxvnDDUU5Ow1tSlln
s6NfcLDoZONsPT9cekn/+s9ar+OvD6cjVsKFbbvkMMUfIS1pLymgqgfrPEbJD5wF8BqNUvubT/PP
rh2LkA6yAiUCIsyv147iBcvtjcI6L4h458wbV+uowwlEXzCA/h1451cI/nrrOIKyZd1AjOAS/hGN
4UWmPi6abp4zI4WzAzAcLGukwce8QCY9umo/LEfxkKY+NRdJT1pqjMy/QR/9yR0MZJJlT6yPqmX8
8YaJMJFHkZNb5xkk/MnMKyZ3TeR7V1LruEMbHytsnhuIhWoZMLVeHl7goOmeFaQ9/PXH/GefAB0+
PuIdnzRW618/gbzw4UDgSz9f+mCFENPmwqi1ZPt3rdB/9qNg5tDPg65k/gv2Z5ZeW7duY55Tm8vr
X+C8WrHqP95KLf3rv+vXpZ7lm7QDkKm1tZcf9y+3ryRyVTSN1E6Iy2RwNY15TmUWtPdOK6sUF4b3
N/fyWhvxT0/M+iNxibnCZNa+fsD/QpXKF8twKGo5CY7ie7wY4EK7tkMlmTSqaTuEH/bzy3zHgQdj
XMwjVc49YFWtoj8RdkZzWFbR67KC9Bgy6W1bDPC4Ee20tAviAfqbiwRE+9ffmRc/eBUg2GtttokE
+YePHxUos2YOcKeuECXSMZGoOnW0Hb6nfMD2Wqo5pqESRzJBl0wqJ9T5ZvctaLILaJTfEV4fa29E
+c/nQi3g50zwmml6gj9kYzQaKy+eYZ2EgD5xJuCoYH00iUfZoAN9VmR8WYt6SNiKr4NqYpjHycia
t56x69mLLfPUZlxAelkzdUcElMZoQrr+M7kjjfYoP2r0g97ZfGtSii09lH6Ce7BosbFuSNuZzr6o
Gn6Gx5V2ukTdNc0aICVIiBeJaSWQm6TmDpGWLt8UO21qo6hFd04T8NBz18dlu1WtTjkvp9P+k8hM
8+ZKBIoTbTAgw5jg3mlGrwEehtWVvuvK5yNzF9PhwDZR4fTcYO19q/rc+cgJpSMOMJP+ULrffXYX
AJgzjvZHqXLjm1wi4wDRunloHaqKALDinUxjGhdYf7GUTj5ZFwYAUJk1hIGztYbMaWvUAnO2uKIR
5dDKMtJ9ZJrdZ9thR9FqQ3/q4SWTMQTd+gCfdHk2RjpupW/xOV2kWH1uu8+8jA38ayb8rKWLYHh6
8FieB4nnfoPvxjzSR8t3KTOlI1dy3YCZYNa7vOXwTK4YAqcwUWiSNjvENC9TNejio9xaiWMpZglq
cU+46duDRub/ZxG0gOj7kNcK2hU1YFRdcwjVb5qUsBkFSIKCUSxkC+0JhE4CKO2KvI6IXOck1/VS
G10w1p010nBqzAa/jGm7OX5iOh0/nZosB3dwrOKwXDz9JtFKLJ/KLnuPMg2P2mDItrxvfoI69Mrk
Xh4zHFIdmFGgXD0F3Qw2AbTrHu+inmn8mp7jvbzpsYuYgYT8cb24DBkDPS3tj7GmEdVJBp+0a9XS
fwXRpH2MzcU4LLjq3a0RO9Z7NY7Vk4e57RpHVLFlUl7rm0wjCMfRU7SntKiRnouVx90V84xGvGDI
FV3kPBXFkk4bKFNEuVzKN248wZCwtBJceGXu+wFDKUbqyFmwNxf1lPvCBsCZSAkHdSUXcE/iZ+XQ
ft/LDq9YFg0lEdW2/+FZC9gUwx1ufMfGyQ0HFi17yFmZgoW2sZBTKtaqXlPy1SnyttvBa3G+oTMT
uqBf4qru6LjeQd1zyQMPEvRoVleEyof6xkemwE2+dMl7bGrkXmhivCaCDjaxUvRpq95t9l43OW/U
3PYc5omTIdTXJ9MqyS7Nk7W8Q1TMOQsbCxy4kY/Rw4ZJF9dUvWeoUz0eYgCkwF7d/boZZYIzN52x
bdtSCxv2gBvoF+UOZkO/LkwRM1URPQxMr44V7qlj1ibdTtmD+o79cCJAn2pUytTla5qPVlAwXgAU
meabjHpqYLHth9tbPB/pom0jA8/SMLb6ruQYn+HyvLHAkLP8kyMm49xiOWbIXOAyDfJV8rA3LbPd
uF4/eTldsdP1DsBFlL2tKFHeWNjlc3Q1P9qCeWVWCg0ywIKfbJdaId2U9fAF0x02xbHqdgN6VVAl
4ltBAOfVL1ID7pE+7zoNE/9Q8Hv4UV/e81ZayMazvF85VjNtZCz4RN3YyK6wMlZ3oh/kHf3y3NSa
w47sQ0Wg7TUj45Ho1iL6sJY9gVVnjtZJljlDaGe17T/jVrAg1QuofCUWblnRjz447IGUjjcw9Anz
NCEj1teNGDeMbqC2G7ZWY5iz5rsCl1JwqSbukV48xBKbuA8hB0oQ2mL9bvpM+Xyekn/CNk0N7mrA
u9NmzlF0sbOFcxBOn0Zp8egPiQ2vYLay+WDruXyT9Mvzq7njKh8XVfFm1E3Mfi4BHqSb9do6ried
LN+ZE3ryh5KjRULa7Rl6uH0XVpk1faePuIlxqWr2i+9E5D0TvzsUjHOSTTXHKYqZniVfu7H/yKTN
8MmiJCyIoD13r9gbB+0xXSS+Ds9IGHPjPA0cDIthMk0NQABn2SlvZcT4MaZf37WmL2jK5YMTyx/G
f7F3ZsuNYkkYfhVHX48cLGK76I4Yy/taVa5lqm4ILMnoSAgkVqGn7+8g4xbyUlWGiHFMDHey5ASS
JE+ezD//DGgmhgDiZpZq6Sl+1QoGmgNXUz9baCOfSeajtRDFrZ9ZPDne+OnRkuHlDPnzLYCt+UTI
OUNBYp2bhkiiw1UBTHGQwHxICg2Ck+I0dVbKRX8ZlVfLhOSZuV6J3kE8pxf3wOQpTKm52c5XWPhX
4RHcKDR4xHH/BrL+4GZJ/8ynubCXgzhSKaPktHuQiNXvIsfML1JzQVrOcDVBA7+tiwE1epC12bqA
AX0Z4C6Yhwcy3u6fl0V+54KAvC1Sf/ZRzTLlKiaV/2NWmEw7jGHrZa2Ep/hgCd0sNBOluIqpdZ33
nMKhpzL3Ew/c9OICHkZ4mYRBS6ypwG7WT5N5TNsEk457BLOAGVVNcw9EHygPDaeh/tmkvek0Dxl7
tBAT91Ips/XHdEIbopP7xfcsSJfULJKkL85XYrUyBjDX0JBvu7QcX5srpVicOJMsobM27F1OGRP9
BRgM7W29GZz2MtOrzMAb2cV1wQp/r+bL5CpbLPITRhiUF5B8zumHcSa0StAkq59NcG4ntFurDK4m
sujRSmHlH30tJ6scTl3mU8NgF3+frVIdFEJgXK6EhhsFBeBARLPIw+JQo0/WpRAbaVepVcJ4UDpL
1T6yA6uPQ1ThIdDMzD12eksaHBZ+/4zmJeCsgQmBf2aJTwndWl8ytUy+2kHZP8pXQLWALMIIbEEZ
0Feg+KagNrUO9UVhAUx31xNA+bS2UDIp84Hby2nx6aOqD/mafQojgawYEm5X3GgKg0qUuOhBvpNS
KRL6Uj+2e3oMifAiNI7pT4UvMNKEk5xk2O69G0xW3xY0Zw8ZW2uNCjM1xbGyMLNkkASqwfi9KLDi
A9fWo/u1TP8fxpN1SdtBurg3JnTRJdM5I7rWTG0914sV6OgoYjQWlEXL8qAPxSlUXXRP9YKCRjbF
dFOa7CRF37qk5VgB2g3fSdZP7YtZRj807Cr5fyZmGdF86q+nN8wpsJQDl0ruTQhuNAWpsup9nPR0
nhpEoCodXYsiWGVfV9BL0IBUbWr+j4X6KRaKLNnW/u/QS729cZVFvfbmDOL9VjLFO/SbmdDqfx4B
kqAgDTb/JvlQCXoEz/SAglJVla/og9Afh/DV+EhjHwiUBvypTxYPpmB2fA8gqL6yT04P9DWZUpBQ
4CR/BwTVzLWQilQMci0QEatanznRutw5D71P3FHy5x/qv9ysUIXhLovrbD7ykwBU7t2WNp5JfKKs
7a3pkxPIbeDWCeKVHswXK05gT3GcNoPkHE/k18Kh43f0+qmqxNA/iSNuhsQK2RVNpwxnQF69s6Us
1UQNDMJkuHqhmpBs4IwzUUwoFmwNqssfyXTl20MwjHaqnCgLLemtaWw3ShGeA0td+vMRqFGbqWw+
RWXFsU7c2FdOWCqzsSDgFfPLLO4nzCpQWGnOgsSZujFYSaVkjncvcj+Xy/SYBI9xnlA+/TAFjQNz
BFRmIWR4oebD+xDThaXlZo96YJHrDg0MwXw5md0uHc3P44FJHc4iPotsapzCLDU4cTLtPGaz9qVc
BVQk3WUGbQRQy+IYLrlAn19YDMM7NECWX9sqI05/9CLwn0AqIY4hyRMP4N0GIAqserG+mKZ019wW
MN/0wyM995kIuxhACgBfDwwbMQSb/1te48H9yZf6qHqnP2bjuPw0Tlhnk5orS377IRJh+hn+ilSk
5e/+6HVBD97kGT+Eo9h4mrMR76Ki6HLk9dYr8Xhh1QW9KifwuPBshL/SVaiCbRyLhHgGUeg//L3n
GAxBI30Pwhj/wsH3VDi2VPSSEl6/v402X//Nq9e+owPcYmsdOPsSk06SHh8hDyRuq8Iy9qkqkOQn
b1sd/y1VDKMsTKVBQoTVKLbhrH9NCTsStuzAgW2OpIRkQq8OLGtbBw6wfuzElPnZ6tic8L2ZA6vX
7vJcmelvvRJygaZNi4rD4+PeVoWq2kwVZFGx1I2uKAy9wzeDF5fF9bEo+TbvYOAdLIeOXWjB5bHj
JMBtoyQSAxubUZT3qQosu70qQK9zmxadLRtVwHbYsAoNXRDQSeb0d2kP8vVubQ/avgVnt+HIUlHj
7lWw+FRUcBEPL8271IHJs2utAwe8AjG6Ud/pjiHY+j4VH2J7rKE6NuvTe/OUli43Ee3cgyYXTkWO
B2frIY+dhdMx9zUDRIdDC1B1/IZ7+AV9PYZkg4kIRlUwJsbJc+HYSz+ow5Cn32+FWnJxbfxQxmab
c29iEfn5L2/Evu+QvXwshmkVJm19WYdN1Xke/v3hBp+eunGu+q7qP56KcezFwwlT8GTs+XCZm73n
vwPvzpt7u2Fi/fmZkHLLAH4iOJntyJUV/3/u8M8/Gvf/q3JjsY7CpmCqv10Innlh0mTXBUqJ+bW9
5IEXiPso3pk6zPBAvEBr2YzKjL1RVEuScb5VgZHaS2aUyDAVwyxtCCfXUH9+u3UcjgOv8OJxLUle
tm3rHSi7fp32ovs9dt7Z/E40jIVJQR1Y4TFaF6OGYJVhDfiytmo/GUdMqG5KZlEgdG4r+RSNC1HL
qTaEeoWcayv4bORNGgaoEuayF2gtNwhEGImkllRdMp0wHdjfWTgS3o4XkdO+61O93bLPoqL58Ghb
ZnvRVhcXT30Te0+1A8FcWTaclbWkSskmWq7/8HZVXEYZLNC7aiYO7MA2rjwRNrwHG4oulpcrjyKE
F47qu5fqICzr4hFeeUniDamsjNO0YdNgqWRSpq2JXInhRPhec5NPMw7bmPai5VipKG1YtqaCFuhC
dsK4zYTpDA3fxJwfGRq2v/KEpHe8K7qTC4/CdMe4JVrLaX/R1+O72NuJnkDa0avcWh/X49xrrlvE
4XKT11bR1+Ni79SbL5KJaC7ryJcDBbqQfz6Ok3FZy6peTfrCOxJ+NV6JYWMZA7jQxYouNfOd8bU7
12124Lyvozid7A28GLr65moGs6za2QkOvdnuuw/croOQ5GYimhrvYy21nt6+8NzMAiKS5q5Go9m/
Ayd7E4/93Twqad721/yByX1JGeTezjYBpLjWwXV/mkSj8d5Z8mRts0yzgwd5G2UvGCITTdQOHunm
BE8NUYrvIB58dW5itWt+uzV+Hr8ws6Wl3JdIdVqK/TqO56xstUVLL6uzFHewFj9L9wGqtwP7++ax
7oQ+LBTN67b7HbyaP+Uqaanxb6/1QrWV/TK24FXJz2WaHit5T/NPdYXuuX9rJtfkL4bB2Iv/+hsA
AP//</cx:binary>
              </cx:geoCache>
            </cx:geography>
          </cx:layoutPr>
        </cx:series>
      </cx:plotAreaRegion>
    </cx:plotArea>
    <cx:legend pos="t" align="ctr" overlay="0"/>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4AF9115B-5F9B-4896-80C6-725086075D52}">
          <cx:tx>
            <cx:txData>
              <cx:f>_xlchart.v5.6</cx:f>
              <cx:v>Sum of Sales</cx:v>
            </cx:txData>
          </cx:tx>
          <cx:dataId val="0"/>
          <cx:layoutPr>
            <cx:geography cultureLanguage="en-GB" cultureRegion="IN" attribution="Powered by Bing">
              <cx:geoCache provider="{E9337A44-BEBE-4D9F-B70C-5C5E7DAFC167}">
                <cx:binary>1Htpb9XItvZfQXy+pmsejk5f6bX3lJ2BkIQcmi9WCMEu2+Wyy+Xx19+1A3STDR3U6qNX6gixyfZQ
VWt81rMW/76f/nVfPdz5F5Ot6u5f99OvL/MQmn/98kt3nz/Yu+6VNffede5TeHXv7C/u0ydz//DL
R383mjr7hSDMfrnP73x4mF7+77/hbdmDO3P3d8G4+k3/4Oerh66vQvfMtR9eenH30Zp6ZbrgzX3A
v778z12Xw4rB1S9fPNTBhPlmbh5+ffnkvpcvfjl+23crv6hgc6H/CM8y+YphTLlUUj/+yJcvKldn
Xy5HmKBXnAumEMPo8IO/rn1xZ+H5P/b0Py/e1iY8fHxxHe7CQ/f1th9t8XGDdx8/+oeug1M+fj77
qicnhDv/38sX966vw0G2GYj515dHa5vOJZ9vSNzhmG+vH+Xyy1Pt/O+/j74ASR19840Cj8X6s0vf
6S+5q8wn52tz95xw/pr+qHxFOBNCY/2onoN+nugP61cCSyIxw58V/HXtz/r7Y09/W3/PvOpIf8k/
U38XD+OL35wvv0rwR6b917THyCtNNWGUks/ao0+1J/krAVe4wOyz8sTXtT9r7+uO/rbu/vRFR5q7
+O0f6Xn/Md29qzvz3wyc7JWgWnMq0GfV6KeqU/qVpERzrunvqv0ctL8Ezq9b+tu6+/1w373pSHn/
OflHKu/mYbp7Np38NZ+j+BUTVDGFPye044ip9SsK/qilJJ8Vq5763ON2vhP1n+fjHye7H7/lSGE3
7/6RCttUzpuP/8UkR9QrDp6ExZcUpo99jbxiSlJG1I997cuG/rbS/uw9R2rbnP0j1Xb5UNfdXA13
/1WAwtArpQGfqM9R8BFAfgtQpHylqFLgbl/i6JG7fburv63AZ192pMXLfyZIeZ0b9zVg/RcACoLy
ADxPf6Odb7WnyCu4QsH35A+z3GE3f1trP3zJkbZe7/6RPndSVaZ25r+Y3sDfMGFYUfEFMh7HSv0K
MyUoV/x33PItLvm6o7+ttT990ZHmTv6Z0fLc3Ocmu/vvIkolmdRSfUlzEAmf+BoHRIk01Olfrh8V
A1939Lc196cvOtLc+T8DTz7PFHwL3J7c+ReJFKpfcQQ8CqN/RMJvtQewEh28kuovfsm+RunP9cAR
gfHn2/oxnjx6/MlJ/j+xI3/OnPxOQK3uwt36kbn6hjx5/upX1uXo0RffCuiJXX4V68nHX18SKQTI
+XdG7PCSL09+lvpVDvTQi5Ouuqs//uDBh7su/PoykhhiKiJYUKEFURqB540PXy8pzRjSWGqhJH/5
onY+5ECskVfwxCHUKiwYEgQuda5/vASvYxxhKB4xfP31hJeumjOoUo9+f1H39tKZOnS/vgR4+/JF
8/m+w/k4U/BDEQOrYrAvKglcv7+7ApoQbsf/0/qs91Zrt4tkV8fFnLtrXZJg1pnSdm0IfzfaYTiv
osbERd+8qzIenaBRXhDXV2Vil7xcNR2zb/Rg68uqR7c8RZmJm6otNo6NarX0ET3xWFYJmyO5KeZp
jFUnL5pqKGMy4ctiGv2dpvZcjNU5jcZtGpp0FTzXST9aHldDr+LBm0896s2FBTkmrWzquK9dG6NI
LfHEyRgbtJw6jS4F7mis/XjnpnGKeenXM5vL2AfzqauKcmVpNq+lUxeSTtvRyCZpsvqTLuvzEQ9X
6cTzmJl+w0h53s/LJSvmU5TBXb6I4ik3d3MT3Mq1yz0P5b4a8L2T4l07dxtXpVXibU7/k7ZsZ7wS
8Yg6vXZdusR1pC5woO/KobqTaMEblI1XyJfnBwkE26sVK6tPRVNHSZeFYkOr2a2oHcu4z2QeD+Nw
k9HxStWTSBQR2Ymv9P2YlnqLc7bLsvm07Ik7WQAvJNHYgWAQShg3e5L3JJnK6Ubk89XYsHc5LffZ
VN35trhzC7+QOfUiFqxbMzjQyICCDPMlq0BXMw2bVjdtHLFyv7A+jaeQ27gmWRETB4IiuU/jlPsQ
a4LytSl1SPpocKehMfM6iw6yzO1dj+cxRvNSxmF0c3JYq2FwQ9Qul2OHLgMZt32+nGKV2SQa0Gkj
XZQMZf6JVnAbx+a8LKdTAsrZKadFXBg4oWPz7ZKGNK6CqFZG02hVdrDQYFSxyjVbzjwv9m5ebj1r
0zjn041FfDXN9ZjUuQ+r1Jm7ehj1uiLTvXLL6UAykxS5NxdlK9+ZCX1QLX2tR4MTMeLNTMJu4b3f
tdNws7R8Z0wTwFDpLrOgowipKinDEOK+X06Fm/P1OII+NcV0ryVYwrSEELfE0rjp0G2d4XtNxxDb
yddxyKo9lsNN6/sbNlWfLCrmBAkXVr2dbmiK87g0odlUxOn1IqI8wdiY5FHuuBYXWrN3rq2LjWD8
ouFMbsLhOThnnE8STJGKd0b6eScmMMcITxcNiZr3RRrpRBb5vPJROryhAsyumrI0mVvGk1mHYdfK
edi3jg8nnRXqZBqi6HWZz9W6XRr7uo6aeYPyatjbvO0SElUUmhHd+3nw4gyrssnAapxp2cqXeVOs
tG3pSpbLeJdK56M4a0gltgVr69uyTm/tFIl+tbBOm9gSk0x5esHq8r2n85CUU7WecjEnCzWrJsx+
3bIpxysvhChiM/lsr1woYiHbiyrKL2vH3HqM2K2LcJZ0Pefroed3Uz37+7omPXhlka8r0cZKzkXc
LFpsrLH9iswuvcSBhzirwfyXgtw77Jq4a20T5wNKxETwhkoHepvBBfoFzLBNMVpNhKnXDMl+OxEw
urmU72QkLnrSjifp4D9Foz9lotx/k3S+xPVv4zjkj6MoronUCtosREgu8eH6N1HcFIL1xVi6HRui
MqZ9G5JUTReGt+dLikX8/GqQeb5bTUNCo5xBV0eJQ075ZjXNxr4Ws6x3Gbj6qsblnlQ0jwWFgP78
SoBYj1eiUGlIWAwBo/aYvb5ZaZRyokXauB0J5Z1OIRoewnGBxzmhXdy5E/gX2jy/JtQ336+pIPNT
wNGHz6eny2itc9Wl9W4OPF/zbrhxEzh2RNlujHiVHM5bVcup7yC6Pb80Bbr++7W14EhKzLFkB3l8
c96mzMalmFW966ynq8JZdTmnIj+Ei9PCFeUO6el+7KZhU47DsC+GDvxW1zT2+XyfixTMdTntswGy
LuU7rW2UFL1fEzWejgLCtxKkSUoGtuqK81r4jeXD1WSzW8RzuxITu+hVFSWTc3rLuWt+y6C3lzAF
4eH5k/7AhCg0BMmBk0OckCMTIpXR1hFW73LSbZhDl0gvl3bx7U8kyn8kUYbpAVopBqZ0JFE9YjXB
RbBVXbGTbpouZ2zYGlUQhGuhi1WnyvOQYfumGuZLGZB9k2eQQ9mSfWoHiMsHqFKUACAwmU6zqEtj
PfY3kRYX1A/bXEG4542xSZblYttOZHqXcTJvbUaa9WRmc9oj313V5XQ7eUj7PTFsH4yy61EEd8pq
8yk1XMR1WYEWJ+W2U1R8St1yq7J+s4QOkndDd/nMd3lemySzSxrTZjotZVQlpF8u5dzSmBB4t1bR
e8/LOZEYMNbzCvtBhAGOBmg2jJQkXB0pbJGRa1lE690y4kc4MUFk4w0RcTTS3fNrAcL+zgs4gjyl
lJSak8P1b7zAk9nIis31jpfDFevM3rqfBcxHT3qKe7UUQHSww9+aqKM1TN6WoUKo3jk9NJvOTCRh
6XJ/iPRmofM2+HRfErbTEbkYU52vZV3toyn9T1cUH5QY6pjYwceqKuhuKCCJ5xqiUzPbc4yzT4sY
6VqmptxVVCxxwekY92jpzioj1oNq3qoAX4tOZSdsNnNSccAt0GYPSavbZkM8yWOqW7LtpybEiJhP
vAYTbE15PkzlvuTZnChRAEDFI6Bf3CR1nZtkQOHK1SRfM7qc/kQnP/BY0IWGRj7EYcY4eaqUmjRh
crOtd7iCQmHIrUlgBgAQfFTCmXOQgAG4tapmdWG5aJK08yhesH0dCrDltKzXkaj7zZguYxwEdqs+
R+/GoqErheQSl4O4SHspkj7lF7kmxYp7iESNG91KFvMtIuP90qHYSHM9UUCHuoUD+2jaljm6nQGI
xU2aN1tajVvdjFcZF31ceLBP1kDg68Qwxjpixcqmld4Svtzqxg/nzwvpB07yhXvBVEP1diSjMWtl
Fcah3o2qXgHEmWI5wnYY6uO0yX6iEYyhNX/sJwqyMIQ1jIn6zidbRmdKWF/vPOnqNRadW6m02KeQ
qTQG/SwOTHKZoUAaCISpogAEmFXnogQA2LtUxK7WTWLs0K61WGxsqi7E9aw+dCU+iwb1utK2S3IN
aH+qHV3Rpru3xXI1VfOplYdkDGaW0fIuHQ8odSRJsaDztq9XxeRIAnB1PYRCbQKo9LG8XNhEV4bD
jdqXexEFeKIZh02T9iGulpCfTGq6fCyC0npyqzGUbl/3440JUEiqMuuTpYVSjy/jjQ8ZimemY02H
G1LiyzYye0oBrWHZr0xdzqvDPyIL36TDwSCbfthg5rv1wY26iV84Od6I7FBA8DICf2qipGoBLaG0
OJ/aUq1kA3f7iL9rCw4uFtL2TPPp3oewGnsQcFGZc0OhZtETQHFWsXdFPlyNlImEOr4baruPhmK/
2LaNfQYOHEK1h6J4a1PILCYbwDDBO8QYzivM3+fdWO9LzC+GblhR4ufkUBhNizfbsfXuVAGyrwJ7
R7z5WT4WP3BvwDrQbYZhAbAodJQnq5kWLWHc7jo539fdcNUhyHsDlFkpB7c+4K/HUtsFjTdBA9J7
9Pk6D5t57Ma4LeCx1tJVGepirUu9UoOnclWFrE0IUfVaT/28q3AXQYFW2jbOmFm3dZXdt1Glzxuv
89WSQV4MS67PaojlySLpBYkgxhRhvh0owC3kaZMIZPpkykIZVwqQdQaFIeTDnDpQSAYwWxb9TRgg
gnoSrryCklT31fnQ91eM92brKjGtjS/pqh2XU5uPN0Vq1criaIm5m+9FtzQb34QrCdXBrjTiYoAk
AkVmf0PFdHlA80F+za9fOK3Lz6nnMzVz75rZmyz/MtH1+6//e+Ms/HmcIPrjy8NA2B+/AbX6eZLs
2bu2D+5AT3XHNx128/u7YDNfdndgtZ788h3F9pVSOiLRPg+m/cnFJwzbEz7xCVHGIPP+Ob92REt+
Ju0embnDc1/oNSFeaUmpgCE0INgwkGVf6TUYXHrFIb8jpSmHMacD/PvCrwEnB/WLBEKVqAOL9pVc
wwpGagCXAksOQ08aJp/+EsH2FH8eVoTaRQtMoZDQVJFjv8KFr/FY8geF09DrNWlYA8ANNYNZbjnv
m/KORZ53mxoopJmtAgECakoil6IPWe0Z8AeOANba65zP/arUUd3uRm2r7rzitonm2JUTbz7wMkDQ
XUVCACJJMikZfpCQsPurCsr/6k4p3qT31NJWXGTCtA2NLTYdbIU13NvXOUZhrFdZxX3ZxG7k1p5h
gJaw5cxaPJ8Ca1EXn6JucPDMNyr9YvrfVq8wIvhNHmNCIxhh0jAkeOjzgriOsJiEXNXnIlcP6ejq
ot0FC6F0V7Gh83K3AB1mxmQxDQzHVSg1JN08v/xjWv4DC8L6UkIHEqaoFAVNwWaeQpuloKoTSJiP
BS5paZLgKId6VmsSAYnppzEDssjnIWNA8rBoaerLEXIvQHPMDkhvH0Red2XsXEs9vtBctXDt+U0+
hRbQHYWZEuCCNT2Mch3M8ukegXiMgGyj0UcR+QGRVbbITLabSrFAUVz7IMT7kqM0QM/ld3f7uW4O
6zLNJCEcCnD1HT/c9LMDLo6qj9kMNifiATVV9y5nKamzeCxMb17XKYzDAgDOHQG49fzyT4vxw7Gh
CAYSnGioBsj3xTgfTISmnH6MZCVbmvARCX4HjhSFE7dAmXBhIuzwOS3bub8uO4SWPIYp2AqE8vxO
niZI2AknQK9wrgQXIA16pIAgDBBywFDdp3qpud+6trEpUJip7fS8nZWfQCvPL/n94ZUETkcAsgNq
HmDiU53nMk+rYkb+IxMjePlmxmLB5Yb7se/Y2qiUife+B6m3gG+lFO8dAtZNrwfjUDP+xBDwUSQD
AWjoEzw6KoVwelwBZnopuG5C9CE3XtpoB1TwwSHs5HIYpu3Hgi0MwGQ3kyaeNKGwK25Q3l/bRgCV
WUfY19fa5tbXq5Y7T67sYOruw/MyO8TTb3xZQpEE1QliwJ5ADIcm9lOZ9WOqPGqX6cPkgZhFMepL
BMJC00g58PeeDtF1Q8r24DRARh8+TJP1f1VYGAsJU2II5lYYZRDanm5DtaQLcyfch7riEcTwAqIX
FD7DjMLMT2nKIe530Hop72zBa4iovrEeA7sdFRFgqzaHaHuI/HMOT9VmqYZTNpWNsz8JK/jYxvBB
SBJYQ0B/AP3EUX6a6Fg3ul7ohy4lIrLrInRN1V+2SzBNnYztDOgsiaQd4JqbW+tmwOHLHF2PTZOe
dNpXRQZdoAVBSZC3AJHjGtpfKbQBOIqqK2F1ttiEUD1BSCRRMeN6jxZdwVtLk44AjJ/X/1FRBJFK
YJgX0gLBULqAqa9DIP2GPADLrNuhHpr3kjte8KRBioMppmmvtU8wEBkQ2tP5c/SsegbX+sdw0uBU
waVpDFS0m36kP3dodhzFCaANQNga6jV6CCRHZlFOZWfT3DXvGw9e1K5pVyp2TnBO51Pa9TOIQ6dD
tdzafJpnGfe5H9sc6noyiqusXdJo5y2DksFHfSculBEHgDCxwUJRW/b8oB7X0QM8nwcJ3F7ji3K5
XSpRQrmGquqQtAxIHxTkgOeELylgVSjQ7TSB7igvZvjoFpQFtWp4R7uNkP1Bd+WUGQAY7ePyWmUR
MBbKTcA6xw7AA+zcRPUBG4SG2/Ju6kQNTIYePB6uGXVLOPO+TH1cVdYT6PJkqZ12GYPk+lut6pTd
DmjAYGRSZYAzhrZ2AFGet43jEA7SlwdmVQGTJaB3emQaNJ2h5aKb6j3QEp3P4okg2XTx6ApXnQBp
PkKgeH7F42hEJMQiAhQ5oFLI3ccrAgXS5aOl42906Q/GOPbsEP5IJ0tI3mJouXifFnQBIxxJH7rs
HLh9CXb6/DYOcPZJVKTQx4bqDprI0IZmgJKfOsVCh74FytLeWlbbQOPgeh49uDZvIRrlZVfjtYd2
jLkcgJKCiNPk3GXQAg5kcNAbkWM1xIFk7WmVKgH8i6/UHHcjFsNVUBEyScuXyZ2CEaE8LhBLTROz
VOCDs+cI7NANOaCLk7Qow8HzB8bpawL5vpljWno6DdvnT3wc1xSFBAVwA059mJmAmuDpiUuR5vXY
dvLt0NcIQCz3QCuekmE52C0DkMV2OR4nMNup1BQ+svCIbCPRHEyaQjuFpNfpJA4mTVqzWL8zDaGH
ENkCEYU3bTU0ndkufC7B69LRHjA1npUF75S4BTf6yZGe0j0SIDvENYBChxlV6BEcG1ONQp4WU6Pv
UUHAbhjwz9E1ESWHxOYpEM67YVTAOSTIMk9kLH0Fdga8CsJdEmg9ybfFiPro+if7+gzQ/0i6HKAh
cMIayqZHuAYTC0+FjRB4qzR5t/ULtIG7NeHTAaP2iJHefeqWGmBO4rqsGTsd23TJgWQJPAvYnkIp
A1MPWeJK4BfpGWFTXaBLm/Isc7u5HQEpXKSTKfE0JymBQPRb17a2zda+gPZBu7ZVv5CQIIdEZ1fK
c2SqMzphR8Wl/hzlS6GGiL5Oa4vb6bzM8kFDIdUPwmAdowIA/K5dhDR2VUVFA+5ZVQMHH5QRPAZd
VztK+Mgqp8BNBXT0xHuifd6flI/SHHNLwLV1NM1gHONAIgBHjihVXUCLEcSNoebq5QXtqkMiigpy
AB8NpEzQG2oUXkxcdsFiGBLooJljVqKRVdHHzgDL6BPRBgHrowkar9e6yOBviLcjyHdpVevTjWwH
2p5IFJWCrBvlYElbTgUd9ghs2GRJNdkOLLWa2qqo3lLXF5peiDlo1pwUAkVk2EOby0OQnw0F2hI6
HHNH21Ve9lYDn1VMktY2LvKgXJpEvctGZOMWpnI5udQwICDHddYCn9/e8FkPi7tBaD7EuRSXiIgL
F7rRiRvTAOefrcDOAWRuct9iXCQWq85/miVpO7XnYhrJe8ynOagLZse0eVNrXZRkXdRdhKq4QUhM
IYEBGkBY69rNoNvVOJHFzzAJMjVuSFowd66Smc3peFbqLnRLDCBlNPs60spDtjQ56rYMAVP7QSBb
zvkqZWlT17GVtfXv6rZVUR/DVM4hEIPfH7TWAkrKxJmyRkJJWOeVIH2S8h6D5i1jKShorsMBP3w2
jcoAG/G+llUp0NZrqJMaGGFBwuLYd5mTsA1SliQey2jQwGV6p66bWkcV9J95xuM8y8ZrPhug3mYz
plvDBroziC4n1k/DrveZu5JeQHNI8/xCGuhlJC0b/E0KRr1jGXddDN6Xfyh8U73LkHGrSeO0goYF
DVsM00jJSGp+qhr03pXgjvXYiDMxmmYlWQ4zHi2K/KaQE1sXzvSvl6IKaA2WG9ZqRrQCixX2Pm/6
a4JZc+pZlJ3aoQvQL2VTAuVJthtcr2EMY1RvZJO3gPYa8xHGNtJVlTcZMLd1veKpbvdqIXYzpzVg
gxrmFuDVaq4TVtRyA6NH3YmK5vyDn1y/BTScfmx1WW3LCVdLPOuCb/ICueuGCbLEVYbaLo6oy96O
06LuqqjmQA/39mZUxKwRCWgPk1i5iV0U0TMW+LLxoasfukKmb1DEDVSxgeqP2GZsiCVu8NVAitxs
mrmO1riz4aobWDg5hIJVN0/9nnYeaF1uR5WkUqe5emcGoucTwKX9fUdYgdeub4JPMmPzOQYSUz2o
wKVdRWnk91YDSF0xHIo300DLhAOCO+VdwC3073N3h4quOZskQ6edwAcLTfkhs2bDuJ98P50jWQ4n
yrpob0qaE2ilmOojHkdax8uiYGQkANv029i040MbRVNCDF7uuq5wBHBmA6TSsnRguXnVVDAS4ny/
apaxnPaiz9osRrgxFzOWEIhtMyXDSCu6hwZR1ez91PoNaXpyyis7xQXlt3yc71GfwrgGBvcZuj6s
rGyRibPJDnLFZ0fXTIb6osmZ/21uoIldIAA9WRf3MN1Tlok0GW/iqKfsDvCKiymp6i1McUF7E9nw
ZsJ1+abL51DClE3I3rb53L7zU2NJ3E79lKTYN0VcwP4gDyuRluB4U74kbFLjpSZdDr37ZSjuCtvA
AEyG7C1MVrdx0wz4jXZMnTTEq6T3KN0zU7O7TonprFiwH+LGsR4WTUOc9lGbzFmfnQkVORNXuNR3
PoLRhZVqm7aIedG1l2IU5QYCvRCJNovcBezyS6jeAPGPuX9LXN1sh37C26IZxJ2n6duxWIq3S2sX
tW0bNsdFa7OHGQSyzYPs+7XjaL4OXvM0hmmm+RSXGTQG82E4Ebpsti307nCcwZDRW10H/YFC0/im
8Kn7MCzD8tCDga8G6cg5A7i5RZApVu3UhmsLrbSYj/VwFvmufL8gV0MLDadQr/cLu8hnxCCXTRCR
UGFUBFm7FDvoD6ZJ09XFtoRpqLdQ8VPY/0D2GNV0Uwja/VY1aXupYcpqh+dKX1vroVPUFe16khBy
46K25qJmKOx9z8bLukv9jVeK3dNygOBA2nm4YLMF52np+Br6ov3p5OV4Ykbo/cWuV/U2FZat8lYA
7wbzWfpkiXx6lqa5f7MQlb9VELd/axcVbiDhZztwNnm+4ChAZSvMptIpPzNjhWkSrK5WaplhiAIB
Q7FZsshdlqXKL7PJNW0C9QLa+LFof2tCzzJohywwWKZZfwrlaxlnkXUwmbdoCzHbTmsqS7XDbsqS
oVnYazVkdJv3PvoYpQSYibOZs8XoZLYTtPRWsm+sUmclp4MMawT/d7SCRphu0rMxarJL3ePqIoJO
+G0V/B08k8VdMPi2s4Bgil4WF5MugJTjDTZ77Rryvo/SfkyqfETnUAD2bw0Zhnabw3wOS3SO5SlL
nVcbjWytYWBLNSs3dQwahNAHWSm9WBkXC7R3YkvT+sJFAHRP56iVIGuBxuDPWj2M1QZPHo8nNWvt
azqx6I2stYHGzORzt86hsXpVZGawa1/BENypNaUzq8jXHHiyNMXRVg5dt1zBnIvv8+0BeqCVbidX
uRKk5sbs0OFWwlcJloBcEm77dDgvq77oEtrj7GaUC4wROlSJMyBxUrwaMUDE0wAVd7jlJl+UhzgC
PRwOszMoq6HY3A1ByD0nE6qLG2jwp2SI56lFut8TCHboRLF8mLdtNdd+lQ8d7691lJUF1GVZpX0M
03EZzLtGTE/XhkItBbOPrHrjZmgbbUdB5yJBsiXobNTFVCfEt0ieywrC6Qpok2Xl6sXsCxisTeB/
W5f7EM1TV7yu5kjohYL4azTZFQzM2PJQuzeEQ+M8sEKF1SwKUZG47jsH/qCWrk16PBO7Zriv8rPD
UJ2Ibd1MS/J/xJ3ZctbIlravSB1KzTqVvsEDHsDYBZxkYKCUmsdUSrr6/xFm9wbX3xA7+qDroAjs
D0tK5bDWu553eZuWvkncet0eyNrBhZrc89tjZnxzU+YkShRm8+XCzaC6DkFkqxDhsBjEZZkNHfSC
9sM1ccyyvg8mZ7q1/HgJ07qQ3piEXukO6bpmwZPorOHrHBOauEO3Oue2lcI9ZrNyIE0J4ZTVptO4
CxQmCVXwbrW8NiQw09GaVyk76cQHWtvKl/wLm1AfBUfVVV3iZ71Y4mNZhyJUx85ZWt+/EdYc6Mci
amp5UfSR9zmb50/bprLHTHWfsrjzi4Q0oX4wJiyOMpLD2ebwsNkkguEB8me7rlanuh1cmN5ZDXHa
9d3WJeBfdpfUtV8/DE0VHIYhWBMd5R776zzVX6ZMbqewraqkzxZ505WcK6lYRtMfNg4b7z4elfsQ
klYOh3yO5M7CMmESVBLzFVSwfNv1zRgdxzDM3oxt0z7ofpyyo16o+l4GTZ2FiVUv8WXdFv3Bafrq
VPbSf2hKWxzjSbXXpfStG6dcPMqbwZy22WinZUxadHAciQlPwxhui+NUiR1yCB/seO7hakXQ3qIq
memyGwyw0mjsJe3LrEi9YJy7BDJAoiwik+nLMeDhjit05MMmsWRKZ6z6c2Gp+TCwKA3wQDnccspz
+OdBCWRbEF9wC/Idp05+0juLrZtOPRV5Jj7BtS2npRTxubXj+hR2YXFvFfaQznWgPthN/VgV6AMZ
idspdGTxsTXO1Ca+27YfXVsOV9px5ZLIYSmiNEebu5Kdw0Nntjx5+TKnkee4dwVpydVsRP6lVG74
qZSZ+FAK17yZReMe/K5vL901W5/asHLKfU9busQt7P4mkNIlbmVz3Ceh98UraxKxtan3U3txxud2
jqwcHDTPOaFqUpbLxm/yNh2HfIHzrTZ48z40hUjdin0kCay88G+qbnSelVLUox1wcCD6KlRRWvJz
0yYImBNq7fzLOtBOeCCFn6uBWKvMruqunf7qyNpUWnaua3/i4DUDlEpk5gtrKoPD1BXWRd77zmNQ
eOoktrnUSb5a3Z3vL8WzhiTieCDzPLVaOk3SSt99M/rRcN2tm6hgDghp3iyj7p5h+pc8Hb2BwDaf
q+XLNK2sFRYleZrufNf7CgnNN+Nino9NMbtXiLOwuyZfNoJ5xMRvuAhmeQJ1nq69lfwtsQhHpkMl
e8uH5a5Rgu1t9p+msao+ht28pCUC4qGyrd6+1SYUDxNZXnySEzFcEkxGVWdDUHXF7teY49IrVRDK
xYSewzZa7a2rjLAggnZ9ZoXd7o5DN1N36seOSZSClqvCK+dTBt/Rx3WZFiVBGsA/aeycyrXPHWJq
t5Hbh2bUTXnntMKMB7IKWbKlxUG7wfULnVXr2bKdovHuAu3KKClFn7ufK8REq0lnK1oKeaIxR7nY
N6VqgzZOybYXrwP8VfWo05AD118PSnBuVYlG4/fWQzOvsi6v10gi6UAfk4B199VMIdtNFsT/WJ8G
3fX5hywrvTY7GJZKOLN9u24zJPPSt8F0yojVmkuttFX/PfaQn/5RlWVeN0e/X0X5IG3HCudzZxX5
1ByG1bPs4r6grMx78Kx2zHWBvt2YZab4weN/qy34LsZxLJr1EHdq8T/4pLjqoV+YrZ+sLkA/mKoY
mcFyhFy6a2yANpmwzz5OJsw63MKvmSftJTijtm+st16Aa3/UnVGWSprIrJtFZisLE3BEsB1PT1oh
KERvJgLK5dYuYnv1Up2Nui/PW247vC2OPAjXZzfSzVwffHCLtbl2NY+3JXRwcZwxDdCja/ngTgCX
wTFAvszdK1vrHlr74OYTMQ65Q9afui7CoKAsjBqlX2U3jiJrAMGK2TFXwPJxirxzPoX1unYn5c2O
2+cQdIOujHfMmsXLq2NnjNfGaAdNG73ZCP2io7SqQCKEzjLudCK8PvaO4bq53nlwhvqpi3T1aG0t
EBWMvh0lnmbtwGWp+qvdlERZ1ETUUB7bYAR2mQenCZdkc/rpLWVkvX6vvVzFYEH3Pprphdvr/E1r
SzctnUDfFGJd62Pn1tPlNMf22YUjeCjixYSXPSFcmLhNt3qQWqZszsNkO+m0RJ2B1bPn8mu32bJk
a/VqmQSco/owudv6bswtsxAgWNWRCJQMURad75+HwJvqA1jM8mxtclm7RGSmF++iMi/9A22Nmi8D
nOAAvjSTGjSbBV9mD4VQR8KJYbzQCnbza2Ytu+JCRO006Vaq7ET1fpbWqdYUcR6108dNKm2vbY/e
ao8XYmzDj9VceQiWoXSyNkVQzOF+1nAdb2tIdNB829fTh3EzQ8bL6WSt0kbE/UyAJJxrDw4+vs3I
vOvE64nDb5ZOewvuhzI8hmUAw5mNLQUO7VNyi+bbrl7hk1Y9HqLGj/sktCZ1pprFiwmXzErcJeov
+t3NlGoEs+etmAfmhozfastueU5goUB0YMW87IMXyyg+Fro136xiDwrKosveWGzD4yeSS6PehkU9
7FGX6+QXRDDB1eCFfv7MFgl06s5e8a41rrxZaiv7mg2CkY/MtlxM1K9QRrYtX5Iut81jtPj63gyV
4hGAG6gfhHXLbhrWlLBKP34nkA/DQ1y05lIgWuQH42b5X7Bp0CV+OXoXjVcUaW8G/6GXWXuanMb+
EAyjSOJw2Q5qqDbqNuO2JlTF11tIGyc/OHqcKfVXDWWTOJ/j+TILhpZtvtmWMckkxGNk4kolZiAb
TrsmXJ2TQ4uTMLFdcJNDNmMSQKOhCpYnUxdKnbjZ2BMUNOt44+pOv8kcAb9u+1mHWWyquvdmCSfM
N1PDU9ZlEH7yBhVluEOUd9dbe8Q70q0DJ4a1rnkC3RhTMi37XB040AuDLDSb+61GAUi2oOuCYzkD
2R9cu86PW7/wb6Dcx8tssevuMLvd32ZUzdGR45KayV8/huwW8/UyNUN3qPo5ejf6w6S5nO/3JAQ5
KlDttDduJZ3rSFVl+Bxbcq2TQcj42rKU87xWeXm1WN1479ZjkYo8cj5TK9XNsRnDeE1zfyzQm/Fe
rQdt1mJMqiGa5FGrPKrYfwe3wvTgrP5pCoz/ZAG6LrcoVyXIuNfWa1J1tfiYx022JnUnhttWxqN9
DI2/khTEDrWuXtp+faxFod6X/jKYlHOTqI74/KDcoY/2cQvujGuQoV2nlbcRhDy2tkFkyayrj+5Y
tx+GqW0TWoyhPU4smyjOZqZ8NXzMLGNnxFaLlVpEHjeDpug7ort8ajJtXQ4Fi/ow5GV4N+mpvZr8
ngrgEJZv0AXCC0va0ROKcR4yDbLguXM297h49vhuHlbnshzbHRSdI7NHa3Z96ccNEk84jtHF6Kom
OGwxtpqkzuPl3PjOXL2DocoPA+IWpqPR89Le9fWR8EVcN2urTnVhxAcl1+VDLCeBu0LbADV+eayj
Sv4NFGUfPN+bHiPC/bPwpHhus7n8YPNP/MRaGDgKQR+oxEZwolZ+7uaJVRfpz23dTvedtlesFlNr
C9bBdh9nVklEI7z6zHkA+KmjEeo59K9R0aw3pneGvwrEjkO0kKj0WDlxNCrRPllR5T0UyvXq1EPV
v+y6RvhtUpiqdN0vq0b9H45lhx40PHNAlfV8oMhGbfsDGW1bd+8Gb2w9HwJb9ezyI100ekCmHiqO
EviyFnVPrQEEu73z1nXHWIxDBc85uK0N3XFpawXuewlTvE6PMl+M/8VvvLa8KNqonrxUeoM9WYCe
vmcGNq8yDj6FdQ2aU8QiD+zDPPViI2yM7BVWuwwGe7nU64KKmQRwbifPa0z0KWianR/qu7JaKvYx
n4rhgTivqVFJ1yDLjn3vZe18uZSE8cVpWSHkWDRwrJ5PnVt17Te7t9ZwPGCkrcLsOHZmLZVKtjwr
QbewoAmKG8zBnjJIVmSb3b+d3WgihcndJRiGpzYyci4OZvMj8j4KyflS3BZFO+r2MJogCsTR7lw9
9s+63GaxJvwULI6paT1CsmTrFDvDhYRyK+IUxXp/Ei/I7Lg6q2yZw/4vbWWb4ye5jHCxJTi/w2C5
tqaRhPm6WEdZBelix1E4n35fnvsVrqNqiMHBpnS4c1S70/cVcoBUFk22yppvddvtBY059zvSHtdv
BsrdY6g8PaTTbC+Wk6ocHHv8ww38Wnveb8BzA9Ap3MpUCSkK/VoczP2VynSWh1/LlxuomSfMv7qM
K2ac1VIX+0Ol1Pm1UurBQUeUSSmC+tS6adP06pI91aqtLRoHm4VyoRCmLttLtZPl6h1y+E484Dhb
qeJKtewwhBOIHb4Yuh4kx1IC4FEs/v6lti/H8nMVFyGeXkMNjRxwJTe8lf3Cp3Ll7sXgNauD8VRa
4eCeumiY3TFdIWsoDP/+bUKf/lLJ59FiQaMi4YjI9j3IuF9HcyK9Divdro8uOxL64zT0FOG3asvb
L5MdlWSB64Q7+Sl0mp0kqq1WULpegrrK1uNWB2LKTlhltXmE5xsYDnQTlzq9O29wF01uxRTjPVN1
fGvUACYXucOkIJqE3eKC+SRt/gaNKhgKCiUMxTSFBNupj0JH9XB3b/C3l/HJgEbKz78fhF9nFK83
oL8WpM9uDMRm8dqhJ8zmBWvQW+/nOmzhKF5AQEdFy1ymMLjM9j8BFDsg8e8K9/dLYrOwHZvAjCrl
a0TVLlpgu24J349aMENIYCcmFJQU4+MVndf6R2kstNQkqFxqnxfVLBvgLs/byRgzLNV0H+L3kQXZ
rxeBTYAuzO8QSPkUwR6IxLQ0ID0/Xhsce8NQLlXUQBXAG+yvIyuX/UWQ6u3bWbwWFGdtjhzuxCcn
3J7KAN3tT3SuF7v/ePgdlwGnEDSB/Cd7Cjg3Ui5BFSSNCiqZYPsBw5cGn8QtdTdvWI+9GoIuwgXu
xAXg/dDn/ZVdaXfxkw4uzLoestrybojWQ5egE338C6Uq+8JI7QWHMoT3/+oV1Ta8q9ugpnMq8oW5
82ZhE4tGRRPjv8Dv4o04iIxP3D70Si5tEtR2Ld649iDiAwlcLNJimTSOXDyb/VYkqpkHCpLZUs4s
hnkbzFoli+UXXnGKHaG9h6CaVg/hYhHa6HMXGyUkpJvMSLMURfUqDbfKbBsAMFOx4xBaCVpRIIrg
NMdhhuRUW8v23gStkz9pr8rIRb3JEekKyduuCQ6TMT7EuWPKNCMbvWCTnA59a+M+kHFj22dhhHJO
eAsjZR+7sq29x9Wfs9J6jDmIl/cLZMR0Y41TY72j9BLqrz6O5+FxC+esaSlOtUKNb+Nlq8qzzOHA
TxvlrLpN4rJ1HZWGqCl99CxqZNSvyqFKvhyYKmv/LdaTMShslRlFQZLR9H50gJj0sWTLGmnqlkqx
VZZnBBa0QfVNRY2LAyRdhBsN3s3mtjNTmhrZ2CnM4/YU2Mem8bouvNSxzFX1pvGXElyjmDOcUW+M
L7M8P0mK+9p/Jxsy78td28qiE3MlcBGh521XG6oxyk1MecULiFmUHAjZL002WgozTF7D5SCGkqGv
h7nLtf+htTTywCWTw1gyNcTZkNi6g0+LsWi7mEDvKicM+WN6+aKV5xXfozmVt5f529Hrnzfdxw62
2mBAX7oQi2WFYboWfqnDM1yKqKvEx2ENQQS7kfM4metzqHxe5EqXx7TwVexnd6vpTBfe46wnUjuF
pWs53WWp1zia7wIqpXmc9HG809vhgMW4fAozKa2N3LUaGSlr7dmyb9i1e+VfW64cwuqNyPtcVPdF
YUgrjxAZZsyO/wJEXGe/pXUmbnWOdqbWvD/YKNZDdGgmytrNBydDa+iJe6uYtDuL+j4dIIYZWSfS
OSdIikqx/xDuH7gr6ft4jwM9NfL0aadQVoNTocw+Ym41lfzRjmqyHpo63Ld8b56yKExjM7VMgA21
JjhP8VDzue7lURXFdoavL/aAgbNklFytUgKZqSEf4r2IzlOO/5eoln2cGy8uCN0sbQ28CquhIOd9
o1YQw2YOeQ6TlppIrGGf5pHytcUb9HSvn6ai0XnDeFlqa6m8bZ5YbqIi3G855013lEaYWVzB5Vv9
s7SWfYIFg7W/eTQuvobtbR+aeRZ8lCM26g33MNMflGf88TzD4Lr9M9YExdd8yJPgofQ9GbupZ2JQ
+aQLoZzs44/ZI7dxj73DwtofDgH0+2BoZs2Q/qABY3/bqSPHHf3yxrXzwXr4MdTWy8f/Ncgvn4Op
pkNJ6FBADFPRoNk/41Xq8uGcN+7KQ/fORsNq1HbyfvsBVDlr48R/eVHtRmhOnDytkCSX6CcrIbko
qYAFd3GtW0ZpduqKjzhdLLgrgHA5x0lprzsemNU+mEtKqG33JLvfR7ClCwxP2L88k3JyaFbsm01g
xAWpys4x2y+v9mV6UJ+vGJ+A/Jk//LDaH34JVsU8zQTiDoGEpwK+uLbU0tTjZuWUjqB4lLsP78tE
2vSquUsecv8pIh8QhohtQ5fZNU5qv/WXAbU2s/GXtnJbLzxatt+UxSUBebh058z2Hf61ydFt5jcv
iFU3Gt5vPgMmPYsga5g+COv1/vDDDBZ4N8Lo7T/Qmfc/vJl+OYxIY+/Lod78/f4bHWTKPOoqq7L8
1GRgaA+qd0XmXpTjGorp2n2ZK3kxxlN4/jHkKPADt7O8sFicAC0XL7q85JyfBfVr+5HIrYjmQ9db
E55we8wkF/cLhUZNnaLDBVKh3hPmv9BIYYu4AY/H+crXylUHuDJLgsVlvXLjsVraiwkTfl2nVexV
9ZzIMSOLAxPSfF6h2vMHQaNf3da95v8rTFzwybeNgGHrcT1VtzPKO2G9GQquLhT52lPQyAUkTq7b
PvepLgR79uaS78IhDarS0bGqOWLr42I1KBYk9hxVy0cYr4L9BuKuLcuLH8YbpCA1FCetKsjgL6s3
0hT5oisUw3F2v6+Zvo0qRn2kLC+3J1dFrZke4QeUCS4o3uyPvsTZyBDhn99Knoh2C6N/DDZ7x7gm
pBS+J5ZunzWQ/fsUf3GaRGNp+NdCO/vzTjltkUAumeB8vs8xjVh4ZzfU85iuQU1MN4Z8DeobFymG
TwTo9Ezq2dcj3oMXHH0TfgW6pxsAPucyk/3Gz9heTAqSPA6EsPe9kgQJhg7Ys66hTJt0qkC4/WtU
sH09TZ7JsStlZTSxVbqBRK25HUnkGWaKvfvg6dzdoWpH04iluS8qFCJkh7XiKT8awjNpXRmc2nS8
id1it3MAB7L9hKV0A2RpgP9VHhdZwGCdAtP51XgA8haBBx0FCvzJy2hRRSGIs5qXv1nexlNR3dyP
jdqX+5ijjQsm38tIFhNluVs3t3PwRLLtWoZvy00b62EgmCYh3SjkBJ/Yb5lflqEjy3ouPHt/BhA9
i83/B5BXUTXgwuCjrek+BfGqevFM35ygug2CvlupGDoo8dbfwCHFIpEQYrfyk7HCKYTXtxLh8IR3
w5TTezvriyyD5ltdtbwzIbFN/zWe87kHNpXgiRB84KJ1nFrONpZPm6cdr000pwNVlUmIlpgyDH1o
Dc0sr4vYSWe+SF0G/zcevuXw40le3mXfwfr4sF7uDozK70TnD+Q0pr7OrCP63xdvPtb7JyAHGDNZ
fOdGfWFbfIIC5/5B6WqfT8A47y6wvJIdSzkjWpS327SK7kgZcxd7uKv9Oz+m7A+U1A/3b43EAcGn
fTu1snRYVky7iXAGO7rXKsxMSw+rBpTRWzcZO5emb/ZVnlnbXgsacdTxh0dYNl0CXjK/PRun1i0O
j/3Oy+8UZPxyIX+IOdKQy3jZLxlbkxcbgHLRING/LV82LCiP/Sf3kdhtO1bV7wjuOASD5x3qrO5b
GjmB01oP+kXHmAx+x/kqd7I9jFPewjXCudpvS39fcFZbco6A7XxnNTtnN2QeqIftczKUm1Pmia9G
tKajKqodp30ZEBwz+6ZXRsHO4HqjsIpr5bhVGP3BIvAqoUeQY39gBqOCo9T8w4CjpoDgtOycB9W2
AXcdZtnCajAt22xvefsKolHavrrmvN/v/fe59C7//JTY7pdHnKEy/9If+bUjBYiwtcwYAvW/bI0F
TO8+/vA31e3vL/XKasRqssHguBZwP/8P9rT+J2eOicqekoho/jVH7JI+M2nfSc+7o6vlPuPjQO3i
lM4L3nBLsZp18mNz/P29/Coh+LbN/IkEilQQui7z3Pn1XuTsOhhdiuxh182CT7kv9ngcRTl0j1tL
6Pyncf7nBQHkEQ6CKHawYcSvHBilGmxR1bZ891JmzUpO/MvwO0z+Y2X//gHFbnD494vdnxCXi00v
KCdyBMa9VxdcqsLLmqkK3v3YMQxUFJNoBVXy/dPijRH8ZSe34a020EuHWjf7fv7dVGCNm8d59Ic7
+nWmc0ekUlHM4QWLiDL72kC4xrZlwtXt32Hb3xeVIa5jjS+aykN/yqM55xUgR66szNjlcCC0sNR+
I0jUvd7SuSezP/kwiz5HOYA1reRgLvk460OK25x2GG6fmhfnX/eyzf7+IV6/Rl6cZ7u27/IrFYSI
XktPnLv95CzWfKvGct+Ztu+BUDf6jX67WpH2aFb7O/vt/+96vs2L3P+ji9krG0u4EI04ka1vfxx7
S6agVeyWnbWFJKfB7H92PcxRIkJZZONmqXKO/7ouXGA60cx5wXGzGw0Ikve3EZYV66IZ+/3A+P0F
f91/0GdjGz2TFYhz30PRfKVnggos+UDp5YJuC0Ppp9QPQvdTQK+4Py7Bf16KV4cEHUQemX74+tlq
6dSrzoLs4iUUmX3UEeaRQ9eKH2bh/6ibw//UhOHnHgz/q5YP/3fdHP7Hfqn0D2HX/+8J/o92qf/+
FS8/94B4+Vc/mjmgMf4X4hH9TXeb9d5l+l/NHPhdQt5/MUdYCJ793VKH7v9Tt1SBi2j/NUP48pnD
/93QwaUFhMsPDCObVqe0sBL/SUOHV/5SwAtaBNDJdT84aL3jePuK/ekUm5C8ul7r5bYxLlZrQy02
aV0EhrQMzfw2sPz1qljmpjzadjl9nFpvfiy9cSFaipv+r59G7/5lO/+5c4J4vad+34/o/UeRxd6b
/+2VkJ/uxmvWroyVnm+dvhG3Wbk1NCMMW5CyZZ7I92fj6Y/h3Fl5MtTR1KeEEBQjkSNCj6Q+bL7G
02Tf8TMUaEVViUe23Uic18CX3wRqyPKHatD35l0/n0v7HQfhfgwS99n0L3p1xzlwHOH6dIvel2X0
nNuqx9kjTjlN4dr6WKQXURzyEAprCwOK82tpu2d6ba30eZzb6ataxlGkudX5B2Dolgi8VjaRNp3P
EALaQt2XGrYZxGY8sK/GT6Pqr1E4fbq+jFZwkw9qrs+/fw//fA0UueyQFxHsXX6/P/RPryFcLRCa
rhpvMUDHT20WCSfxSoep0TV6uTfLED90UlQffn/Z16cDICwbdshvAGIu8r/9tn66LLhl5nVj1tw2
0SZu0W/0LRYyFDGpnn5/pX0b/vmt7VeKKX/s0RAVgOjVPOsa4v8euvsWw5D3GQF/qGjTG61OUnbq
aPdIC6lrr1GbInCa+k+T5nUww1NiXKUTHIEjvVReX57jI6eog2cg7EsfyzxNPEt+iUh1RlQcjyAo
bbLavPqzqXqDHaRsw28wbOjB8eq9WQIotNQ1BXx5gcfrEW7ZcQ8qWtdvnTV3B9sCfE99TCDDBb+w
Z9N/OOTEP18UoQLbBocchSuqsb++KDvQfuP70roRWtafc9CNLBEWrZI8qpG4kq+MystnJCTcPltP
qk1ZOU8BYcK/p3Db2nRVWQgEUMzfchK0r7PfqfAPPUSJwF6/ZJf+DliFAfooTSCS/XqXwRDlNmqL
e0M31k7G0WGK1Xbeqw/xaZq1Jj3s7bdzvfqabh8qTAfRnEdn6M6V1+EQr/r6XUdXGtqeVSb7yxR1
e7mOlPY7v+8ecWpEB0n+mOq2KHIKiW5hElmMza3prBGUB+ojy0RcJDBn2FgdmsxdQPRX75wiu89w
aCxJpWntSh+u95NTW+4hoGNvIvLVYW/w9LYltomKN5Xyo4/Shh9WNNd+s1GAj1NjKzgK5nx+aUUD
eI6hMdpBGN86bMXypRtxw2iSV5LlegpPcuz1JV1OnPe9on/PWYaWyBO6XcvnmHITEG3TW590jZOr
60YgFSw9l6KPq6/53AWse7cuH/JYLmEyQy9cDXLQ6co4wJM48R3E+nKEmuhPQixiPlYE8lhGDNJ8
OjtKHuvRHeBy4zslqb0dEBmmC44ah9bFWFahS8Lqw1Lb6toZ4u7Bh4k867iwHNLXevscBe1wHO2l
2E5zGWUnC6zjMwUc8zcm3M5PsczSk67JnDk7LVPRsjiMOa7ZrKPT0EpF2y63vmj4KCmZN7QMNB6u
pKD5oQWZZzAXt/6yJd5UydSdrKYGGSyP2R68vzWu8A45sklFyzk04ZM7mXg8L264vAlA2CpJytFP
dZ3gB8Bu8VVJRf/Kj6Oxlh1fiwe28vaLs9bF5A7QtFp39u1UTrhawSP77YyBd5I4IXPMcIVTtQ82
XR0ui9V1dUoJhxLlirNj4XXhrjk0khaqSGcoDEf6IGR2OlSTkHeqtwO8beUaGnVYlyqe3gTj5DKj
jGzFaFLNWXii03Ih72aWTpClfdRBngmXNg6npsqHOAH7APo7LvDxqSXRyiFSJIoJdmeJnqpiOpKc
TBVW9XGURAUnv6GFZxptPjtm45T4ymo1WBWGuTUb7+ExUSLaLI/+tvQc5vbBbp0J+2eko1sfD4q8
atxwCv0ibZax39aLkZL1gF0iUyFi0jhv/SkexiY/rVVQrxf2ONZd6jsgaGkI0VCdB0pJtE8MPOcv
q6s3cSA0L2n+Wta2dQegb+HHm5rmr6Ku4/rSHeKpOpbIFO82PbnYu4A5xbUyagwb7B2Oms5ymLvm
gcPYvYKtccqT7riDYztV2XaMxLKBxBRrZ27qCAfn0WKpDHiDhb4a6NpVHTLpZvoQknd09HcciU8a
ejJt38Cc4gCCf8LdQFFd9ZfCzml2ngNypthnaSSdt7mkw7ws4bLM0MVU3UzhpS5SyQYKV2zWtS0r
7yQ6iYctVHHYHQVNVdpLlQuTHcvYU7Q74HOJiAHomD4ZKeRicrBjiHkaqkKMrei7rCPnVmz0YsmT
aKYV6vu1Mo6+DbqYltkNCveNrxuOpAzTPf8gBuN2T5RARfORYnajrnrKQstpNP6WX0NhTO+9wvE/
+4sEyY0Ekxc5GKf1cQy2nJtHr8KR7oKfpMBJx5wS4MfKGCKLIivmh9EPzHM3KNqPhiaTx4juT7iE
IsnP8auWInAzzOIW94PrvR0nX7wXE4x7YgLqzOlE6Ww5UnAo8osBEwlmrjAbnbvcCuOnxu73yVkU
/XgOq1GN98vqTVFq94Z3o0zDjbW4/sQ1J1j8BN7F7K7ZJYcD7TGX9pKCt3TuiwFf5zta/8Xe5eIV
Rt9My7QHn2pd7um4SBu+1tRcum23DTzdqacNa2K4P/x+64b9ifsCbbz1/Ian0D16caLKttzSuJxZ
Ol2Vlfnbhgopth1NVJDxPfZUZ2rUXS+8FdrO7ZTN64bB0De1pSBXc1v3GFVQq9zjisq7bxosppQn
YgMB09/j5KmpnwD34yt0iTxKKDKWzAv02c+mgUJPlqFY37nTYo/XGWFucd12ZMsPEafFeWxscdvH
Wf+R7iB0F0eAzJ2rNspifU37F6jJdQh77DXIIefOYVh389j6paxK/37RI2BxTyun8i8T1Nl4gWGn
/psiyr6H5H2lDuQBkcsvZ/h/7J3XktxGGqVfZV8ACnhzi/LV3rN5g2g2SXgPZCby6fdDU9JQnBlN
zF5uzJ0kqlnVVQDyN+d8Z8nGfQdi58Uwk3pfyy5lfujymFsGmd3n+O4vcEUU3tazB5vpbuW5HEeZ
HT0TZiBSuPcNt4k2Eic6uU1r9d9qHsjLObS4pHZ4LblGCg+J/x7Rv9hxyMj+whpm298kUTUJTlpH
mJTeffF5iDCyGwtl+llH02B9xVi9jEDmgNrj27T5q1RtrXZcSQ9+6vha5MZAMohYQYjpSi0BcnYB
cDIMxqNbI6s7arna7HFEjfrQVWXbwqxW7qUxIRnfZX1Ti4uUbXu2Cb2xzh6pRMavJgQFvPZBPoq4
hKiJUFmKsOcUWPqHCotZ/slqtROKWFOBLU/d5BgRfxkW1F2G1iE9G0knv2SpaQg2nKNfnnJmGHdq
NBJ9GGYkhLtcz1ykuT0Vzq0qK0IUar9brWKdMP0rl0QGtQGoKcedxNkGFCJs8tXTEtQ8O8ax2lnK
UcNWVFhCDxqhCm/VVWmwXRJk8JBKMWa9IN61Hots4FrjpIueudbr8baJ4I/vZ9ay7HjqDIudml9Z
4rMMj8tSBE8eXjK5ldA1XMy+FVKjPhkjPDEpV/Suyx2+TRqHRV3mDnjVy2DoMucWX2Tln1DU4HjI
lTLSq3IwOrmtRwwmMdXYPF1VVcL7H9ia7ccsLDPAC6Z5IieA+37x/SAH+ZIFP5C6/9Uk5f9jLua/
naTYVIHU3/9+lHJTVm9ZWzPf+xmK+fFDv09SIqYlqB8Dz3aAfDmwm/8xSTGd39Z5IlkB9FWoCPmj
3ycpTrD+yQchiTn1P6Yozm++5a34O97Z+nPhfzNF8by1YfypobTW0DdGAJHFO7Ccj3nNz63rwHFK
lInVn11cJ1vHrfZTJigV6ym887Ima1kGpwai/jHT3q4cWPk8oSEpvla04MAtFPZe3WyoUfLkgErE
GR7Zx1YXPGPz4nbym+EzkTHBq6f95pxZaXUxyYK5ssHFCpQgr8+2Ssq9X0ZiO4miuSxYprevDWLi
K7HMnT7Ui3UAxy82qUYzta+FHKJXwYw5POKc5Xae+sX/JKSaw9sFIcEWflJ2Wdjt5O4cAOHNJkq7
MH8Tk5F9mmHx1Md2aLl5kJuX/uWEFwgppsFSANuSWeaZimuZh468rjK4osE+5BTurttx5Ndl6DEE
m6BZCjc5TthHBrWrmZ8b9blh34LprLfZz3lwbYIa8b6t8YHHScXniWVrqSm4WXBGptzOQgTWxsoI
q3iXshqlprqDycyuqxk9DYQDrSPBPvMAKin25waWRBMCtdko/C8QRLJQ96619VA96k3pI0HDQ5d2
dsYqL8T6oouvOkFO7pV461k3b0Xa5uyLbTQSB/ysyXAd1NMaItQMtyZyphj5vhNL4Q40GFlzygxD
HCBB2A/UCHMeO6OJQd1q5B2aQG/vR93yFnRFuZPVXG2WFeCStyML9rAuLwcjdw6IuWqqimk+lI3o
kZY3LQBfUc2nEO1+MGflvq4b8nX8LL1ByoLHL6sU6vG03EIFceICscxx1FFyh4apfkkaY+rikqcp
h6XoqJL9J2R66Z2T9uOtzERwV+G4e6XdUNsUzsqZh6q643po94to8+dqVMktyS3LC3ZthNZynvEn
4oHFuZ4HZLeUyTOeDudIuolxA2ZeTSw9jWgvEBRfJn5SHQAD5vSrwVAuz10fUswiGX/qwYI8QCIp
LdggKM0RgfSOAsM4BGpD9I0+NYPt+3E0jfUOH+B0gowyMCYp02ena52LSAdMqazOk49wR8clDrsh
KdAADtV3S7o+OqlAeyomeKrZlXYLdYVV5i3MuOA0SO+x6IPtWMyuE7uOCi4xLKUp8Ty6ajCbzeJm
TlMbKTXLZ9eNMM0UC9/1jH7lDoZO8zyMqjmIJOi+SDt7sfpB0KiF4Zlvut4tlK6bZezCK42g/i7x
x+zcsOF9TC1Hf5odXdf7CPrPe9EO5oUBZgr7aO8EZ2Ta0R5Z7jcR9cnR8sx+l6kSyHwSFMRbhfMn
0y+ql6XU+Ysjp5xlfB+WL73RRFtZcoeBJsdHzm5tFwVy2uedfwElzt/UYV4disFZbjiHvbNUY4TM
Z8HlFfOzxo1VoBfTnkYD64Gpvm0Adq3GH4VQKMWtIyxY6kwncADkkzFuXaNfKILnbiMTma2fy4SS
oMqwzJkb8HvyjJMavcri2c8uPe7NZAxPuR4eis4IviqvBSGE79sEQSOdwNvYnS4eg6FwL2o8KJcm
+JfYL8ZkC1rlFLljcLUwc+DWmMcHXYXV1hvM9t2fMSt2Ure3ThLpL+t0D4q6USmaGNldYHVwcdsT
B+T3le0yH+mXrdZReoVOfX6dmKAg30VAQQeJy8+yNCJczNxwNd/w5+Tf1j5pM4r+0p4TuaNvURAW
ZucTc4786BiBHcZKyuXSVt0ag+VTs00T4UQURZl5bfXKYChhYS3FVNnelcVIrd5NFrlNs7KApecM
vaskZwic1Ugjj/SkChsdK06849J5EFMSfillTZc957PtIP8g9AlWyHLvGkl42YrGe5s9COuRnww+
AvqVlDSbjrpNrSbB5RtmY2xL17wKQDs+wnwYrwOKeWwgsyO3loOYJx7z7ERgiyD7bLHCS7YZGPHz
seQS9QAimOodpHxzb0l/OaVGQleXjekmLRJ0T2UXHabeVZS2ZB5FTBneESN531vD/Zp3vQ2KGbgS
mUw1Xq+o2PXU79zkRnklVRZeRU5ZXtLlEIJU6Hd0yizwzaqNXaWeWnN4UGgzNqE1YJVcm00Ud9k+
tyzvYOY6uuutoSWcwc7QLlIvH1Mju65KJkP4V5Pt0AzWCx5091Cknrnnfn8vdBPeQziVm6yvoJ8E
Fk+QbOjOsiiBfgyJV115LfMsb2zEVduY6RGX6erNq/3p4DLLuuPKrbeNGcnbfGmHr7RfBmK1zqoo
e9zwOfUT98w7XLa2BEPaeh1gIJqjGjKc4e0r8plOVoMrzGTItV1GM4dfA1EBK1F7mGY1b91ZTa/2
MDDKCklpEkH5eRqtLwUuo43meLwUsk7n2B9lduuGPaFmY1tuVZ3ZVO5q/G5hZ9rB2ZgfCojDO8Gs
jrFMWO7dsA23DjiQh1xY47VvBtMB8VPPu8iHG5FiptgVSA3T2LXrEJdbZpzkfDHkbrbxGvllMN3q
c6/kvE9RRHxFvWntFgynwOzDz1lYfRvKfDw5uOPoCcsSVC7/lHhBFLO3948in8yTWVTuVuQW3kpw
MJca9/d7hHKDZ2dmHCavMWIXR9EdmjnnbI8FAKup6FFkp91u7qvo6LjtuA8UlZeB0OTApkJc5DUB
dnGlun47WYaxJa9tInumpe8jGvCd3g+loVs95nNqbeYl849SMCrJvSvtyg47KVwfs4vsfWt5773Z
3c14j2DXNpAnCn3gEW3EC7Y54ncWxsdQeHJAsvglTByZZntN2MJdAJktGvuDlvUcAwqSWzNr7kNg
COei1SkjDUwGPYuK2M8bVixZdh51laInJzmwNoz7aFTyUPkzDLSlSElBqu+MsrldhjwjDw0YlW5x
9PvVQl7hbG2xM1eHcera7aS7ZovLLEQNNFuHRjiah3Dg3BiTYqwSGcHj5OLZ1UXSbiLP+tYnvrHz
8NDFBIbVsZ13HgdZyTSpceY7aVvRe463eBcw7kIsbZC7JhrWgwKXBBEHsfBma2NiJD+peoiORYPZ
OM11eK6n5Q583GeE/k8fDcL/eql/mVP9U1sEeJX+49/3Utff5P95Ba70l17qxw/93kuRFhB6KC2C
0LXgQmDO/LOXCqLfAt+0Icyx1UTK5bPc+WMr7ZHZygqbhipga+Wv1HZolh8ZnuZv5LjSlFlkbawG
6P8qx/OX/RIO7LVjY8297qcRdP2yVLWE3wvTTNsTBBMUoWWTejfOILtrrCvh9qeP5l/snFfh0E+d
28drsUQnBorgUjQw6xbpp6WjGNmWIc9rTgFm4WstFuu6mJ3oeeETuOx7He3+/vV+2Uqtr8du2wZP
DRgyYpj419cbDKIVutDk9WqoKcgRO46wQrHwnJTrnNi4+s7OUaGFBSe3H//+xX9Z7K4v7plIRaKQ
b28F0f/1xXvDHFWLZPikh2n6Wlc1tK0Kf/rlYml1T5JixJDQ/E+/8r/4iD0+LZadDLixMnDZ/PwR
T+NUDDIM6tNQW+q2rLLpK1xXRk5RPlCTmMt//YL09qs0j1eMiPX7FZrN0F/h7+ExlBlJexFQf2yX
bIrwQzvGZ5T//uvff6y/6hZcbiDT8UOEcCwa/jl+axktU6fJSrJsSdqJZz9h+Kx1Tw0XSpflHzgF
Cw96464iOeu+F17zzD4qoOZgh9SsqLvgflpsQhwHHqUg+rpsvLRUpD4tdvgfrgIEqXzif7noAw9m
N/e+y7fJzc685OdvpKkhXhf1NB/Zmqbuo1HbXnIxppWJWaHtSY/pU0ueofwtVYrxgGk79+Byb2CO
P4LE9f1zPsI/riEBvaVAI/048yuuJajrYJN1aF2DJa2zM9hc5oUfk/vahpgEucljRTPbI42DMeTM
7xdbh/vOo/KlRjCG3RyY7QVBIOremsinSVg6VrFGKuF9CYXTLXhbtBLsB3qG1Cxc1K3PU8LfIrgr
OXdMYbwUVRahTESpzSWX0EGy2RnRNLSxDavX+sZVqhhgkjdaqKvJjYR7R4amvGzI/QRo5rHHFQQM
s5lYHwQsV7lPlRjVrSEndRuVPVxFlfTd61zY3aseTOfk4xdgni5E9xrWjrg1GXOQo9RrHl8KQMyu
sAbvDWIelfxQsfSoRdK9Omtlb/SG9ehNROayi2GBEjHyPDVLpF59QAEz8bIWE5Mx8dT97A78pl3p
4smgt4Lm1+TJsw0miOVqKL23jw4i1ILPbXCtRyqk5Z6BbPQsUeS/+ewo7vOU5NbekZ6zX9qcNUik
2CLEIy6Q+x/Xalak7A0yJ2fFkZdq/FoVLYIb1+OXtRco0YdRAnWnFsSVThJsktcnVOh9PWGDj8J5
R2WRvWTwl57DjufpdmKKw3xncblOROO7b+0Ydq9ZCmYk7evoMlqGdR4McCkmQHCN5yrJrnIBFl4M
9H307F2rbueZndtW+EicN9zd3atS7PQ2P1YkguyBNAYJ6AAXKpiYw3/ld5XgHOIwbYfjx+fvqskD
uRe6QIcCaCKhkY2bHsL/9cf/A5WEEdxiFjw3dHY0+F3vsmASW5lG0Z5RORdwtt4ePpax7gh4NEku
oJGY3UaMEghzr8LoHmGNNcAkR5LIgKAKzeJ6guvI7pmBjq0eOr8xKaeTViViz4JyiRPKY+Ibq9wy
T9KaAsF8AqAZxSBLSOOwmHMhtz2I+uQeZoLHzAqUXBc3GWvjSxtt+is6DflVQDYUG1mMOr+Vi2HL
l5GPP2N90wh0DQDEY22WbWxg3AFYh1Icn67H5zw+dk6SrfGOCMubaMFQXW2AqasTpiF3D33IufYA
MW+EkMckWtTFlLYkMOOs2mRdQiOEY4+lFmtMDPjWp5GObdthro0n1E83hp9N95KVRBpPifA+TxhB
XK4vLEkbxpvqQoCmPtKIpDVdqt1CgGv1dTjM6Ve2E9a1D0nj3OSZf92ZTbSm07rLJfOzmi9cGeBv
NHjGQ9Pp6WtEEKLcAutL8y0Xd3R2E3zIW0BgkLrRBCXPToPvdGsZ7hN5HzSdQ//WWJAniwo157GX
Do9sK3C46CA9cUktpTd+zSz+ZS1x1T3HHNeynZBPyFgl4ZTWQ35AFtK9etYUPddLBqIqIPnLw50m
1L0m8vdZQf667lyre13GlZeA1/1NsUB7LjyfB2Zrl48FpKuXYsD6jhXagy1v4o/KEZqewi4CMxdF
CUAsGbaPPuQTnRfNFhW/m+4tpw69M/t3M3rRY2d9rgfD0CeN9Dg8ORBJHLmxulHtnQGv99m3HeeL
ToXn7yCAnf9B5xzGIjuh2XkMsqz/fyF0YjYOALiHZbDNhTx5zmyQ+wZnafMzqrOxmxs124o0UNcm
GOKvzE53sXtIgpXr/c7sbALD/QLYlP+/48QanjCl2ohWQpkPTMe6pN3rsM2r2E7L2QXdUxqXdZXP
fHQ1ow4Nl/3TEoTtMXeb8IZwcHNbcFcdaPKHkhVpMr7iraYW6SYvvHRYlG9KS/C14mkddkQIujws
cEEP10M4LifWYOE1aHSOBUiHAD0qnx1dVUSXXoKLOS59zUXTz1wpI3vULeaH9VKa0ybbpllrXROo
wbO0/xj6FxF/j6DnPfgTIXGj5KvZVAxEoAHNDB3jIMT3l3cu/yErGy5B5aTRpV8R0LpNbaRjFVzD
44IAsN4ILx3pNj0/vITxSkQLcHMUKxwm9QYZqbqFi8K95Mm+OgQL53g78MJOot03vRQ88D8egUE2
szjEO7Ne+tKssltitOh75066l4x5TTboHvu9gXHf18Zh/BtbzsDJbxMg/kZcpELz4a2bNi+v2KP1
LfvdCkI0FcNCi3L48bYsIoeqQ58VVBKJsS4xApDYF301DEfWFep2EtS+NfClncXsdTnb0vYblBxL
7aorDIxMvcwhal+l3XfZje0J3nVed/yuUmheshnyJbhH91WNnBY+dsAae27alxBZQlNgt02V65/n
EojvhnHQ8pAYrffqZxYP1mUwikvZDQqS/b+ktLosXFlVM+t4qFrDPHdzZnwHXRHh0JUIdXjPVDkf
4gNbSS6LsBo4yftosh4dYAIdrkuFeGYAQ0pfrvL1E4WUA/PbWzjW5y5E3lkPPKoekvUbLQog0nqu
VwkF3NRrbL10DZOtTViz3ogedleFXmI+W8YC6ofPidLyAeyLMT8IHxsZuZgyS7PwvirxHHNUdXBa
gXGl/YK0psyN1IJKSrWcHkiMYRpvUW5UJhyIHIt+uUmqOt9iToKv4cNIhbpHDRLYmXkuwVdds5cR
aFgzAqSgWG8V2I9zVejuiq+/v29DniylyIxPyojyswGMFH1QxtFDvMQxZf0PuzYw9tUsPX6P3meU
BmwMgSpgxjHZoGi/S0Me6c5AiLBlpsjjtAWRSimGv1iASbuorPsGcH0bU4aweGFZhgGYimTy6/I7
VltvH4o2OUa6Zek79QR9s3aTG54K35uh/25Uy02kXHniuqYwgLh6E02deePVi9gKs97441If1ewR
0QBG8kEBuNsXHKLbos9gPeL5cRlPXyl7bu74tjmXG1WdOfnqA5MkAxAbabhh7e8Ibr6aUVDHDh/V
jbl06VPHXuh1aG3nuhX1ql5LTQpI1R+qqMJvKcBsWfdUflC8AFN99/zEOzsOELQ1Uz4qQHc2wLaS
8GgU+pvX+3whLnwexFkedlGsMOvwlIpAdBuDE3iMl1msT5AMLRG0dEIkA0RzF3NvGyf8NH13NZYV
F2md8bTJfTaDGy0SvvtEVahnlpKgtI2g7P4PrfjadfylKwnpowK8KOxQGUH82vZr4PQRJ1537LyP
ol/g8o0Zv6r7v2/X/qn7CYkxZFBh4RXCxfWrlwiu/TQX7dQdqwbmKQLzwHrs2U/BOFJWe+GvIM7z
x+Pw71/3n1p/XheJtofxBZYTneJfuy5a8sopWtUdVVH5b5MBV6UeFSIqSTQa89i6We59P+NZ3Iu1
yv37V19Fub98uqjU6Yq5wXkTv+atLESzVhKc7hFoBQ0IUGn7MVyfusWHRm1KiWtn4jnQlqyVN7k7
PNw/3sL/Jnb/aWLnUVX99G39k5Hk9lvTjEsF5jj/qwLixw/+MbVzf6OQR63EEIUJDv/059QuNH8j
Hw6aDW48HzTVGgr5x9TO/o3/hJXE/EM48efUzmHWZwEDWG1SNL2rbuKP9NPbH5fOj4jX9Fv7+7//
7N74cYP+5RILXGzqAV5TNyAybpVh/DxWALE36rozF8YKa2DxbIH0gH0qyb1dtTg7SEog6us6H+q9
nPw+ipnSDCdKf8vcI8iXxSYDrxtt+nGqPNI2PN+IEVDO2yF679h73UjfJ5ltsSDa5WzLMKwx54QK
NY502OSNar8ir89wKI13gV462KVIA2zidZB+rzssVrTLcF54al9bPBsodbR+SmzDocEFdLwbIrMr
dihV+gdga6o5mkSYh9jozeANFaffUB62cH1b30GsxIKg5PmqEuK/m2Me6PybQWD6u4TucIVIOfhE
TkQxo9OI3MusrpKC5mKkL8QEASds9lJ7h2HVu2UeU10IJypu8jabroQcjYOVFBqcKMuAuJ2E2iGb
JIUhQC3JJqpMN4qtC0MUH7wiuhG2m11ixqLynKdw4GO2DHxu8bye0Y2fzjsIbe4RMywQDEJuYjd3
LSzrUX0L8sWHxKjrO1NXLbTdcECmjesM1GrZnFG8dFSTOtmUMgv2pM+bRNaE9VWDxhsiSOCz6iVl
VaPh9cwXuqzpcm7dTyOarQdrHJvwEA7o67bE5aUcKnj3D7BpnWdVlfaeEUt4qLu0gN6ok+QKHl++
XRwTyQaM+SvPE+N94FNB7PyPY289ALG9NDuXMzEQt8Qd0AhJtz+4nJruPK+A6/UoZak5v677+6eh
dtSNGPHeRpy/yEVBe30cyevhTI5UdWaslVA1F82dtx7ipWu/MDoA5LQe8Mt61Dfrob+sxz+OqPoo
qQjM1po2ZVkU98laLsxr4ZCsJUTqt4eSENZd7Urme7PZbpOPsiNaK5CCrIb9vFYlkZTvMDWNfftR
uGRrDcNFzsBtrWvGtcLRVeTsrNCT2xKXztZvvLuWq40ggegClC7YubVaYorxSRO0A3GBKipb6ylv
rawAf+I3nqm2rJlEhWqtwLBzoFZcqzKv6rorqsXoHIRjvy3W6m2wwJJXHxWd6LluPso8KCb2oUPq
HM90vdvioyCEq+whhuZsXtZ6UaQ5zOeD79YLlWSYVCrfj5ElqTE9S7tUnMWP+lP+qEYXwovmB5se
Rj54pNVSs3p9mVnPlsu1sDO9Ir+ArxjcTSFy+hflamo5JMSVs2+idRoF1nzh9QWkB2w7LxEjIpzl
THnEZsDSPxAn0BreJxUR83uS7epdqtDyoC8sTO1CFG6NQTyghXXlA+DEmbI/TQ0GHSUTgOIV8Pag
my2E8ibQSBwAlC2dH+mtGKGMbLnM0vSVxOG02hSZlfP9GG1NVSbbBdQJzNA0Y76o1hJbEtu1rYom
DHcUsiiGj8RBua9z28jpPSgjq/QZHeiIoW+10kQBXzPVjJuknHCINIBlTgWFOOKxzGTg89iUM05h
s3eQrdrTgOjGxtf2Y0vxv5P6P5zUDmYOtlH/frf2+E29jT8v1n7/iT9Eis5vsAfQUVsRoImAMu/P
I9oy/d/w0rH4wS73cXz/eUQ7Ptsz/KGYeSHosRaiYv19sWZ7v4VsMDiascCzoiIM/L84oi0cUH8t
Axn7e66NFZLp/6qLtH/1bk3I0fq2ZdLYA2oVhhtAEVneP2CtSIiRFhkWesS6Le8DGV6NzBA/+aLo
H7oW3IU5jOd5IYakDwPNwxqM6wJbJTmI1akI/8V4o5wG1ea3Zs9ML8GA5Hl2itI3AEhy57p5adeo
iyCWnOCsYUKIXG22T2OFcJ2dQKlbNOTlxLMp7HgAkEMiIEarGGUjQdoEn5aFu9c6NcGRdHIY+ieg
ghM3DE64yjpnkfJxzKEenHZBZrrjPqtcuztPbpoTO1JA3jJXl/TC0ikHB2udg3ZBjYRbhcWNbq0W
2YGbKA4tO1i8E+cJMdRAhvKgeEwWAxsLR3gpiJNrvfataBKypP0CsbO2R1T3O1yFpvA34Yjb5QFx
WtGRklC54wE8BEBl09HjZvaj7CIpLNSYEvPLuBdmUQhIDcUSbsO2ONZpy3y7ySemFhDqjgXk8Z1k
8/q6QKeNQyfNjvmYP6QVcQ1IpgvwWE17LGz5TL6ZcyhQh8YWYbVHDEKZpilOsxcCSpDBLyI/MQ66
whyI7WWeX8a0xidSjXSZCh1oIyL05qn/PqlEMrmSr9Bdxo3dR5tSOWCly2e8uGA5I6s4k3H0Jc3b
Yeck5fygw3nE62LUh5mP1HCA+XlBh38goG4I7eaAgPZe6PyZIu17W+XThR5bIG1leq2znmiWeXpt
6/Fci7Y5liT2ovNytkqTiDXy9L3oOtCkgHVuiSZq49IunztiV7bEEbXErIhviCj8q9rXya2MUEii
pcG3Ms+AP51kCyaqPLjCtWKlxY1NKQcRDflkijgKEb/ILkGSD1fhJO1dAOHkhP4VypXSXkwvnW30
CHMQuZXAvAvhPGQ8flbDsuy63jPu05VV3xTpt8RJ2hvPmB68KVfw5HAoseHN11jm/NiUaBfn3PRj
p10AQTTevJ9Czz3xXMj2w2BHe1hk7sbLjOggfPmt9coabiPgf9SVTBdTYHAb8iO/tEheGPkhgU9T
lgkEII3btnXqeGymZeNpgxQlU6DMN0Y0+rZ6tLwGdlFVPhtVctKaXUA9dkRaT8aLh8OL2FJVnLPe
gwrUufl3B/3Y51kHm8Ka4qKUbsmGqIeThCMOzDXBHRc+Q0uWMpDR0Ttr43uLShlJIK23F7e419Pt
UAi9bMh5Mo52ac73iyWYEFdu2d3S/tcNFG9ITV1o+3unzQkkCJJg3FiM3B6x/U2IzCydHvKitc/N
nA5sUR3gdVsuLMSPCafnXPXMARMhbgk5tVhPcFmkkaisOFRq+dp3PFR3aeAu53nKm6M9yUWiTOPS
UhtQzGuSDO+WxN9RTt/hv0rY6aQ07n01z9n3BYwZ95pkixfDPe3ktY0x43UEDy3s1QSj95aozYus
iWogjmGHfsywD2ww+M1Kyaa3IFICDs4bfEObjUuKwsYRIOI7vXbavbNDn8gYNGWFYof6k8LG+hzk
wNCrwnjjlnqxSZNgMVS2TJ0mUpZ695qQuXI7VCw/G4OImzEksMfu8ucaKjkA0c7Lr+xhETRFs3a2
FJHWLbPCJ6SOJVKdyIkuO7dqz1aEOj1wxKVA2HjvOpHxwFAqeLMZ3G7TMmLkU0cDYRtpxm2MKtXe
JW1DaHu1mETPLO2OpBMA+KCur/FUtUCb8mbPMHQ5DOtdi+zUv6u1wDPWM8s08PkwOha3iMExnCzj
UVpmhhVj1Q71oQ6xGfrNHeiW12ZuvaMLn+p9sMc7IhvRIIGGJ0AinD75Hwol0zR2tiNObkXwUzlb
Dus2q5u+J1TSO2C9xgWlesbED01UA7xpx/4Q5z0zRKRVFs+DcLnOkavdaMMUV0uOR7dZZtYWDeIo
gqy4tQL7Y4+ZHrKIvAWSR1mUFsUcw0A7sEoeeAZPV8wJg43G8gwpFlSiya7pNJVQvH1yCGJW6Pcz
cZBQl1pSMlZBGb9bdOyVOkDFjE4slZJNS2sZY2Ku35dVnGauc8J5Fax1Y0lV/qFii0J7fMQIEG2d
kL66d6toy/r3RFuJcN/ovqs+eGJL1u50hBLPHLt8I5eIFa27Oosale3nuVZno+y/ilJfVVMyo2LG
4qMl0H9Ios2NTWWCZJUvtjGXYi9XYZ5eJXrGKtbrcYOxu4XOF6Z0lQZec2IOC9YudcnzrvcJsWKT
2azyv6ycPtvQ2i68LqH1WBoIkY5c0JEW1iXXAPvjVT0oy/L77FfRXnX6M8OnNQ9i1RkWi5dc4VhN
6D8LHv2ERH0hBUBuTFLjbpPSTjbZKlWULsifbG33fTN9RaX3vYv6b+6UV/vKo2AQyn2pSWTb1OXI
Pivkr9KDO8QdUsrvA1iuDf5fBPI8RJEHoJsEUVXcRXbbncwPRWU58TEgtJzrBN+q4O7iKSVewqXl
wJichzxnGiBSNSPfCXmu+3n1xV5VnPWq55zdGsaoCIgejIxmz/StvoSDLXfQL92NcJYvI/z9WDCd
iWXEe5AE4exMhg3P7E/1bemM0HYbzQwkzoKZEDZZdrx9MZXFK7d9OV2tq5nHPvD4WWAFD8NMElel
sKFVUXo3Y4++9YBCvQaF/8BMkpioKr12GXsfWYGnzkZlRbfzxoQPOssz9ynySrlRnj+gGA53rk7I
Y+3HgBCGWUgk0qtaN/cFuNy0tb96jWq87cL3vApd2xth6elo0oEe8eWGn2U5mq8zKmGgTNONNh2j
2AmRiWPRTQ5jdV+w2SFajidrNwlUissGYmm0ks3AOXVmfQ8c1buXGMjMDU9NgxLDxpXvuWP1fRwA
pKw3asp3ysQVXEIw+IeuszxumcafYMONkcYIaXPML6nzANyeWKPJvIQWVHwakQ19adL+XMks0dui
zfBCp85XlnlEliG7ekfYjkWExjUqoQHO6tR9qMjzMmOao7xFvZur3rz7UJ6vGvRkVaPTYFeHqPFv
celcJG0wBewO7FYdSdUruJx9EXxN0gAVAZBUFgxe/uJ1cIct6G9brBnVzstBUXcAS8mX6HFAt5PT
3g+OO+SE1ZnjtSrtkM1IAlkkmLoZSegQEm0j1IiGf1XzpxZUyWRV+Vur3h8a2XiYBt84FF6R1Ic+
qPIXnmblC0fc/KnC8/ZQFlNyNIsgP5mepOJNev/cN8Io4twgWQrGlqyeUzsvlgtgwXUc6Ww4RwZG
dTpSWWLCq6KzvXodslpZZazcpmNrwWwIhN5wN2k1vZihBvPcSXEMx5bZRVFMN26aDU+t4w0l919b
gHxkllHWHq061ZV+joaJHSvtwyixSPCE3dAnEcKro87xmdZ1i9jlBffDBaw2bOZMHfwnmYTa/wRs
GneJCBUnKxSriBtxwIOyDL5Kd27p+tewmf8ve2fS5LaxZeH/0nu8QCbmRW8IglOxBlaVSiptECWV
hBlIzMOv7w+Uum3Zbjter9uOkBXWQBIEMm/ee8534lesxjQYK6d/ypcSoQp2He02L6fkNSyscteE
LkGRxTLlR7wmDI7dNCIGycw0d9OuRho9nMLLwG89TAXLa1N4T9AWCHAp6/5LuVpytNhJd3a3RDcE
L6G1u/p3umIongWe8w1aEbkfV6MP2Qz1bi46Ul6iOveVtuTtxmqUtRtXqxAD8abZWktIbvWQZMGQ
iv5clKA9THK+DuhrogeJimN+dJ20qe4Ba03W1osmvbYzH5qHpFgoVOzNrUuAlpRYSyk3E7cn58Sp
R/Op6iI7Y5Dbz5XrEHmUenHhbcZ0HogcnEyNCRjpv1i4CJQ02ph1dHKxVFSYtw5dbFsfpYtyeLuM
BN0caAcq8YWmdLjVtTSMzskA7m/DLdykgXSjcYsTlnEUCQPwTWLyos9Dp6lDT8/ocao7zgKi1vYL
gZfboZu1E8E+6khAPFaezkjOKrUS8tN753vRVObXH3FUDSCSdD8V6rnNgHW/CrHSCExvvO14HnGq
Lou1tYkN+Va5KjrYfUEJLrpY8+ukcV5oDulBYrM6B/Rms10r2+VNp7C+GZG5bXLCTCpH6fuKv/a0
yLq7KJWoT/FkFo/jKKzTopLRl4WpthY6pNVDUEAAyfDAXFOvdKzve8Dtwm+atLozSRvd4nc0P7RU
kUE3TZ6/lCINIvY6inOcNJNsuqDPnaOmymFbcXB/7KLE2zWZLt8sczIPRdaoTZjhb8krpOQOzeN9
EhnkHVarmiEp7DXGJh6/5B4mNNwu5JvGHvFdSPt5J4zxydVSUs6HWuQ1pRRBwBlHWkbYDHgD7hvS
x7zJCuo543zDTalvMAXFwQj6PvBytnGYuNnnlpp+U3lOcdCS0ECFz05SjnaJ0TzvWl/TtRnVPFZ+
cgfwJniOdn/N6yJi7dBjOb6dsr70ragEkAF6KA/yOY6/EW5k3oYhZHPQwITeVhrPbsvC36vUn3MC
kJcGeWGTdQObzjhf4k737oYpyghYT+xDZidWIHPEM3pb0VjTxYPrggNuW1SwDNnx8zhlittnze9T
onbvMq2G2lzoWSDy0CT60DNeMcARRjau4q8CUeOrptpXXFnZJh7cvYlwkXBONbzDNW4PEGeWI3kJ
OdePHiGSIZKVppIu4UwDd0Pz3t7aS47Iz4iDgW9rw5j4E3LgG5DxW5hE72Waf2pTMlhySeM4AF2B
YmsyjIABj9zkqCFPadLCC8KCtyki3fapmYXuayVDxWBVGfSROdVnzDMld0vr7AUMAl82ZnLOSeZ7
oP9AuHNv4vMMBqUPd21HvY1ukgjltf0zua06enWdBwtSikOUuvq3seSIlnbpcCjMDiisVkvMGA4d
AdV87eKpO2EFh+OH9OdEX2tLsIJCtmSjZJBadpJOMVyueWlRUn/hvEYpNpeEQ5lLWhzLXpFzEQ3t
/JEJDznvw3hrgCR4oZR6TjTY7k7TOTexjY6pnhYKxyo+huNSYyPttYZcwv6zJ+rbEebEJk7lC1xd
wEiDiXINBpCP0tH9GE90040VcIzpavBxblnPgDHRaC2ZJEUpPida+UqCV3uY2/ipscV32HvUfyTr
ApaBBxJXEr2myI/GUJrvLRaprR41xlZpxcvkuMZ3pUgP3EVgJzG9YT/zESH3IBXt4tGdO/KkqihF
C6nc8POg9xlinmFoaFDM42ONyazCMROGtJ2IMNhZrTnTaS8KwRlnwtGCEPWxZMECPmRYlc3HC51+
pU53Gk9CEdh61pyA4m9GQoImjjrhlq9KObfgEtT9APQGvSs9anQ6WSI2xFzkZTDADW6DXo/VHQN5
98hP+KWsdL8D2H8004rFw02QeCo9O80Wm6swxq9hpvp6n4EWCFBB4IR1UKVY+XSC60uisC5eGrYk
Pxd4THu59gJVGfmz10PZEfYqoyNdKkywa0mLShhMB0sCWctoC9OqPzhD/Tlyl9PEDe+jQtBJ89Vu
wWlT6+TMX3BsnZTAW/1bBh4Rf9MGG03rl5T62JImSZhTfW6i4eKl6LMKwDM9YVeBN5WX2sQaQ2PG
IfAZv6HzPwl5zlJo96M0PybCbG+6UFNbtDsAqXOj3Me6ioKkKgTDew5njdW3aPUjnc4Fma96Zr3/
lqIHtCVBKDp/ziKS/yR5DcQmIEiB//MltAbxNLpWtrUnzIs+DuPxm9U6wxNrHz4g2yI5Ta9hydQ0
oyB5+yIkaYQANY0+C6juoNEBYXt2eQutCLjCYhB+KAFW94ETiTXwWo+zU83+KBC77LJkVm+tIJLW
ck2jYE6xLF8xSIWTL+ZMe1vjSe4dPdcOKRtegz3WmQ4uxNizwxjMZw6dxlvU0qcGrWFgEDH5hTqL
RytSkL9S4d5XIwF/Sxf3X7XE/h5dQ/68WGtPNW3oyzIRrm4lgKP934L+pIzN5a6Z3Aqh7m9Bf15n
qNWJae/WwbEDw4cMQiWTEgYcs1x8qzLmvBBqd5DxLaagbAaHJBye58j6QIVg/Yj+Q9PUHXgOZkhq
LZllnvsyujYrfFzKp0jPlU/W8b0r2vCtmEqUckXoMlFbAwHzVatzM0qKmvM1FbDuBhK/Ta+bdtdo
wCZN7P5klqw/G7tjVLz/U0pgRijRpuRwQ3k3VgoGKPSql0aZ9Q2BD4A64go2HUpXenyzSkPg16lA
682o6m5MLJ0YIMDKWxdE7Mc+6/L/JVfQWa2vvq5G/Hp1meCaU2CI2LAICEFvSMXEYA70dcfgrOnW
SohV5vV3gYNZn3YH5cZIpn6XOhhp+eATQzU9Wb3qaD7pmbIRD6FlVFLzXnKk++9WjIl2W0ZhNCEK
m+fHORsmsop40ILlGkHotBy8J8kWTQn6+xxCRgSQZSnrF6Z+J0Vuy9ZS/biPkrC+ECYtP6Zg3act
YVGMPxtLPLTkhzDv+y2pkLWseshxrn/8kVYIQrYno8Bzb5tZ6z6iHdfv9GKc91LB7+Hw2hqX1nKd
x7/MMexad2AQadAMRbzFU1qVLKubwnJx5LltjBv/T3GGRuNF6R0dfqTEf4ozbFRBcnfXROl2ytqH
JWrNdGPPSgarjP1ZX5zolJoslWUez9/zNeqQPDcKtcXucF7QYLqLPWJTyWRLyFmzrWo3auy6ESE4
bPZjteWwkxCM0qZ7paFmRExY3DSg2Y7DqHcBtJXsrASCEyp7oZ+rpRo/kCPSTayyyL5ibTR9uzGv
GbPaRWW1urPm0T0UcCUCiFtqP7ZAHAwFag19wdjdXsMT6d4S/gye/lmnvjs3VT3uenDfB9qZDl0a
LX6cY7QJ1xjFiVmGH6m2uO0776s2CBGwOOFEjy1SUNZMRW/g0TBSGQdJbRyrWLgPEDSQnJMVdLI1
Zxk3cALgF3Dq6KkYffrNzamFQHaLUSQ7Q938UrqTCAYgM7vUnd8imFq+NBFOhW5KW1GEBb2yZn6B
oRDunIY012sUo+aa7j7Gx+APv+UxVlkJ/dGDoRcbk9jaQnc2nVVRy+pL85rk5uxzVFgOczPZCHNF
2z+4TkUfWHh5vv1dTOMcs9kQOlBl9LOG7Kw59Xa0GN/QY/2Z1ygyF+8TGncrW/j/enhpjWm+Hwm/
2Mghe/Fa+cmIWKwZ+gaJaSwr0u/NKxGSehEDj5FROiJ3Yh1RR1c7KTLzMJoIDaMUt4fiqGBaiB16
OBNRtNzjWTcYjdcfgQKmD0hBDqFGBk1dd/thMYfP/5MAiWJO3+kLFfL0Swxk4aX1ZezrS1/JfEad
77K1i/UgGOfavWsQ+QlWJz7WpS7PBAq9m5rT3xKS2wAJmkwIPAvgKtMzP3UjrMWomM6DUtOxyX8C
ZP9/bP0PY2sh9TXD7X8fW0NvbqJftWU//8zPwTUCMkbMnOqcHwAdA/Hi+K3t/vM/NNf6F8E9ptSB
TBurVoxf+m+6DrPyn4NqQ/8XQTQ0xIDqICpz5b8zp3b1P6oVPWyp/As2WeC0wrb4q5SMNizsNxJQ
6PpHr2MWT6BzGIPYjv6J+v6JVsCh1Pv6k1uITzPH713vzDvyxE8dav9g4YRyNMZiPra5t7Ab09fy
eszRzawzVdRqskcGr/k+4wXcVrHjbiu31Uk2ztVn9Jv6oybRvCzrsmuQluYDviHlizNW0EfOIx0Y
94ECY0tSSXFTjhz74YliUyLzIWg1KbfzaDYnvWsQchb3cyuJjetMBmk5N33rLBe6rta2ckaijuax
f5aJxwlonkIwfnS/TE1cxsWwsHJHH5HUsCqAttk7RR7fdnoiblJw8r6ul8mDsNsmsAgSecCXEhD0
/dJP9GsNYJZzbVuHwhneKnQzm8EYRqCiavqSlF50w0SPYFwKxA1Z0PaeFhsh6mbj7EcoZ/7IoSPI
DeOd8DUDbgIakyRj+MeZ400OMx3mjlgxLwPSluC3AaCQ7JeujMCL0DKKnfKxqNtdl8/A0LT7cOZk
2mv1dFAGfJHJqcSjp2T+qYP7+tEa0l3hjZdFdMVjRhLmOcnx/mxSF1yAz0z2tlFGNNI1GnS8WnX2
qV+q5JIZsXk0WoIZiZefYB5GQ/NUG3AMED5YN2Y2sylphdUcIoSGZ1ijyV1T5eMnsELtO01172Uq
jAwve9XTjWJgeY4HDyIdwJQj/F/34ozEQ5YErEScxQfr0BmY1pwkdTh9EcnxUmaldWNhNWTil8P0
Kxe2jEXkVUbKvaJ+pv7dAigTXDxP9oLTKtmJrVTlqaHpTgVU6eUJTGy/5oOQZ0bgSTbSkUKhfqcT
TXwzkwa6k6OTfnbkgPFvCqMysCSWvysllGxcooaKpHoSGZ4Aw0a1a45YUSKccZ+VCpFJ0btIiCnP
FkFamjYFnW5MD+ywyV2PEglfB80CKHxYjWAUNAfQpkjCrWSYaT+7kJF1I3+Zk1n/0vSOcdQgkrKt
tx1XtSGrrolxGnIBNX+Ah8GepuviGadmeZrWPElmaHO/1XGOPkjUFy8WZ7DsYGE1BGxD5Mujg9gT
DTuZUI+Z3Vc3bWVxdDdmvgfl5vyFopviOsibpES3wG4+dQXGQZ6/fUIL39lMdDEQ3SX0LR30cy+U
PckdCLf2Ha7qsCfvSX0jHho7JCFg99d3lhIJ7+6YDK5uCyQ5F3hY+MCsxrJ9XHDuxZy4B02tK77n
RWzCoyr75zY1GZ+Q0mnjGOODg5Ol6O2t7oND5/c7KLlUHq2BRWTrMtpnjNMO+3Q008/XOy1FDACY
kNF0zzxMWjeED3uBS57i/ahglW+op3um9nX+QrtSfhwZ7TJgLUzn0liReawyzJliovRrGuZLMupJ
byVZkFWvN8uTVix8azIc1Q7OUPdOfGlyV8JP4ZCDXLZGAPsYgqZ6HGuNXBjuSJQunhV+9iSdw9Eq
CC8n24q/aHB5RWfGmpJH8ZprUw/7xU6rpzrC3FLlq4d6/bZofldPSUQz2W+zsOyojQbXr1Ku3OyY
1lnUrRlubJc89y2hYcmmH+fId/KJu37hh8R1XwlcnJGVVInPbOyuLeO7oZ4fkFE+DzVW3cGqPpeQ
KqMCtRu1vez6e32MHmJEqZu8iw9F2ny3Ru/GMyrOSIiGS+k8Tq2xM4Z4j5z1JWpae2vpk3u24V9t
VAh4rdWYVs2VjxqleuzYx/qNNKp+LxJhP5oqpRmb4pIaWMMz4cJzdxRKWgcALvSLu2QCqDSl2zas
TkbphA8C2tu9mCTwwiqaU7xFdrwnqSrduLiKA2j2zBYJ4T0MA8fODtNyvNWASZagrYZafmPMgusp
TtRNuvRtUEoaPoa0vjaiO5SudSEHOfcz4EL36HbDVy2Sn1rNJSsbO9NSQu2FAtZtirkcAq0wZqxt
hGZuoGMOvrLt6qlHoAYMLF3eEa34uJ9LGl4rZbNDm5L2CvdutjfSDpaLtfAFJ7bYTTWKmZTE6XNm
iw/2TNvR8epjNs3FOhg1DiOL8FZ3exVMZRZudK8/qWhRO40mQw2mmoZnpZ/h3Dunhht/n6K02OLQ
etVFQcJ8QZSRmL8bs3pUJBB+S6STHKB86p8dW6u2IsueO9GmbzNoLUKMsKskRg2ttedAA/qxOwEo
NmvCTxfWA2PIaVEuBopXlzPLgq3HC5/qAs8mgTiBXjLpn+JmVAEBw0nn01Ncx9RL0wfYTcpzJWzk
C2N24bZqAt0OBQ3S2QxAPJUVgiQtPWRlprZmq9E3FlJ9ay2ZETwsafNS4htKvfV5Re/UJRU1FcMn
PUTVpVfs9p6srT3Wnq+6qb/WsbHX5zqkh6bmjWHQ/8Ock/mU6tptY1ofQrLg/TViDtxYGX2CMEw7
i2D1Dg/LeWROE1AkuO9gM4ZHx0rEh2yu1xrCQXjQmvZ8GrtwRIgr6d7TTU0/pE6fwc0xi28tnLBv
XdMgdG5oEJURBK1q0IYde/q4y1r+bMSoAkCOfueEaXWBDg34La6prEjJ22CFc+/UoMbPSAPyz6MU
xt1qqfMtKqwNLbJlm/MUsZJ3Se/4cYmmAHqW63HgTKPzACZXnFoZimkTt4t9h/6832E9g6/V4YHt
7Em7t9EC+vTIJ4QnqBP9sEEtM2Rpf3asBtkR4CoOn7WlwOQsI9vg1Fd3FV6JkwlFN0BksuKi6/DF
qxPcxqDQ0gDJVgly0Su1O/I8rSOVQkY7vKqDZAL0DX2vwtzZTN/LQsp7UUTdh7FJxgMw+vqjXdPX
y1kLt9Hi0XR2xnarmQgrdGc5ZgVVWDEM2kmvWMCUkPWhCpHJKUZQfhqS10YHC0VTndf72cy/OC2w
vbYJx/vM1vTbJiybHdmNzb6GVeT3RPzRymlupyrdmZq2j2Rk+7m7vKZNUylG2kMOxJnZxCJA4yVx
m+8K/GY+EBhzv1TLLbgFhDcVFiZa2ysxuR0elowaLxuqlp1rcMlxrfOnOm3Hg2tk2qvReXeiVO23
0WEyV9tzt/OUHe16UtcwUNQISwCSb+Em8ogTYI2yS39kB63uSwfJg1pxYa0+Wi+GmvAMTpxIjeVp
tg0H9oMU+N/ddD+XYm+PSUs3GH/TUEXf6A7tjY4tDxFqzggk7YOJALdTgqTD72G7oUsNz0lUP5oo
AYg0c9PjvBAqH6Zu7HWrTD0TgW0sj17G6ipunF6zkyFIiawXap9BTINjaKccumXfjshJMAcMKOQ0
AutfoqhG/Zl5Or0C3xnzeTpO1L/L2aJUYWgQFZkV4JQatpOrJLPnHllcvmHf7qttYaNd3bTREM9f
48wdB3Njo/aTh3UUPBXmRYNdtytKr/cjsx+fQqIOAjEv7V2U0sRhqGPeEhv7qV4M2mTKfkxQsvvp
0nWPsVdKendWel87yvrCeGr2U1kuX0QrutuxQNafiOFbE80yGC053LrDYGwd1zFPJqw5Vj98ed6Y
y/PIyO4xolTBo94bW1L7PpsuAtYaR/Hb2EUzNs0GvCEU+VNBw5Yuk05iMmwD5HPI4kI6gmyVKico
wUz2On5wD2bUxsrMm8Wg0M7z9N2R47Bhftnc2SLzcyaw6HDabdgl3olEVdwZmHEo+qO56b7o5ti9
O5mFpXYsW+p4mrYGk7ljk3pP+tDTC62pZbRtxigfaWLothQJWPxNMmMvYCGWjznw/ds2Lr5yAI0Q
Rci6p3HcLdbNXIYVsq34a10U7PpAKN6dAYsGzPuu2/VlMuwaoTevlC92QJdveiTRZPGpgR6NJIUq
lNKfo0sKWEw3vXrrzAtPWl+OLzb52Te1Msrzkg9o+2gqQ3MrkdsAXDPiL2XdMtMJ02TawYFmKyD7
FoQ8R0Oam2Puue9upLNwDJElHoGMuR+7xoEWYhTllwWNMCLb0FjH6qWzctr1sXwuKfoDrAAu2pGu
2rUsjFgclmMyhyVaZw5ZWISzuyRClCs6HMZ27RAxbeHK8BuylJnu8OL3kCKm+7QioxbVqdc9GxLe
RBh0VV2S9rPqBzpkmYiBaU8xymdC2dTt8D1ui+LgGF1yaGroFmSYfssm6PDtHELZNtpz1gAGU1Hj
PhJTPjxEcacejRRPRDaikFxSU9tYEMcC/BfMrjwXtn+cfODgB6/RAx2qpYV7zO1VPPf/tsKyS7r5
H7o+BiObvwWBfXxrY4qFrip/cSz8+GM/Gz/49P4FtQsBmEXqMQoavAc/Gz8Qgv7lGLaB0VDSf/lv
P6EHURk14EpWsgm+M3gLP3tApvUv6LxYCfEfYgUUvLt/w6ywtnh+cxPCqkIfgqeRkEGcCivV+dcW
ENtazWmgR0Y6sAj4ZTL1F7jDnQ1es24//64d9hfmxV+9udcXg97sIRYjt5ePu9omfocBi6xptf91
5oXccPVampV8nmkRvWQJ6inmpbp6xXJgvnlD2hz+Dy9tEIi3QrlsLuqvL51omZg6VCWXxZt4aWJF
CeKaCW4NnN4WzwZNbrYdvYF50IYYC388PeSy/bVt81c61/rJHQnZlJXcRf4r/vjy0kii0sNYdckB
cKLv1MjSRsraL+qUVOvLTaSO/EMOoOQe+cN3y4tyq5io0GzhXF0qv7vcpSrDPoKueIFPIZ9LqCpH
iXKfDHk8Ai9XFoeZGLw4IbRNu8ew3b3bip5CDtnT8Gu7SvYKK+R0aCFlhsHCjvEGoIvxLxNWXdwM
KkTQldB/yjdAUQqGmDgpjH/wVP/qJP9x7ahokMFKS+iG+QeYmzu6Rj+RGnIRPbOxrM+JhsipGXZu
O4nnHBjozbQCZP7+hvm1N/rzVT0eD8flweC/v94wFJBOOlmNuHDeEM+ochJ0fWX8XU8nhmsryc0y
lbhDt8sWcPX3//3r//nBdAzhon+gLcx988dnZfC8MquzSVzsK1BqfWAY7wNzGmrxDyGr4i9uFHDv
PFnuGnZI++/XzxrOTlfqei8uZuLBymKGm+1AhdLvIBmkfZ8y03wjpWB9OnUoKMoZeVi01Jke0oy+
zr//wQ3dZLUU0An/dNdKU6u8Wg/1S9/VPCQmzOrqzIRVX/OTMu//8JA4LHs8l/zrWH+MYRMq1RPN
GOQFEAi5P3MMG+hKxboy0hD80wEdWhoIJOBQpMIcuSsGb0JskQptRKi1VDeaDYMoQoJPOIwu3XOX
DV5wJavF8UDvFgQ7TxnDzmk8eRgM893fX7IrVuDXVdxxGB0wW2Cr8Lhjf/0C0zwKexez0IWWJ3i5
xQHxcr1vrr28pik0Djoj697MBbwSX8CGgmFrZ68+qCt7LclMoDXLuKC5EaHevl85an//Pv9iFVzd
esxAiPU1Lf0Pb1Nj9jtA6RUXa3G4INfLLBQwBKEDeQJM80939rqD/rIEYmrlrmbPhUOBJfCPr1h0
kUz1bG4vI2SeG6srrLcQqR0/EF2OPIBGbWPYdDbDJIQOgSuV7g1cae8p6TPoHEY5d+9GRQcWRyuV
usZDkBBZywSOe+J6iVp2DRsf6goXGhwayivTUoOGcpSMQ+8W+kg3f38Z+QR//Fh8Er5nKAAmFIA/
MQAWN/OcOpmjS8Vd4gO3X5pt6miUpUaOLqNEAz6uDXT0vsTO5zRUB1DvOy+OUJDl/N26P0/K82Uq
cUOs2WXDEmndIbZbCLOliFB5aaGFbBsrHfYHPR41CCoc3re6U1XNZozmFS3jOQQm6lLnyeAI2Ads
AeSYYVmAI+2q8gI8Pr5x2yI9wzWu7oY0ZFDrgvXlbCtzuL6zk90LstC/6lkrtrjVUAVIEPSK9zfE
77NVzTbTprjcJh3794lI6sLY1EaqHmodgAD6evjbG9DEdL+c2KVl5TiaeunLHJybETrOk+fVMaef
NMrsDT27GuaVFTX00UmUbHy7k+6XWkP645dF22WHZVo6vI30fJujBNyjHUNXmGfawQyN1BCedLLw
nuZxEGjdOfQ2F23E7woEqistpPwywwwBdk89OFGRI3QkLSrcuimgviju2XYz7hEHn1y0sSv8kXUR
YxikNPACh/MG766yrDdMUZQJ14hGSkAWYgLioF0l84qMos8Rb0MDVY0LsZlWIJZt54wuMOvZmQVT
foXKtdcddYJyk863tlHVZ23yXLGL5qqIkekkk3vErUk/OPO6ry6mOVxdYAzAe6cNUcpFdNdIs9k1
HmKNGqPkqOvLJ9G6yUki+d4Sqyq/zJyl0B2tkU/wwnaSk8/nwmutT9Xa0aptFb9zo0zfoj5MO5LV
onKr93w9fhx2uMMj4jgL4Qy0K6NCNzjoldOESUnTiBQgtdOsUV5OVhKpZ81yk+xmKN02Y1pQ5l7x
7AwhoHtugHyunG3hFGBsN91sOqsMyQRuI/kvXhBpIYE2E03Em2TGkFZs3Ux46pMWD7bB281SZuwz
QVvuDnIrxc+C3x7HBVe61Ogc6xH9WFZ7jUmNO65ZW/lId7GIwvwDZDy+sTns2BTmGabM4KxgMWQH
DE9m7kqSLwSbqVnW/B3MidSr17R8s7ZYpwm47jRGjI27HT1Sf9amIV99NqhX0N+4SxwXnPYyA3MM
rXEE9axTr0I7ZDUqAFFeUbKjZNTWAqI72j0QK81kHXLMghlCAw1wU/OEutBADP56epm8OU4csD+d
KHzpV7pQRov1hvarfK711RWA8cY7d93A+sxyhrcoN70i2gq68Bj3FgS4HL8pfBiW8z8WBw3GzrW4
OI1kp4bFaPA7mlikd6iQWGKYzbhn2pAQKJ1qemQKzaaeaKyo1zWSGs49hxabqJPSwmca3b7X3nop
vRWu2bY9P72+2wLddIq81GQaRtkpAXsk80N9rUWyHPHlfYlS+xBFxID1C9/IYFIZznJkWiawp0mZ
zo99wnHDyFP5nIZyegANCkbtih+cJddeFDMfikeSV8rigQlXxc2Qrj9DxoILOIKiftSzAczomgfg
reWRWoFq1+QuUPZUv0zK5sdrobBkNVi1K4hIrgOvtM35amvezCTd9N00codrseIHK6jBd3DLaVVU
oX7XYiKtztxGfHdyfbdlVbPxtDA2r4xSPdUpwquq9mhlZOqVCS67+ZxJ2K6h9KjSYcTA/6JFVR2h
LvHOcT9TQVXVSIpTrTUIra8FDhpZL8iWtHv/cfi5Yonm1FshaBZNVd/EzwZrERSFeTtCvICwYplv
sWPAlmPb4Q0qSWbkxtXKMQ0QWoVfci3mxcvrIyRCi1i5YaLdsS3ZebptM15ccwR46rV8R4osBSyj
TIvxCDdBaTLs3VbrUSWLi2QvZrITWAaAv/JN39Grd458nOoGsxK9vbnHIqfFOe8Wa2RzGEd2XDzN
1OWY3+90DEY43swVt4dLbHow6fj3t2okrgAlVsgZUDANAOCyBt0HLv+cZWhxA3do7flRuEywyZh/
TjMXsXZHCtD+B1wQYbz1RnQE13RCi8YRYF0Espzm15yUXJU8S6AIzpZxrD2eMGWvL1+MsGDT9akn
TVK9pkhGb7yVnEq5Xx/q0OBbTWTrbvHcrtdh1Pn1FT8LN2R6uCbJYUXiedWh0QQywYK8jYA1npum
5Z1c70RzSgV2ioQlwBLU6IFoGBxQ09YAArwpJB/PrdYvKK1NliZZhfWhaIT3QsdqQtfIcbQNkMlR
FJERRg0kGVw8AWy13ow0Fc9SczkDoFZiHD+tBG2CDZBlSKRrG9Z5WLB4PdWrHSke9FqMwHzXT8hO
RI3c4uLfNBU0z+uBdxk1unVkPT0TCYQQnaVb34wcaZ/7mv+JhpOv5TpOXwDzgA5boVnXbXNedO4o
lZPhabgxn32xlHcupasBFJbFlmQ/TjLrVWvUwEQxHUW+bJv17cQ2nyJLQvNN9aRT+uVKYMuzcnrU
lxkTu2MsxCq22F43VhuxHAH8J1j3iuqK24aon5hbnijUdWAcJyEo8XFw6sOcWIjELa/PrcepIakI
d8aKHtQa3Xozp3Vl4Xd7L+XEAD/PexOgb4Wr3oOzmePHt/nTeR/L+knocuQWYbyDPW69r+jgr2sf
M1BtX0UQSWkfD9F6JEefTKe14J64XoAfa9F6cB9SybqwLqyEXLDjXO9dtKRsa1OnmsPkJPOXhm3o
cr0/TUYa+5RGwH4oazO7dXqXW8TV++YAc3Y4xbSZ3Z83BK1497tyMLf4hC42EPFKclWumGqSmJ+v
d4U9ZTwU+EgZ9MIb3ouarPHUWrsNzIfhBxG7IZgbWSUr0bxkRMTWkiZEA5SGOLn1A2ljwd2HCDn3
G3Pk12YKoWbL2ZPcapOPwC0nnq3YrohTySOeLCes2WEcCJ+7SlHaA6BjtTcScQ9fablwUuem1iFU
9X4H1QJHF8+XmXXkilShw8VGj75u313KVTJwTdEMYgOCwxAZCHLU0LEoVFEzhLtac0GXlleCaNp3
PGZGPfO6MAqY3F8pzIqj2ou3YkwjC0Uhpi+mO5tRkl62Tc0GsBYsbrU8DcJNpkPXD+RPMpMlePKa
X4lxmXdhuauqAfwDd7suwqV57ixUIkFEDOKLPqqVyYtzZcejMj4gInKeencq7qVhfY21EM4q2vyD
lddr4iLPDmGc6Xdg4tXGkXW4YURQZv5QGTzAE9sjUGd2pJmutY/SqPOoUGb7JUtJFbQSEk83lTUu
GKv71NitY99hE9VVh0lnKo6JUumtYbZC+OyaxZGT/XQoUTDOPhCkErexUX33plW6Y8uJxZAikwTO
VuKDnaa200/1uvifcLLRiESwQU3VmxUnmLzMjxoJss8oVPnq6jwctacoZdLgN4Xix9pbhSaGtUwP
dABHbOMjCw55N0ScDdQ4xVrS1bGLAiZiVp5Pteb3RBbdXA/KGQjOm9Hw1oRQAiKZxDW8vXBxaDZh
VB63ZjjyTqfrZhLGrNuLlVQZ3IgVoJh5CvD4uocLTHgvoRtyB10PhpEelerEKEex5HWsaZU9OSHR
SFNzgFgA9dFDdoI2RdxFk+WBFe3ad7lAJ8E3aR45g/G9lrZk/0QRz91aRKxWyxpYMPDKjClZIr00
mx4WIhAYLdclz0S+1ptrEve5IJu72IaK9tU4meo1w7YM5Ix1r6l5hDoIt/skxDoElHVnr3wVRkI4
JBHJxfFBWqQwmYNNVinacZ64bk2CJdDUO2s/KowamqXGzlxgZgG57/wXe+exHMeSZdtfeT8QZSE8
lFnbG6TOhJYEMQkDBUJLD/31vTx5q4pIooG+Ne5Bl/U1kpkZyuP4OXuvjTRrz4ZtbHeS/Q2W0K7Z
EifabWDD4Oz3ZGu/6Iik7qFX0LKzfVYl+jycEjcBeg91xmQnkTu8WJx+cu4jOtYYopFEHcn1zRyq
5eBYMtt6/gqfFhwbpm59E6Y5ekSmq+aGb47uo6YbH8aIkWOExecBC2+6kjwhrM7sduYNL0RllGHC
AnFKVNo13M+SsdzsF97aaqxxZ4a29r2rLPtH4nekClNVAlMZ5eNgDtD6qatIKKtQMxoUZduM5sqT
QgFBiA+CDNhCXST1uian4GBbY3wZu6QjhIkTf8mrNrwj1rwfl12eTatU2vp28uzp0req4CGCJ/e9
rCc+CZYIM10cU354PRcaO9ZMDwdDGaxBRhCd+lfAwv/pej+Z8Hgo/H5rwPzBjVz9zF6Gl+bn7+Od
X//mr+mOS2QLwmpCWSAyOkpT+6/pDn/EgJipj3OcsZj0p/6p6vVhTtFYRjoibFc/wiT/qfL1/sGm
noYV4yLTY3Jo/Z0Jj+FDwfytCWYzRLIdQ4EWKVcV3Oqk7ZYmiJPYAVGhOFP01Catso5XFmBDsD/l
cnSbvN1U6MKy0pyHJXoyNqUYD4tAr5iok8a0mK3ZeArijqj1gl7Bknjb4efYOtrK48OXJEijFwvb
68LTNHhG2bPQ2NValI+bIvR5dVt6uG5G32FnL5AiYf227xLYCufj2M6gWOyWZRsx/c4lVVcsgyRv
Dg6uylVXotbRyLdbtBFCOgibzdlIltnCyXlraaOdbAd+nLmwGqfaA4cM9lDn2lseG4EGNH5O3Fp7
ipm73Id1gaW9Jj2w882Q+PPKWlQ4Ma/mkZI7H+VN7+G70VIOEust3mLzRpgTaWw+ybWU8tSWYdFu
9TB9rRqiGxhHQw0CftKu7SqeN/iVq01N7MttREPZsYCOxG57wVCY/ELTvEGtch/03QVAQkBzY3HH
TNc4H4eKphypk5RXjPxNLz8vp/ycBtpTkKNERLQ7HtIpfKbTxTaoBGFnWTfplD7X6HoX9OPusMvN
rO/Y5ysLM03qVd2m0ydw0aCMuAXvRwv5DowK4gwd9RPqhWPz0X49Wlt3dvUr1Crapu3T8i6UfvZY
Tp14NEY8eVaBqA5dnLUhQBpUXtuSTc3yK+fqWnfEvAuEBvhrql9KYTT3lQ9ogjKXt7JVZevBM6tr
NEA7iAH4lO22vpr6qHkSqXfvyLjcliN7AUNO4TkMPnfNS9fY+bXDgDvzHjDCa/VCWMNDKILwIPJS
EmgayvwGARpWOB2vKXWjbt20iAsu0UlHBpKUiCZSCdxgnUXFnaW4fVZTkOpmltatRF65kR6Yf8uK
iKTmyUEL1sfKZdEv+3xEgtnU2HL2WMQNCq+JYT5KfKQ2vVNi4Ry7MxiGbbcZGs1+IDk7PhO5oz9j
X+tXcmpjDMwJLjebc1luDKic+P3GScfgXtvtvkx0/LB20k6vWgFCCmxnWQavE5mRF5nZWNEixDG5
zsD7NAuq2iWbS+PuuHz930L/yUJvMD1k5Pw/Gzg2GTvPHy+/L/R//Zu/VnoMHHyEzhjSczBMuL/D
gV0FHnQIJ2L/oZKKf1vqDYb5uD4Y/NJZNxmB/GuYz/DfBo8CqVBnLK2own9nqX87FmChZ7AtLKT3
7CwcRh6n8/Vh1LEm4e81zS5saUH47GnIifHPRQcLd4HKr0BwCkRq5WOsX/12rt6Z7r+dtdg2egWF
S+b8MEdzKOneDqHqGg1fP49YJTumCu4EB9aIzWw1uXG++w++ylchaSggOHUnX9VYCWY3jNoEQ7J8
ZCYwB3AZ6E89o/4PjopT6R9NOY445ZjPBjk5kxAtu4aRroU11ytivcgpHt1u//FRvR05/zqBpLEx
HLO4Kf4Yw459i3vG5gSST+0v+sm8AeHrvI7YZ0JSYZcubXVwbiQFVITZfzJ25R78vUg4Xj3Ltpgm
cRcbdGXfXj08AEFgVW271UrBOCsZo3Vh4O/++BD/vEdsk/vShVmIhIDK6O23yNCzQNwF3bZBIdJw
b5IUs7AhaylxYU4r4OOveysdUGfUNrFS6UC5TW6T0wguG8Q7OAEyncMJYECUNj/Zlb5Cnc9ZW/Mz
B5vCJ0KPP0+jbZrgmYGJorv4o9YKojRBr4DYnXXepoLywczofrn++LjeDlJ/HRd6EjpDLlIa21Kn
+TdlBw1Ndnl12m0tXCQLS9POQ01e0RQ3CcLK7U+O6b2z+Pu3nVw0ovboHdpZt/V6VJABGuSwx/BM
nLbikfhYn9P028cHeKJd+XWEoFgduBHg2BELvT3CKUodbxh47IzIEVeiFNCRdMXeKmePADg2dF19
6/aTRzsAJwo2ce9Aw2UHwrDconfs191oDotmcKvv42hBUCVTDvtGW9/NDcGpLjQqI63nTxYm453r
j3jB1Q1q/iNp9u3v9mRI6gy8vm08dPAcBS5e5aCx8Q5oFuWgNMgh9uhYWZw9uCmjeMasTKuKod2l
286kNVWhf4UyJPzkWbDf/Wmsz+oJt/k/9ee/3TR0ZknBs7MW0WmEcDWyV3ETKTqj064lzeGHMbYg
wQ4OGPESVtNhLCAUyAAQJcUxZV1PCAb8QuUrgnNpGVWwCgpaWoUZTmdhZzaXpjNr+znFQ1P3bbsa
XGZvdUvwWEfmzyP2lWDpW3FNP09zN+idgbdYjbcm0O/Qpo1cQKWhNUfo/GLM7LNIpA/d4MnLVDCP
nqyZMBe2FKBR2is4OPOuBga/YEhhLUaSM871aNK/aA12Ggi0GrXd9JpO1m3rQZ7x3TDdtUSFXPHJ
xebju/XPB4QQTwoDnnrewUgx3p7ZUYZ2Zw/qosvoUktx5ceevgdNfd/NAfG5XW787UeSb0RGSNIk
rUvWm7ff6Ddj7/lz2m6bINgbUqwzgPh+Ic4bCxtN6jtPHx/hn+u2xzYBzynyPTIMzJMtpMRVVXBt
WnwmGROBXhHYYVKsPbOZVh9/1Z+3qYexFbEfc3Q076cBHmHHpmboS96CXm+flVpt7MuBds1/8C2C
ITUbbCJQTy9ZDuAibwdOoOY0OiFXrq/tujr0rj/+GuOttEqtYxyNx+6bahG8xamMi9Cf2XAqdsAj
qSerkv4u4FPmqY6E+CkC0EGjxY2vExF5aLwvjRluS0b/ny1LFvfDvwVCv34GJQwbFQMtKXLPt/dL
XZdijntXbsWYueuh9rNNMCTtBtl47C1BywqysUcf7kn5MysH9xYuI7wI8LYX+TxbB6z2wSdXQIVz
/PmbXNeiKWH51Kwnr5UQD4YWRJbcFmFX7PUGcozeEZ9XtPVlICvSEd2u+prZPMpZrU1XHXzBpRPr
JpmCUN/cIvuZgdK/TJEjzPPw3CUaLMW4re6mAixU1cb2zg6j4VBM2aWmt58VF+8fgE/IDSo11Eyq
i/T7ghoYjZ9P3sBJJRU+RHi+6QYRPqCV4aVfu8kqkECjctdpeWM1+WGK5hePYaJsHH/fwe1cjl7T
rwlh92/K2S3vPTH/nO2gODDS8jdDFU6rIU003hVttmniuvrklWCoy/7HbfHbEZwsI0Ob8YPLif4M
c4+D6n8eWpssP3LyVm3csMh3dGySRN9juOyXsoIi9PEDYr17F/jwwNEBmKSunLyVmCEIaBSd3GI6
UTAjIra+UVZdu0IW5NbrP8qsH7+4phF9l82SKUm4hFVMj8NCqdWHcmPqEsumA2J9iI0BK6DZITDh
C7f0hlSOeGj8xCJjsFS6d0j517aelCtH87+QudjsjN7Gk24b2Q5L1Ivb63fOxBeFAn1PNSBm+eSc
/1m6eSQD4benQnB0dktvbxoafm7KlFRu6yT7UgRbRFrZSpvhp5WzbX1SJ76zbDvUwOw8hcsH6yf7
JAh7TtGw6GyrsHgFRMjEx6BlJEYkCB9fR/VJJ3cS30T2kS8EfIDTwr4Owq5yMWdtpya8Tw0rJCBW
SVwYhUHJnlIwuLqjeYfAQYfz8Ve/8/Z1dAHC1bJ4MVF4vz2j0Pog0SOI2Hbu9DVovevRrW/Jz3jN
3PYbW17nkxfUsfb841ht4gUMUynJT9d0v9fkGMfcsmzDi9vOou6Bz7+aChqnVj//1IP8nrRE3H1T
RXEjPIK8ZAjKjGrl40N/92bCIMCbxUL9efpajjvc/VHP80tkJdK8yqW/SZQHNNUyBHCevH78de+8
mh20Flxm4lB0Nvlvz7TDsCnMu5GLDKFlS4MsWM6dF32yR3z3/CL/FdxJyv1wmnCUSCNEqV/JLXvk
Zun1I3zKIvGXTuBp+0FaPJ09PC7wzjQYmRYu6QZk67HXzuaZEL6Pj9l47xmiHuFwqZw9AnjfHnQb
9jQzSZNl/Cyib5VL228xNGF7RWyqogI7JYb1suMDFtqkcid7pyZXSU8qjGw5+qt0OWjTALfWIiTG
bFsUlnb4qV79nZ9JuQQz31Hdnz8ewEpFs1YeET22GTc3vm04m3JitpY0LQ2vf/XErn/d6L9HUP3Z
pvCObgLaFIjp7NMVbMCSj70ZzqbVt/o6Ct1wI5v5Yupxn4e5oS0hEsFyc5FRlmmnf7LQvHOcnk+4
G6sZkXHMW95ejkjz4skunHrrjEGz6cTcr4VEB8WuIf77X+WzUgMKA+GEb+RkYQG8JrGVu/W2BQn7
KqzJvZmLKG8WmoM++uOT+s4ixuWjLUKJ6NLUOnkNmnMQAubj8sVMSjD5FdVdHtbmmrfbvNAxPqJx
jaZPlo93ziUkRkeZcSDA/OFxCEO9aP3Ixj1rGmg5bObDMTTwVaOb8pOv8u13XvRUGroPnsRl4nZa
cXspQSbhbHDhRING3Zkm0C0gsYd5hbm4yJYOWoCVQ01OLjIgFW3DzrEb19CurfyGCDJupdiix7gP
5JQ9mlWPQqopUq9DBkRS0aIN6uilHLB6p5ZH3kcYZYhmZIE0e1FwSJaCxHneyu9tUDbQvK3pzNZA
i8RT485rsjqIHAvJR7p3OhPjXyZGm+wsIx+dteVXkfnkD0ac/3QSmiUhAmbdic7wvSMZauK0iYhX
KY1pnxV017ZRbORiremVcYBtPGpbidJOXtp50XlABbspuHGkkRUb/lsbNjn6lnRcdMJP4SamvQgv
PLew3VVnW9iVOxtbca8xADo0hVbuyBhGpzCFjdmQxx0/5rD0FLJVlMneDaEDL72uRGhB6OgUrvNq
KprzpGc7ifLUr8DcSDkQqjb2QLZXZU82xRnxboFO3wFBxaqCD310WXrmiysD+iUuEc9YMkXZ3BF+
oLlqsJ9M10PgwlSMBQhdcrF991Yvcy9co3QJO6XLGje1N/ox+tcQXTipU/OMoibxt0Wj4BtZoNp/
OnqCdFFL23tIIrDMY5aXym4PgH6RVBV8Ha+7oc+76RTKJlBQm0zDJ90WzrAIcuxJmvLBWrV/1UHD
wTO6GRUeJ4CT04sIT4ZC58AsI0BK4XTCrj9YCrBjVvIlUcgduwO+0ykMD/pNZJnasO4VokcqWI+j
sD2+iJ2tUCgfKuaZhBvwPlKBftwWYY7owFIUUIDmGhxQr8BAsFpAvGSPuu6QZubU17afN2tD4YRS
BRbqFGLIU7AhS2GH2C2gt0XoNyokkQ2bKFaQIvRrwT5AC74ck7SjqGD+lfGOWkkFOELQsa8V8ghw
o83/pFcp3aVRYZHScTRXBJGDmm0B5SZR0C/Rh+foXGDtKbQS2XO3uRYhDxy8iKyfZl4C9utWwRHK
ROl6GyhQE4pr/bxQ8KaphRw+6m3z6ii0E3SiauUp3BMDSHzGCgHlQlbYW3ps7qUCRNGkODAw25BV
bGxSe3rKFUwKOePOtQUGi+nJHoNiPegAi5oueMqPtlXEHN6+79xi0ytX62xr96nyuUrleIUx4q11
5YLNlB9WKGdspDyycaP117XyzcpuVKx+ed4qT22m3LUTNlup/Laect7GyoNb5F7/KiS+XKV2osOV
/nLsdn8ZeKk0leWtVN7e9GjzNbl5vuQM68eVe7QEm8odnCifMLPf9LJW3uFEuYjRl+/1LiSnVzmM
kXp7Z/w/5XrkgVgHtmlP8tybhnCQX6eocSXMbjMQQ7qapdl81Qy0VTDQwQKa/Oatq5nl99Gd02pn
pQhXVrnXEMs0lQY4JU1zWqTKrgd6NiO2SDvQntVheJQ1FuOGM7Vo0yJbzSCZEdQk4/VRThzkRRrv
h8SBa+XH9aUxmB4wBUKgoNLRjItiqX9z9IB6kv5uRcqjnp1VvPq+Q3IMHcR+YblMBju2mN9L5070
afDq09wHsFMQJY+5vddXSJnGB+ZM+WtTNcDBp1wazwVygxVbNPsKOz6aZr8gSz6S07alXrr3JpF8
hSXZcTOCxypbsz4oe+EyHgsMNcKSX+jCqUG8JBkGIBh3QmT59RNo5/p7XYl0k45a/eTWZrxLmqAF
JQwZYwNdSX6xEdawPywHWFSBnberbkZovchMzV6mukhXoePYgCVMa9/VwGNdWshkLbd+s0nZN+W7
vCr5+20c9o91MITz2oMRQuALeTYx0TOC+Kac0eC+KqJM3YPacAj9JLrT84h4SbfpzA1slUp7LFCT
YB+pUiKqQvJndomT9o89qtLhIgyC8Cr2yMPEvz5flDAezkUk+FQLwZbQY+eub6H6Lijv6gMei+gq
GWT1TOsObgHwiKuw4VFdF2U+b2bA35uhBJ++dQklvCLKqneXlR3ZVzxENQ8VV5cmfH1Ic18Q3R5V
3xplahFzg/o+5nzHSTpt56mYtl7ESQVsMJ1p3Jo3ld1U32y1w1wWzgwREaE4KevUYTsbQDzLHnZF
oxH1oTIAZs29rL61U9U89RHndXbd+ntphGg65i7itNZFHhxCuhGoMxDC+YO0r8Rc47HrSz+8GmMU
iFTbeT79ICNUoEWozMEit9MajGA6N3gtwxLGfrHU8AHVzNGjpGCF6gJcECWS28qY7KvYLoOHyolC
Utq78hnZW7pqkX9jO9LmwFAADvnD7ixzjaC0PkyNHqxC8sjOmpyDx/A0PnhawrpInhBQTv51pWvh
VYdmgQhDjBBQntAJXQmrzvZNGiAcbH2aOLDdhuCAUJe/EPQ+yKVwyCBtzFXZLWaec9pYhfwyTTSt
PRe/gRsKexkEU7Y3IMtyl+M/wjWVmPZdnEf9I8pIMDBDyY/MbD299dqmQqAdOXeaD+NqURVDdIXb
pTAWUhTNU1ajjvQc2T3q1ZjeIg8XVybhC+d2YgS3tej5olSbNr4LvBDnSxldCclZA008XZOqNL3q
IOG22ijsAq2NF9yaOd5IXFjFOdRwPrGcSbMz9PHB15nIADZHGDI3tMTBJgFhdSvafLDmIvLD6bfI
hthFDWIxPCKQDoLoFghhmhPciogNBgky0Pn34F/IwYsQc1+DG2xYeh3BncaaFV1laVIaZBjM5bVm
JTRx+ynjWuvSi/o9lievWPqyfS2RJIHs0fNkWecDKeRlYjyKEF1nP0jjJ7F7Hb4dmDg3rBbza2km
FbYwE6skvAe7+4kInniyoEe1pFUVp4UYIcTIhHIYzQLZl3E/Y2W79Vvc67Hr9D/Hyqtv2qCg8V+b
1WXbY90dE8i7BiCeq8Cp423rg1SLpWftWcfQEU8ez3ehhe2XGsWOftNoRNvh1iCoY19OJScP8uAF
e+JgU2FmYBFzTJe+aWt1DIQt7xmjSHsZEPG67bOs3wkn59Lw2jy3GpF2C9sN42tHyGpTFUI+IIlH
eTtHry0ReJtKQjVeBX1lfbP90N6ICkl5hXlmZVok4ti95WwNzteCiaZYpW3Dc3hksxk50LejqrQQ
SF/NLBTLTCvvWl9cYB2KmUXqMXuZBtF25yeXaKYPehdBNcyrhq9NHWBjuXEZAbbfQpthvI4X92J0
tOqqIKDozgnMcu+PgD1YdHNIdQXDxhrh3N6O20M/Tdkq5tm8QBfZnBehWxwI0oKdalqUgD7jP1qo
L74dAdZykfenZW/96DNxqGPdYEnz+B8cF+vCMaolJJYzkH7iC/W2vphIGvjmD2rOVLabiM7yviZr
hmlZREHaJ+X0xRuH8FYvomHjkjbulEQ7+IMGUjiuy503zC/0//KvKFNhJOJ8GlhgRMhCzw5n6U4T
qQ5Jmsp9qukEugWafpXmotrIrmPwZXTVigoVRbeX6rDDEnnX1cTNWYMf3naSL+nswL3udHRkNKYn
PIHIev3Ydx4dUp13cew+ksFKRmAfRtSBlHKLXEmZyniILmKPxk1pmPsA4dw3AuqHTe9p+rY1jXnl
xRBthp6HUVZRuwDy5IOYmZwzigvxJRH2trDHcsPjxAJcwkJbhGRMb/3M91/7tDO/jJUwLv3cn1Et
5OK+isZkOVLDbmzWrrM8kNmjYbvuzQTuZGP3coRHQF2IRLoJ11AVq5+oXTMSM5BqX9YJt0FcZGGM
1K+oWNbIyF2IPJHLsUqaJQMEonJQsnUkJOPRCJOXZBrTQzgUuzatM+hCQkNOl4w3s25+aWMt3/Ao
bmJrTijUbJuCzO0uc2EHD1iuKDMExC6WwARlYBvfenoDeiW3vDOJrQcCb7SObOhvqdXYV3ll43+M
Bp+I7CIjk2Iq+wvHxg5BjaalPHBOAbVtTK6yxFIIcMLhee6agm1ppqG1XzBD6y/8oE2eclNACDVo
wNNaw4BUzxWNhi7WsM8EVn0+0cxmV+f2cbromiQ9+EOs32J+PjR4fHZB3y57zJEXRxyCLAYCR0WJ
FYcBz6IYZHtO33daEC+zM0bNf/KZmbLPeWnKAmh5ZM/LunJ6LMNF5C36vjWeRjwM+9J0vxmz8zNo
yvqZijV7zmResmhJ7cHNbA0MIMy01u3ym8mhYsmmhmwipHAzSPIgqiiHxl1v5n180KxyEKve1SXh
VSkJqotCOOWVNoTKaDm55RVNFeKFMcbBEcTPxiJE3ljynOdERpu1l9+QRkyAWTyxgCYRvKNMmiRM
yST6UQc6lmETFfdVjQrgYBP+cjcJ9JRPDRUP1y1mk4M5OeMtoTTrWYWJ8ogC4W1J527OlCkkpCG5
LwME9tTH7ExTxaYM01H+IIANh1wnaSLIqctfUzwt0ULObfCsE9nzLY0a3vSlwG8k6zF4NlPcrUsR
xCATqzmQPzQb+zTBEL2PyDG1i7uMmA0uUgRwcuOGbV9uBGypaNWRD5osIhMbB5T0rLyLnI4IDTxU
wbNtYJwn6mHEBuOChrVXApE4vlGLcJVVL/mV6wRZMRwDVFruQpgjX5rEopBn8Wy37Bv1ojcArVUD
xFKKVz551ryx3AuYVt4qEv6kkZunSgC8MBwSmyn/PIl0UaycJqdozQJSZxfgMEC0ZmNHzkbTQxoj
NJN09CC081ez6/hWDFywQQZh+c+/TqYN2ZxYRsaT8ZJ4FJRpLhSNcsF+otxavh0urRph/JJeEKce
S3VxZ6MfK7ZZnNDuQVkQs8FMx3RXGXSBrgD/jcYG1heAqqYt7+wBRQWXkHnrcghqji91bfohDcEa
yZlExdBv8wnhB1T0tn/tHTqzqHLtKrpwMAffp1NvbouuKL7kIGxuUniMwbIiNuYea66cdiNt+OBK
dBz0zux1fiNVOb86LgIunjONhcb8j3y7JdeEZ5fefzRh5RCcxR5rBwboAqtufPRA8WP980n28mdM
QB55Zh14KApftKNbPY3NcZmRPE69y+WcdwX9vwOENw2sWtlS0dmRqJI9fgOaKA2zlYTFBboqjzoQ
Gv6txvsLsKIOg7TwOmRVJrb27CrqMf7XqoTM3MJssfaa0YOR6Oa6zkr9wEwaC2XeWTd56I3gfNP4
cZ6j4QHPUv+rrf63NKjwsi9fICP+l/pX38tqamJ4VkeY0b//6yL+3pSyfG0//Fv3JSOV/PSvvPlc
+f+PfwyvRyn83/zH+giCuul+NtPtT9llv37DX3/zf/uH/+/n/wonReea3u6/+u1/uA2+xPJ7Wcj4
LU3q17/6pwrV+QdiNpOn3URkdIyr/idNyjf/gdrAQRkmSOdDHkJ7/J9IKfcfOmYCdGn8CT3m31So
wiQa20JKxrQF9SZJbn9Hhao68P8ej4FS8W1mJahB0W4QaXOqmEQdG6Ukgzq/nK1NbozXtsGdNU8T
Fqu2wWf92wl6ZyDx3heitUIJR+nHbOKkd55y1JVJz/IMWaW3MvoB0LJC5TiZV+/g535GFXnbNv91
gEDYOV+wnDzvdOrmJ84sfdhcZ24ZOS/McuFCK2esBPm8/fjQ3o5Vj1/FpeZaI4/QXf10LNCQXxd2
qSHOYC7aL8RjNzu7nVnyHTPEwkWOy6ObAtNtAhxuH3/1O0fJnQSvDP0kC97poGWo037S2e2fSZN9
XuFVvLI1u8AogVf3My3FiU7meKDcgQQMIrhn0nI68xtLCgt3jMXZUCIGXLgV9kdWPx3nbd+6WNMK
mB/RIafd5C0nmNgSw1XJ+3LMYhgKZvEZGOjPw3d0biYHaozruJQKb+dMiRFhqg8DceYNgsP1c6oO
HXYXIPL/6LsMRTtCJK6gbifqnDCxdGJKJnFmyQF4gdDY/rf5eNspD+/HV1U9C28fTkQHjFRt29Wh
9Z5OM1HHKK9bJ876IHoljMhf45b+uwgnJGIIIE0lFdPxMZ0qDaHoCKZ/GTDLFEpOgkWItEmn0pYG
Rt/P0GonIhZ16zho71w1jFegvFN6Fd4jo5/pmp5hu8DJaykyD3lOWH2zRlZfvTrFfu1MPKSKbjVF
LQHrYCE/EW+/cwejQmDZYxes5AinN0xgGmYQOBA8R681D1DvDSXWZgteaZI7FJd1vk5Ts3EW09xR
Gh0fXlvh1lhBPsPdvXf3CmorbGlcaVc/uaPSzEdlRpTtGRx4fO3KFDuQi3yGbfoz5cd7X+U4TNTo
NyNnOb2j6Hbg53dr6yy2Ob2+H/LI0rtlqafb9Bn66O1Sz/IthM44FpEJWqE/b192pOyz64o2N0CC
eaFpDVArC6rGPFDQq6GN99n8/+0SrL5SNVd0yyEqgwt8Knqo0hntieH6Bz3AayA8NqcL2cjx1hm0
8TZGH5uvj9bjyAPUEYc8Uqhl4ZloBT0mL3bq3aycuccV5BdXYppBNyyCCG3gKlYMiI+fcfv4iv33
U650odgKFTHvqKDk1fh28SKyJxFjbomDzPSctBl65WDHtU1oSLpBpZ5PAMwoG5uSRkBSTTg1+LCb
BpJDvmaYVjFByAMuZGCH7Y/Zgnc/sqVhGnC00JsAk6IVNlSQD7aBp3xhhEBHjg7rzAHjwvyi/dEo
bIc78e9WMqGnPphJ/bVViCwvFBb7Vk7gYsJcfk1uAeAShCf+I1HlWrKM/KA2doa0+WjpghZf5X5E
agEhBYGl9hq0pLKi5jsUDcORtCjrGsnXQvSUtGybIYCQl84dQjMCcF6JsnqroW9zDoMCgZH5kQP9
aYwiOqRZ1P4AWVV/dSsmEofciKdbw6Nq0cwWIPlcpWH8bEw+l8ydLYcs5gEYxSMlM/demzov1Ovc
7YK6+mUyfGg8BpmlC6eHEpPDZPnOBtDc9TWqpMZp86094LEnMULg9ZMMoxeDTzz28og6gQnNQ6pY
MSJA92iNYrzNYJM9spmNt0caX6M4dUc7fDubnB+fIeytlOH8aPaoSipfcJ1yZ8BQPjbyR5qHJpF3
kKjXswwMa+lNSo9NMe6A+JqsvR8UfEquPP4oSIB6dIotc3zLEbPo0adzaBYQ+9Qku1CMZKVNrqtc
8QjzwSAVZIAcCOBVGAh07KEi/eiJqbptE2hdwidglBxpLHVMPj26PWgYLqlzKLeTpKJtUXoTXGQ1
bDocfesaMA3iy0UPj84cFW0S/W5KBGnLe9EpiX/mDg7VXHv2aB5qULYwZ+bwH6AHMY116a3RoUxx
YtMxtLiXe/zlj1IP+FivpfM6asAhKsPjXdS2LiTJKeO9vADgxf6eIJT5YnazGYNADC+uB4j+4oDu
gg9aNGjj7clo7kJrNneoTkN3BUZcPBd9X9x75OFdEKKWrWro0kyvNSAiGyPWm0Oclf0+zLBoLCRO
ouVQzGR46hI7Jp0OZSV1gHDh0EqmS08nqzQXEcF9eer75GZIqEK035ZTMU9MQ3UbyXxUVYdUn5g3
cE8SganL4qatpFcskqDLoRM07SuC0nJvm3S4fMYdBVC1hEzCLmVlWs4KITPoFWlsLXTJJydLG7mR
9uR8pzNBTnNbgO6HChRuFDVyWPgIcFdGUhbbvoQL76O6IoB2ltFzqHBfbtlWF5MTOVugR8GZMbUo
Zzw5OIxH8RdPCJQYtwyEOoicuHPG1PNzkdXoMW0TVYDRcxm9gMTBNB2K56RK3JbYUfhyqc4UXhWj
GNhGAGsrxTNc19SAi57iZZN7bGVZmEAOkQF828EX2eOOqfZJQwoD2tLpZ0CjbR1psXYz+WX+FCOw
WGZTgYeloJ+W1JLWQtq8uK3g+YCqwxScmLOub0h0qeh3EQwJ7AY6GqF9QVkuUoyakKFdYFctXG/f
texFA0k0xPggQUqdU+l6O9Ni4rQqGKui9A74IpH5AWKBMILAU8FrbyXN2XLS1mZedg/k9KHw7Qu5
6eyURPtI/56R2U2vLjYXsc8gXWrIDLuM30HPkH6YwVSYCz9H546oVTyPzhV1QR6eAzsoruHLYr6V
LTe15lCRvRwZRRoDDrmQiiO1LqvWTM5QUlFg0+wH2MNq2/4IG50FqZx9437Slbdab8FmNcxDw7XX
jba+TmPsy7CCah1gHdyveQlnsCRjT4zXR7yGO2XNrpU+72OPXjXZgqYozxifqk8zRsR9v6C/rMYU
ZmT2XWsj+yjEIZRwDqkr932FrmvZIU/aiVGg8jiSripY5fw0F+L+AsNz9tUs65B6LkI5blilSc/T
iGSVP9tJ5FWvUwVAHo4ZMRWoQQn/IGPmZ+4NNfLIVLO/oKjx903ky11WTiE6oTGMu0VmJNE32bcv
Cc3EtS3iMFwSN1DLJxIRO+0uZmpn7Twz8i570BxLJyMtPBqGepdozryZvKJ6AJtIDISPQfiht5v8
Fh7Sq5nNTyPRSVdpa0LJcDKCR0yfmAzRVeaPsI3CH3McD3dhh/L9mic+WddAYHy4Ry6j+T6K02lR
Z9I9ODbcidU4kGy4lA7r+DLtZDjsWn/Uz0RdThe1bK1bZx5j/Ph52pE5y1VADk0/4VEr+rFYj0ZL
JnTTiKsZGOhVbYjuNmfwvFSK4e+iJyG6xJD0rfSd/qx1qhn8R2BCs2duFS/peEaLoZsHH5FjxnLh
k7YFfFwcYCN+CwhNvIOEnwLt7fQLGj/2czo4abhsCHPiXYkqawEwJ7z0IXRcNCNNW80ffGcRoel+
MeOhOstdmIhFbHdnhqNrQB5bmTdES0zxhrlhR3wAfrdgEYvAHTcR4OF7h0T0XV8QkVDFEX6gqZtv
WuT1ZAuEw1f6PnW31uV/s3cmy3EjWRb9lbbeQ4bBMS160TFHMBgcRYnawChRwjw5AMfw9X0QTHWL
lFKq3PWiNllpliXF5HD399695zYiPgwxnqylVwL0XHhB76UnZ9ARW/hR1+yocrVj4k7lez2Wpr/E
0ZMXjG9cPQXC4vUn5obVN0PVzWVXVWpLZ3C8KJImJ0LbjxhBlgblRcTmtk1FQLuz4mahIVp11U1o
qp5ggCSwK9ZlJh/TobUWcszsI4kObKOWPvot3XiFLsLMkcUss6I0L1ug+fYCXCuBF17mCjZEo/9a
mk4XbHytJhO5AiYjBJJBK3OmXdO58W1DwPv7zhibBy8jb0UNU7ok5RAEE2NUQl5h7ICASNyVVRFQ
QQjuFJHj23IOtTM8INAUqeCCr+paTdQpzDhcuWSAHl/RXR7e67LXLpnEQW6MrdraeJolST6pCntT
N65NmBOZa3Q1WbvfoKIMCO6t9kvP5Oq5d1on3uhQ5VBZZQZN06TMXLkI8E5+m9qpjsm9Ap26c9vq
mx0N4XWTwDBcTHHTHqx+YJpSlkW9ioa4HhfClXKZcjpfaRkQOoR5QbvyQ+7s4TQOA/jS0o1QeYnW
u0CRCjJOuOpjBBwPEUY4JVdAaFx9EVRFdlUQNUkflc45lHKLXy2jgUQIPKq5oXsgKWsgs/x8X/9H
vdBfNzBf9UX/tU7o3zVV/x/2Qjn/ZvHw3/dCT1/7/7j8OsRfyh8t+X/9sb+aoVjqcdcLNCq+RacM
/fP/wlcQm77TKY50Lm8A2H9shlo0QzGXYWmjjpx7ofRJvtNXjHcUGoaDRhVS/RmJ/0/4+q8bLjY9
Ql7e9kD2I7n20We/LsXqRGTcEovkKM0uHp9wstoNbXquGms98qH7MNSVfTLuYsCZucbIjQmzBJvp
FruSGd/W0ZrxWVphly+Rk9ooAUc1XQyF436tZeauYsACcqp3BGU7KU2PNOtHcaehjyLPaL4hIXN8
pt+PxEYfQ88loGsiN9m/Ytbeujfc5ZRhrSuCX6vxzirQTC2dHmX3Y2b1TBMXk9AYjcmIIL38ECNW
xbXkkvClcnvk+hFOdjpwAQEbV3l3kcm22eMi9eiUrJHAtpNELVnlzT2nhmOsvQTqpf4hrqnIOthl
yjM5wfS80C9iI05JjNJryGWN3Lh1NV7bwL9cEKg9AbWeM2rTp6rQ3fjy3w/gvzKMQKdssR7//gG8
iuLXj97LH/g+h9DfES5A3iC7PaNpem//++h54h19U3p/9E5e0Ef/N4cw3vlw1h1oGC/EC4Ti3x89
7x1Uax1U0cwgOIeg/oNH761zA+E+PhVa5y4TD4PBx5u5AJQ47oWFbe/VoONVNhMESlFWBQesJzh1
Rrv5AAZ82lACTRvIkMHBy1oIvQ0aJhrd1aNwkuaDbqHLCgeW8w/f5C+mFm/6SvO74yDymeFQVTo0
tV9vDCiAZGD0vtgjzC6fmOgNM9K6OCKvoC6t42zc+pU+m+7K9K8T52/jKKy33kXqFMwzBtsmYwUP
rMWb9nYQmRmHb1zvgxDhLRoi8rEY4V6mviydlVPZ7pFJUUFc4+i4F4PwYwaFMv40TMX07KLNUqsK
WuYhzMJmDVIk27aZ7NK1rEvnBhB3RfhN59p70HloD5AuboReCcLG59w7ZsrGUjCvvopMsmIZBCuD
LaPmKO/ZrlddN5F55nUR9B+rdQYKeMd8DOcCuWTcv0DtRH+tEdOatNHuNiqaArOLgKCktZZHNGjt
EwrkB5CprFjMnnCpreFj33eEJIO0nWo6Hq5TFScpKGm0SIO7JEtL7UZm3stUm6wFkVGEb01ur5AS
Bk60rKICsrc5jB+LxMvthdb4xpE5bsBgfGw/0BJySdHTs16nwIkGxajbc1Acp+OmjzJniyCJxqgw
eyRqjlnf+uTe3QCcjmcRcc12W4K7KwtXpwyOsOL2GMviDWJyb1zEPEq3Q+CFjNjr2snYlKP23qAJ
wPTS7bs93K+MsHizaG+RS3nR0rD6hrsxCC2Sk9LAg2jVpla1sJ3K0NYinKyLYpC0hcMwRiiVEvm9
SOQk+FkhXe9sZZporIUD6t22P7rJ6CF8cYrrtJDUoThTEKfYJF8IstiKBWxXA9FyAi+87e3rEUnt
djKBadWRiZ5GjzfQkRSEdsPfo1zLbycT+Q/1Y5ccpsRLVpChXKDCbbWbcn1a+1nVwlOVJRpfsw1p
vCXm6BD0S/9pqepi7uMkxkWAdOGATS94IOO8Q3QV9RVoBzv6KgDzApY3BnTxhZt/ZeiSktw0AeKq
7bjIyWwNa4ThCs/lwnGlk6x49u6iUEusE+T/jut5EtBFuzNkHg8VBvGi5EZsBVSOCap1Y+FVbfpc
oKwnP7OVydbUy/45TRVefwW7WIFo5XjTLzEnyfiJm3RW7fyC/uRVQ0bdYeomZCg6JJuPJMZDoB1t
s3yaNKvtlgHTS8lTUWvtFzJcMIhKv60jYPWliNdthwdkXQbeeKlGA7xmo7st+e0KUcbdiFF33I2q
5szWAiS1iEgkfnPZwaQHUtVzDUghTxULHxsVTro+1elPhxFHQVscGTjG1arWrfIJYCJMy7kyQXoF
lHRMm/SWIda8GUZ8ftL/iisSNd2TiWieKsn0eTU5f7YxCuw7GUxGv65JYYaCrkSD+MpBji5jSALr
IZzxDeUw7WLC7h9pRpSPvTJhFPm2QuCJvMfy1o3eDRopDUP3WU8kdSQYTFs/+UGPEIWRb/kkiZ62
V5WWTZvzVu7zySPKy85ct8nc30vxKcxZedND1gCfLZcptDi8a3CQ6VqsOAmM8cnuOqlXB0/FOv9D
we0L1tFohCKhlkPJ+pEs0SxumDfYxVM3tjlLR04N/QySFmuqQbVSpSq1Td+1JCwAv6u2tWdmV7Mn
dAD0H2OoIvV0uOni0ARnUvJgxYGXXUG3rfMl9pjSXuGFVvuBXjUtEtVG+THXpEvOGe+AtZtXTGEB
DaiTqOWc8WrZQbcqGul+0igWsWnHMvWXWTgVBknbzqiDtR49uYhqt38sDa08UfH44O/JmqXQ0kGM
0l5dp31TfiYB7z3Bc84eEHVib42WsOiOvi/WZEpYhfTbq8XCAChK07r0g6Wwk2BjdHp6GVkqqPlm
xuIYZb28N9NumJOCO/uLrQpnTsU2ok3Zp+vELLWJlEJ7OAokKxdBpKJj5wIRX7S1l+2H2qvstTdI
48LSsnbvmyZyJxYQDhDOGeLPLH9ckSBHvIRR5665dOym8RZdCdt9Qb8RjXrRWyO7n3JIMWAfp80T
2mIzBPMgIUfN/u+L479ycWSCPHvJ//7iuIc3X2BH+rFu++sPfb88umhOsC0DpCD3gBQy/r6/ItF8
4x1YEwowtAcIAs6Ute8iFpP/xFSLTDaG8qxRfJTfL49ErMFewafpOziUOUP/kYjlXJj9OEPjykiD
CRyXT9wrleLs2PwBlxM7sUgyo4kOQ02+N1LiEnAfOOSLqna1ZjEOhqCXm/h3VVqjt5/9p+SLKs/G
993QGd1JIwfx4JWZc5gmV9CBVOXU01rR2QZogostePZRuwHRLD/UqCHtJRrsMFmOQYZbTpmNOhI1
TaZJFuBQW3ScjMTDYzU+IkFxy0XTy2k/GVMraCiVzHcy15JrxTYTLa2+xDLVQP9dCE+rP/vJ6H45
R0W3no/OduJaC8ecFvQS+qxpr4ywF+bRN9uIVl7uXPYCAWGuOoiJprZxGyz9izFTurVCwRHfVUky
3tARb08yNPPbOfe8WLtDqSFr9obQXhQ2wRkLJ6luM5seGX99vUaqP+5CAEMHkzv3hRF5W7Zmibmh
jMuNXZAObjYRGs+2N1NjNdgodUXrmh8yHy91TOTAnWHixvQj8SlEVn9FPIy/InDRuu7MRO4Vl8BV
ZJgg3qeGoZPjrrWRhuXAAXFtuVp2sor+1tb7ZmlnGSdhRa7YF1Tm1VYAV1tK9IUXRk4fL3aG+lZJ
y+Vrj+LwEumnOPURo+YFoW3dUedkM8vyFFQy/5Yox98oIEVMT6CphFi6bql/vtgBuZlGgNja0SKI
mw3/QGr7wRfazP7Oi2WV2QfVE2Pj4oO6S2Rj3VqDP1xYldtf48HCZJNGnxmeRk926fSrKRwuMt0e
VzYaYDRAtKKgnmoU8UN+l8mUkyTNmpNpEUJDZ19yk0hvZJa0J21IO7jccfOevEl6qY05nEaccKsK
kyvTX96phqB9pasgvJ8o8PMF6ikuEUlR+vy13O3WelWxM0e1fhj17jnj/38VdiK7cVXBYA+ron/r
4vW78ZALctMPkoCRxDSdBJeaZVIpbZsiq9/SQi9udZMV7TpdezRJF7vgxriopCU2Bsv+sgSz96ik
i6Nba9voIBKmLXi7MsoBS4lVzYho2wEK32h1d+FYfnPQI+dSqaZGyusUmIlKDyptMmg7+KUqXTSs
QcyL2L+6QKPBMbUPmpZtSEq+xU+ubwL3QigErIQZk8fcJdeRRTOxRarOtHTlZ+LWqPVsTVH4palc
d58n5cM4E0iIZP2UuzLbMARuR9if5oUtejSg8y81PmshQb+lAdhk6vQPovOJJB/9YFf1Srvskbas
g64KV4kuHtkMmytkbMOG7kcJvDG092PdiAeBTYauj9us8gAki2Yxzk20gwvBi9gq8xGrRb3uXHrj
xImYiLMPUxsf27yFQ90yZS3IqQ+YcAnHX6DnyoF5JcyJYMdv0j4ZliJNmltUNNlN5dnhHh4JhsQp
ZTKMiOQmH7Jpy5gbV3BVye2UDs6lkAqZutXv5ciYGiJ/09/0on2g1azttHq0T70wornjVDbcxElB
1xh9rWpDmsn1yO0tPyKUPQEo/0y2kL12nMm/T6yRItGkxou8OLgeLS++sqPmqRBcfOw6xycWG09O
pWxIflJvPzWSj4y1rlrJKjMvwqxA6mDaLGk9zEC5igyfYpRdj2y70HbZ78B/ItjnmvBp6sg1UgH7
s+pYg/E4jJ/8kXs4Ngm9vuOCdVfoDpWfV+RXJCbBjlN+xlAmtAPS46s+gqlCNBfXRJIQEYIn5b5K
SSSi3GjBp1WFf9sm7req1Psl1yz85pGXYcTxDIKgMW16i8opcuQXIs4Zqy3Lzk6wd80iDWOWazDT
zDfjS7eZae3ce45eOtGjKtoD/bKo42zR6i+phhtlEXHn1ddD1JvOVSq9kmquHLxd2nnJdByQBNwM
HNh3lgx4RNKepbeXrbI/NkYsDxHlNncwbpSfW1Y/kwBQWNyitMAVWO4q97bGcW2uAlJ+DyV9gUM9
BuCC/aQId0Hd7keM+VdR1mV3mOMsdyEVFvEoDVi4/tRHj4ApmrUyRb4zkAA/kbOiMzbyyNMFNt+K
Y2hJ5kGuqDCcTj2YP1V5PB+WUpTRw0RCMVv7tyIVFKxAYPrLVjXN9TiYtY4jbBzkYiJmmxxqu7OG
GW/TfdBxTTzVUo8fOZNDQt3y7pLw7PwqULb/TR+iDudwFli3GsLwD1qaTaccgD06yOwrcUnOs134
dkwMuFV3lLqKoGVM4HubMX7ObrtsuD+MK6acHsUkQx7anEwcHzo12sfMabJnLdET4p/pvzYLp4r7
m6AWzgPniL+uhokM8HE0NSaZbhVAIjSicC+ZtHxJ49gXbEbkM8ECUDPMhgjkfIy06zhxGuBrVi4f
8RmnJ3RPIR3eoBUuY8R82vtdnT6Ltk5vCTK+ywiqMpfxVAT71GCqaqQRD2tVwmCmDkbc3vQNvQUT
2zmiH9PXL6ss6h/tfuy/Bl5Uf0KMpTaFlvgQL0KfMeRQj9pBGom6Bk2AxN1qpPZF6CPoSUwtwIWw
re06F4/nztX66pMfDgVqzSno9pXRWv0qiRN6PL6bJx9qLxaCmC+rvU0EUkuKTKsm8b7K9jxzyOA7
U6eJNIqhXvDO/bXlSv0x8MkvYCiopwNCX83edpmIbwMaZVv8Bu6y6Dpo5bUniEW3ooQEF3y7Sys1
3ePYt/XBiNq5uyX01ai6ZpWZLDg3qyZ62lKsa92ul/hIwXlHWHQX8D+YXzbtqrFtImI0RTazS2z0
anCTat+4QhaLPCsY4smkdRdkRjfGEj5O+TEdzapYt9gpajyb9fQV2IN1GTBiXNH6/CzCyH/vRkX+
VIZNubGiDM0IW3yQ05JIS20JnYEd0YYbvY8BoVz6k3A/MUfOdlVUwVkhn2DCUG2N1me3l9FFi7Ln
wSfyPV54OaqhRS0VYwbm4Tuk/PxrOnWpt8OGNN56aVCr5WBGxpPyFUarwq4+Adhub2y/JSY7GUz9
kcFuGaxDve9YS3pDnEPhGs9+bdbJmr5IqB1IwQ4+Yo8v3o9T6zQbq4iGi67pRqJnNA1hg2R8zww3
3RO9d61PXfyxLtxTOKoV8UOwtj1t3dPjWxKx6N+I1tdPHcnjq9DPXfDZfmVeYdfRFp4RutuaLHOa
V1KJz4AfTTBHZRU+FGJ0qXvzHn+soaG2WBoNExNaYeEJ2cO07uGq7M0kU9tJ2O1qqqwMLrreHQ0t
WjudzL9GNI7AkHRMUxwK6GihmgKREtOQ96HtBp8dUQYbVerw7fk1p2ZZSdFdRuYAIJxrFjq5wNbn
lJqQ3kaYiuQZ3Ksq5nwG4sSJpmJrsfpLQpaiD1kwZPexrUeE7Nka9UHQHWU1+AkL3GEyKXN/Gerc
EfM+PHj4YZtNIWv6WrFfI00ww/RjA6KRij7oaS9FsY2soapMZ10H03SRakZ16HGpHPmE2dEUcfwl
mOJ2k8dtywCzVpvQt4p9nYXWCsXaB6Jq+m4Jzlo+hVbtXlt1rX01mHm/SGP/Pd+8H6uv//WfT885
wGwGzzL+0v5Y8JqGMccG/32VzESX4uHpldXjrz/0vUrGmWGYIHO+TzCZEnyvkvV3AnE6I0VsG2DP
5tSJ71Wy946oB90kiYLpJ0G6vIu/qmRhvGPmoFsuFfRcdbv/CDhuzEXwD0Uy8Ezoh8JCLkAtLhDJ
vi6S60FDNJQ1xkVRCYV8SIV0S3dyNkIEkQ4KAhA/AYPHJDW0/v0Z4jDg4KzkovErdIA0A01jhZbX
ok1mY6wYsYWLTCRgERCZcrLO4kQavjiuf/imfzF+md/Zq3cueMMeX60+j4iYwLx+517T9VkgJ3lx
DibjtqotX0xZytVPALsQD/7+BS1vnui8fkkiOAyXSbCgScF39voltTizKg128YXj+MeyJa91mSnD
cLaJIJ0Nb1et1TuDTuSjD6GzRqgnlCt2vtMROAXJ0ij3gRvT1JyUy7dSOEE3bU3mI9deEZMJhZeT
dDP48PcQ0RG8iqBAfd/MuXphXBBUySAA1WctawKW7KEjKAifLN/1Ob84mzBw4gC2n4BPoa5K6rl/
ip5FkdzhEsixQrmBeqtnIO0tHX4Rtve26bpN0Ggjyj9sk9KwWAS9RTaetDB1j0LD3X6WlXInJe8H
HzrCzT72yTw9ByTrkUD3V0eheW8YGqLQ2G3mXp1EK3yObwtRCROPbsYeMQ62WT0ioEFt65QmCIAh
ynlHdLKt/TgxdHkva4YSTM8007g3qRqbC7MEjXiCSexqG8cdneqjaXXIftvZh0SWBNI1zXRtdTtJ
Eug0KzNnnQom2U+W2fLNxc0cmUbSKSZJWc3RdwrH3bQMMA2aC8yl/NeKs3VYm4lCNTdMsyZOYxgS
XQfKYCBfyoJkdNFbfP4kLeynpJ/DN0fHf1Cd5I+DlZL5qo6dG7ye/NXob/mSXvJDHdG2zceoL1S1
ExOuyTXfI91vO56j1IikRvA6EKsx3Y0TwI+lQqBvXOCPJEnrHBXlzl+OT4Ydv98sffZBqaI6z1qN
ubpS/WUU9tMNPKVoYDDHw2uFwvBWdR0bYKElGBYonAbvEn1j7wKLMrM1iquQeMjaSBZmP4z3DkOa
k4b8313mSSAawvi68ilMWvtyHEPnAUWvcepVRRPGSsMnsxfxDqiL8Ag7LNynIuQGXlkkq1P7sGSj
XkdxhAbBW0ZJzzeeE4U3Huj8IFm0kTY+AFRq2htE9LO2GDID2jg5h9z1ce7IK71FTkYvJtSgiuUY
UY2ZEu1Fk7VKWJHmlz4f+O1iqxL9t5FEyOqRf82Tb9XQo+jPdeM+ceZATS5n9lNjFrRByOtCDGnO
v3yWavWsne5nsQV52TksE6TgfDM8XG5S8FCmVdkHm0bXqubjLLS89dji5VqbXL7gGLeasz2njqF8
RaocDPg/QqACKd50UkmFheYRJglJnVYxBwW7ZcervETqGTxt5IdSwtM18ucItc6W5UURYS25R9mh
aQ8aPfX62NJYk9RI6MM32QiL5v2UE2z9noFont4GCsX2wICBxGBlWftJQdJbTGPOdynJN5jhDYyC
wP/Mfo5Kz8lmzbxs2Ah2lehADxRV6Xkhw9vhhytJ8JIIN+eHopWCv2XoLfbQQpSYIjrsOUvP8CLn
45B5nXmVcJGvl15opOUX18L0FDn4vhdeNkf+aYTUDTs3CGXySRoSnBnaLQwFVuC16QfJDoGFmfBb
W1KaF4Xjkc2mBeQnZyE2AjqH/E0EcSQH2kH85gymiR6kuh0+eF1Qp1+R1pgmuTIjsTZrcuVN8yrn
/JnqhdklobMPiJHMgReWjq7vI9NCwoL5Ba0LdAf9UzxMzHnj0DsVlu5/tBUSvXIy7lwVDv3SmJW8
EDu0dTqre1kYzdKaFb/WrP21zjLgfFYEG2dxcOTm9k5DJN0fS5HUWvwhjETXwOBg2MrwqZp5UhkS
5Aoj8gNdLHNp5fonBJyotosZRDCrmOOop9Y3UjP8nDWB+3UILcTQhiyu2sw5dr2sx3WayeHGKd3w
k22pYk3+kmDaTMPRq4PiE2jLfGMWehgs3Ynhtt66ktxOGChAihiamlOaXcZVmL03kwZZK/bnzaS1
JDMpxOyFhIWk8r66UtmUH22hunXXu9kN23r1iQS16E6J7Lp39SHZYnQWm3qskeWdteQ0JckccrL3
fS6acCNn2bnPAbbKwPMfMs0nX9gSdGsAbDVMd+nFx8oq7zl0qo+FnVcRFB0EAF6slx8i8Bp8tXns
YzibFe8OouVT5Qy4RshAX4UM6b/FEgQV+ZtiZ05JuOkz0zzZIeXcKtJt+CHDyHVg1UhTXdTgDrZe
Vo8IFBF7713QRZvQNm6SoKy2cxdhRf+7+piksuo5pZSzR/xuqPWYI7oHzhbcQQ50tuREpxsbgN9S
I6rJ2wDUcE6gpeoLNuxxpxfFuO81puNTm/brsUHP2JqCrEPIcjv0Dc69itX0rOtZcsHQZLqQZyvC
728obxQpOJ1QZTHY4dFF5/PTlWjMQ6ow2YKUcArOMFfTOWJYtuxzxWCy04BHmLXkOWHyUPsSHtLf
v4GfbpMCKd6cas9u6FsYT19fkOoS0Abmo+BwTigFcZgRR4Asbh6oejRJSeMmUONPXrk3Cr3Z4IVV
ambOc9V2xVuWvkD16ka97R/Ojp5YxOxM6OL/6CR7bZQ7G8nwZfEqaH7AL+hvrn8qKlG7+mFwEEzS
2dR1yaFRDNUjFDx2rN9/lb96MWx/pD1wQ/f8t1BktNyNFnILRdJETnVZkg/egL9YanH3JwPgzzdp
unUe3xurx6CgeHOTrkPfrVAIOAdrNlkizI63dk/uCUginFZu+aecoV+8nkG+EPowhnwCE+vrVWLQ
eACMkduHicyah5czELMER5ZdQPlbNWBC/vR1/rxGPEDPfEygswDm3vopy0LU+gBN+9C9xEwTOzwY
/Z+Me798FZeBKHIwXDlvcd0Z2cxFEDfOASuARP8CUNAFFPiHpfGrV6GgBG5DwgLr/s1T5rQW6AyN
z+LXxN458WxCwMW5+v0C/MWvZM+ZiBhD2Vbwar7+lVIa9nFFEOzBnG2TdFb4TUAaEZR7dqG01aCm
P5R0P28f7Ok8zHws2AO87OuXxGgTjH3mCAJNA+ej0XnhYdIVV5EuYzpKXC1Uk5dg9N9/1J+ftZl7
TqwCn5Z59duPCmgqBj9jm4e04+EKEIJglyBea0oc7w9s7F98RBYHCS7cwUEQvN2rXAQWvFRuHgYZ
kZucE6Q6NWgWM8GCSecKjjb/nyAEv/p8UCuQCzKVR2g917U/TMKVHhdW5DvG4eztLHJYZZnuRVsK
nT8+aGeswOsiGc8q/E+BQBK69E9PWuRJD6qWDjquAZMHftfu4Zfp2W2lJnkqE0L9FsHINXnoudf1
3LWak6rVEGzwzQuKi9J+ykJIK/iAyMv1QDNF117qVNkfltvPKxxpNxNgn90cjas5P2c/fC04U/p4
1AJWONRYaxkHMYnug8Zxhf+dpfYv2LrPKIu3347LU8XpSGqG9xazH2b0SwKOmIMG1U5CFLVmqyMZ
ms+eNDixoiqY13sSG6e6w9KqlI3H+Gx8xzmHobIOuwn4sgMjox0Nxra/fxR+9Z2wU7JWDIvfznzz
1Os1snPl8dSfvZmJDr/JCDULH7JVoKGo9T+1cX5am0x356eBVg5LFHrJ6x+hjpv50j9OByUgoDUY
j1ECzXZrDlaq8d9/ul+9GDGqs8/AZ6t5uza9iSEJ2tLxMMApuyZkCKsrWZLZghYwVdLvX+ynbZpP
xiCMEDFrvou99dXnczsXJPN4gKhJYRnGLSuLB5Eq8fcvZM45Ja8WFfpfZz67bT4cDoo3Czmzonhg
yNdzgOOYvNap4RAPek2bvg+0EplblSg6ISIU3hEgST5QkbgWoTnZfAyWZK5jTKNPoPUUS8vGmLDj
48jZYa6ilUXXC6BtNnc/YIpQHPfERV23yApIYfv9J/n595n16DYNUx8AzU83kbgYvcrNm+ZwTtE+
Aw/yPoq3IZ6q9e9f6qeF7qB4RzgNGYSWnvV2z29D3WzVEMmDnF3unnnOGkcGudZMYtZFQSDVHz7c
fHr98CsJjjXXQ6/PP8Hc/PQrFVNuGbW0xcGpB/EVZow6SBH4D+eGiOM2dHXqKbPfl8Ng/mGnM98u
EVyB0DWgPPDKJBNyBrx+zEQWtDFRp8nBwKSRT6QbeJhNtqMzgUpdIp33PjtGmgJ4KxujOUEr4wm0
ZBjvUEWAKkegN97qXU4XcUrnfg1c/fle3yG9R2TNOpI5cLptx99/7bYAm/mbegJ8fC1M5/kIvrAb
G9rgg5yXV6ZxGGwByDPxUHLEz2o6zXBt9wOtsSZI6fulNI4QQNcKh7YXoie6tMG3EMLBKPSmp9tw
woyvbQcRO9flaGjTFgwpFl3VFgD3EVLoR9rSeoEj1u585uuyOrYpAdDLeV7Yr8qxniigp/jQe/Gs
Zs9shpidEdUwGTtoXC29bx1xz9OMGix5ZgwSUZZdZWTGcy+9lKa4hrJn6eMXphk6Qp6/VkxkwrWL
n68k6Y4W5daXyNh3jkopSooaJ9H6nIh+vnwCXabz4mfzvQZ8X/WI5RB8LN3yuF+mM1oX3z6hy4yq
PFAVTJ3z6NrKy6w8pmGt2pvGwlW3MglukevSyKv0tsRNbCAWbo16Q7ohLn7d9I5wkUvYrpXRPA+N
zqforcSevlpO0YlLWaOYWrp9xs8Mv5M/yEe3n+yet3tXzbGo6xSC0FHxbYI0rSDab+K0xXXvVCMv
Tx+EzhXcBxrhXj461lpZMDWWnRMFxuepnydWQ4LrdiBTBU5hOnFq+TqkMyZlmdWYV0WPJuTWiLXZ
LM5yia4pF0u5NEa3r5aaFou9UrJxyQxslbac0GVDgDbZwu0pZAUVhaLENd0+do9CYcrYR4MGqbEd
DBWfXjzLHjzaaTucOQG4GukyhuiS5b1RMJTderHNAoOd6JgnLZacDed7AD17Vt8UEky5i5ySvhmq
RlIHMBsOyPqmsRy+wUoMrr1JgSM8t+DIWeTNWNFg3IuZKBEHURSs0Z+BL395rJB9YeWan5netRLv
qYAzD2EVLMG9MRhRTH5yTG/ebAXbuHRsVhEZfxRGUWbzvZq4QknLTpru84j4Wm0GxG7XL6MZnDlP
gW3NF4lQcLfzSlc85UYyd2Il7Xlm2TFtQ3K5J4RhHH8ouGgyRvSu3CPj0m5aIPYfkk0Jt7S5yP2Q
xzSvNCYNGFD5YtESC2uT+GYY3zRFzRsxdHonGwQ8zW0xGfXwqSPvAewGMv4UqnHpD92lPWTGvZMk
RNt1MojHr9A1WbIJAjVxMxoVXeBo5G5MyrbRuznnMWMALKIR3QLWimCag6pItJb7gYt52oZMktuy
shZZrCotYYY75fTmtcxODjCD6NaPmN+MDR20yXtEByoQcuj6QKuNDnk7uz+mjpS6lxP/33PSP8xJ
DayYP5y+PyHx/jt7+vyUA4V7Ieztn//rP1/+yPchKWYzGhC4mZC/G68soJ73ji2ZcCSDA4yOwVzs
/jUktWwsoO6caqhbgppqFvh+lxLr70zwddwiCJphWOob/0RK/OYiN49naVDyLjg6TerhN2VpYiAU
ayyhcZZpGAriZJx2nS+a+x++k+uXm8CPsTxvLj/nl6HZMQ916eL9xJ+aIGpjZ1HarpmYAKZlPq6s
TveucqSGf7povbn9zK91To2jTTjPMd9eB/gtEsg1VrAbjRIjqSNn7q1hHZhQAVYhAOBPGV9cNN5c
f3wbNTZtkZleRldLny+xP1RbQ9owb3JlsCOtJQixQZXtsZQdrNhSy0u8/NADHgC6WeaG7AWFTBm+
0bh1yh6EaG2HjMyUEj1AU+rj8zbml7PRbvQlENkhlsfab/wtQWb+tgdbvs2d0STAd5iJvEZ+k8HU
2oIpat8ztywOvpLVRgvy+BSQ+X4CPGwTKQ9zfjvWer4HAzWua4AFN1Cfp69+Ek8PUSrkg1uFl3o3
xmva4wW3gQz3DTqSS0obZx53Wd2N2QCYnaypvJqsPnlv6jhKCj3INnYdFTOTRi27suh3eolot55q
c+spGAeyHvs1M1Akia3VXLhGW54YWCI4z1LrSadM2mVOX6PL0fodDW03XIjBD5ylNwdMNEw2j86U
Dzd+OUXdQq97EiikJzZ6QygF93so9isuvHNchfsSXkGfc46yiIoq2bgFxBG4q6zzJXZ7JDG6lRef
O+lSFHeh9wFcrXnrhzrGPPRE/nPiNRUXOx/N9SI3x5LpShIPGwmAn+kNdS1MXbIAwauK7ErPlFct
HbIKjy4+xYuxK/oHb5yyZRrExEmYGWsvmUJulHEC5N8ybiED6MsAs/QtNzJnTRKjfMzdUm3KQW83
nnI0ezGUTv4s8zza4u37MsqkWoX0sy5C3+uqxf+wd2bdcfJY2/5F9GIeDr+aXJ4dTxlOWEmcMIMA
IQS//ruUpPuNK93O6vM+eJ6sxOUChLS1tfc90ArPm/3I4ORUoq/7ulnfQ1y13nGUXa/sNY3h9Gin
Og9bZVu7qihT0Lmd9eADVjpPyeCPipbF3luKCkmkbHqhzSG/VI5xq1kzcMqgm4vkgiEYd3kafu1x
PpqdebhpazIlHdUvNpycjdGUA7SsN1WVPSWjVTBJKWZY6Msi3tvo7aiR0e9c34byCNo9EvKyBOiL
K67Mli0Kh+VnilYpH44+eSny3lSil72Owv4+pflxFXLoC/Q8w2mj6MTUZvWAClfXXuW7+9JB0r6h
ex4Mlryu3Hb9InW3AJYXwResBKpbsOvurlqlvO8DaW1bGd/3fVLskfH/YE2Dd0OXEyerZR1vrGgF
lZXAq2vbBMFlJ1GHpfHftXPzPkJaxz0WVYxzwAbbtXz52oYFwP8UjC6OjVOlS8SnYgHZZx1L/Cay
pgI87E60qZYaA4areK4XfY5rZLY0pDA9imCpZSGNVY0zkEoaNORRGQPR9TtMisby0R/KOEPTCtJE
rObHaMEbOXFG+tsB3iwVHLqqgPfR22ifybhtz2a1htEHjZZ7fIiWyg3OUQQZbTrq1hIfxnIsIEpl
jQwPGc3h7F5VAZ/EukNhOdFDw9t0zdDOdxlmN7EHCpiSyWWC1Aa22mM6Bx9dkRtwv92mYNRm0nf3
uZxmC00NTYx8icD4Optc5tK6qBY8FYaHCsnkpj9Deqz6iM509ZAosBdo+BCGuyZCr94GyR6liwUh
wHNTWLZTiEi2Bte2mVc1g0s2PliB9LyL2U37Kwd1lKPbWFBAdLUUy64xWkBu3lFdGXvzz1Eapg/L
Ms1fsUow9FLwtwe/opPc1ZrrTn677CrQmecCzemLQtOFkM20tlvIxmRjVkz1vPeNxE8EOuDgoBW4
Q96t3QcC/ZN2tNG/thaKnFaaJp9+lDt7abUPKzpeqLq3lpHIV3PzTnu++OZTkrriRozqsxEaEhDd
1t0UZnW+H5a5O4/tOrmtgyL8XFOYzjceyBuAK1Hzzjh0V9sqbrg3Chb8LLAkKtbxUD97QAnu8JkI
0cVfm+4ha3L60yNpBMIpHbRn1m29+7GP/y8L/GsWaChY/xksRxY4VidJoPmNX0kgRR90BVxaWnHk
oQdi0qyfSDms5v4BNs2xqc1TrAUU968cMELrwzQ9KePEATg507v6lQMG/IiGDz9FJoRyLXLJ/4UW
gZFC+K16Y24HHGUAa80BKMf2ZTKq39KXOFJLgyC3/y2nfl9+Zy9JPXs3z67Vy52U0JufS1wO5GFc
vBp0+bgEwVeKSKK9cjqMi9yDsIySeAUqi72yTVL0wcFLVAb0ZDdWSUD2RbiG0Ep1xilXeQpTl61X
TwsYiKKcOCjDrReI7GQ26kxPucRJZF+zOaMn6CNvyHkakkoQn3kjlqrsjmylybCtZ23F6aFV5SiK
7TLmKVC5317kv0ldTyVcIfQlHlLRMf8FbKGno9ONodPJcQ2+iXFWCV4VWZQDbmAPIzXCkyThktqB
t/29R/N8eQTSlXBrLpGS52mdOdNPb9/Sj8Lx/5XbaK1E9MjwT0C6BXFT9GBevzAI57rpxiF7cSBc
VdcCEbDqYvUntOLOciss5grhswJLLbjzIp42ValFFW1KG7mGz50eFyyIogkJrws28xHfCBwe12m3
1tQyxr2k3kFGOISppffhWvXhzbpWDh/Dl4dMd2NnKDglfykhvj6J+IiYmjlI58CmeIlI+EkjB0F3
5MBQTftmA3AMH4K2sLp7wFXdevf26LGifp/tXAh5Cd9HVND5weI8qcovxFj8P3T6AnbUNeoyALh8
vB1sVrj2otK/hXQcoOe0hEENHwtF/0jds9O2f7OsfX1sMI+MzAJVUyR4QKliXf/6NcJaXOxEl+GL
GuMhvAkoOUmJIppF4/yCfGwNwv92kAMvRAw34Mxpo/tnQtTvK92i3xGhZeV9rad+6JZdvwgoJhsV
r3Qn/3Kt1+cw83QELt/5ae/MUezkhbo4o1SC2tOLdrKx8L+5xt8gP08F2hIXGcKVDHG9hKYt+fYL
/mMmkTAa1HFI+Q9kw6k1KkzMccANePyqbYRMMESM6ljdp64F1Pwvz3hy8jMPmaATxdENIWmC92nX
pew6p0IboHkZaz9oomMBKPipdiUxaiujLM3ErU7W1G6uumJoQ3sfqLxan8sxEpR4mpqACFwFNYfk
XQlv1vO3OV20+qrC5yxejni2+6Db3h6fP14MRC7a37CR6d/8qYHvJFXsQqNov0JuGLiLARhT+V3B
jws+dF0Tdt4ubVQn078N1p8vBvXPkLOiTUOS1sRJ2EotDLjEEFhf8E100NVEigen6m0UCzhzWwd4
61iDKPar6DPcuExzghyGIcGpxQK99Fg06wypJY/1Kr9kLb5t8DpCF6NUjLxBC/xllOLT5ckNRjhJ
s0xQ4oqp6rxeLEE2Q6Cdhu4LnD+k4TdlvMj1bgz1wKRaF/J4dZaMYgQs5aUFq2lsfZ/NoA2XhWCZ
VH62fGUCAt4MR+Mxz/bnV7CslYMX6vefAdhPBdEFwHMWfhgRd0DhSjVRxUxV8J95O+0gQ7bhFiFx
3kjepCZEo6CVc0F3AbH4Di8OqT9is0kKscG5JWUs3LKEMbGxVySey4Pr9wHru0dAw5RA/BKj2Hly
CgcFm3RcKfGmSfChLVqm5rAiTQxOTZRJO6FROzkfEEoXZbufQuiWzyuVSvWohj5U92PJv8ybvC2J
IJucMjLvzMU2hkujiIci5LYEVs5C5zxqapqdgR5ncAfbsA3giJcun4SynfIRtMLGBp8hOlfynaRU
ymYGEq8kBI+DX2JZWYLmUY9WMSd8nPqDuZqVLSK88ZKq6D9C2wrUMUWct7iufTAVZ7A/dXuZAyue
LiY9aeaSjjEMWnb4jDrLZazGnM3SpoPEH32MtOpwxCJNju6281tRVdCSfjxAUMqcR0UCJzF6LHaK
bfYmsFum36gzE8TqJrKtZt8jm8sfRSQWXN1GUYFl/fUdvejpi3sFbPx8y5TrZk0xfQ0Yg8krFi6t
RU5wRCeFZ0KXzYyqD5+YkQso8vOBeZZ5ddEiZ4TvpJMn5oqeFZG1LSINGRaxRChswpi3zHTpoECV
370K9P24L9OwbO5bSVMuOpQeZa5wIzC+Yk2pNkmYNZk71LwzD0kqfgs6TxodZCZpcF1Yvi6Wr32j
FWPYaWhU9TYgMDrpQ1zTky53azSB5zpPqTjQTkXpw+RupaM9fraEZIs8RJkAd7zuvVS12b6zBvPe
I1cRBfbD6lEL3HcI1XMng9f7/I1TaO+pi2RUyF3R1up8lsJUesiE8OZlxN41uJ3klhaenn+EHm3u
xU+gGoQALCOW4ILKPjPFW8OQqgcVSm6vREzU5G1YgVbFzYiQf/ChmHwD1Erg6nFbpY8IEm7PqmEE
J8hIDCfcczPnalJA/1hKDdb8kNkQnuXWpNbqUcQt/0cHs2YBR6UkNpA6rmQZNChZ5wtoABM88opE
rOy9wSxpn2JftxuQ6uNNBCN5I+q1wvHUY0SFgVHIu0hg8oNSGC2xa0ziADjse9RsuD/qSpOZ1V5R
DHKHaefqBEcd14EeACU+4qBdJGpH7yQykSmvczTFQpuCSZVkwjvIaskgHDK3aUZkClPPu2BZNNM/
Hg0ocZ80lC1aEgW8L7ClDFQFxYsje29jeV96xW1HVycF+1pO5g2Dc1ps5+CylpV1jkqAUenTQw8+
AO9krLnmy4qTLfeICQLvpvdjcFif29FBup6KZol56wNq9Knf3uC8k2jYHDbd3XpPICbc7BH0LJd+
m4mpSxJaKiEMwg2oE5kfU6+cAkincAj9Kvy6zqhSw5lz/IVnTkpU/zk/D7nO8+yq6vLJiW6kpq7K
5ClKE1IiOS+9OFRLauYl+j4jcwhnXxS5Lru1W/lZ70KLcG5QZiJUQshnlHYNjmEQuDXYhKm/AS8N
D/FQtv3EW2odYCH5vlvgAYbbpLdNFERCOWHm4o6VSnWwpZj5JEeYnp9JhNeIS5WtTLlTliYjzJFl
JjwJH/fB+VLmFtFBMYqsBceVIxNK9YO3dOe8fQjulzG8Bv8Y1+B6s0vahROX9h2kj6kKU3xir18E
khJQ9gM6h/sYlguDIOXUMx018r2dxaY8LMSHJc4t/xZxggEGMyEq8I+ilxC8oXpgrbBZG9ekWDaF
iuUrciCcRn6dQ4j6ZnDmrve65AwIcgwAIYMz4VnnU7muA7YbsZftMKtt071vg35/SHvNwxcdm/+y
N4A87jgqZ2SSDvDcIxZ2Oa2k07AOJzOCv6Z1U8zmZ4vf0XHdroDgufOws0y4H62YTcvBdIoxhqab
DJgdLnVmsz6tDJXJrY+wd+Rs5tyJxI1bEHZ3Y1IN0kJR31lC8OxzPTzYaA08IvqDZe5mGJCLvwhR
0KoOYacm8VU07DGXQ9ZY/nXKnXrbrhVF/4myK5rLGDx29QuKLetw31DWHT7Pq1PPt2ti1RS5kBOi
KOQFs8D1D/fuQGx73/PH6TDPAZJKQ5+neJGFjd04V17NtrqHbKCcbc87Ggjy9GtXbNlaNfgab7tK
mZR+Heal3vhoXbsJ8hXWIj8mrjP5D2EtFx+hsN6HHbEBzb6gDCASnh9L6SXN5LnM2clqwPb1vK74
mdarPRxSF9btJRW3dNqEsrqeAfiKg0oiCJsBCdr6mJUU4dj4QhldjJTf4o3nS9fZLuBiUAEIMzkm
xhwgQoITJCv6XkGdHQF8yx0euPMKfrq17TNndnL3kArt0NKUaN0X2zz1AutO0Dfyn5D3w0DvzBZQ
uft90tlaP2qpPXltoQpv3fuWDxJDtsxqOqlhODytsB9azNElWmriLNZBtoLvV5EIdwnOY9VZWkiw
Cmvnxw1yzFXnufk2QkKrj784TRm3LzlyXkob5u3S0y8JPFxZp0h0EYT3MZC4U6ZtH8S7qbID1PTS
BgTrDcpCVlWdqVCQ1ubf8rj1JNKCdJ8nF+mVQC4r9uue9KzsZnB5mPLuV/Zt4xUbOvdz1nTgUGa8
r9mWROPh6fg0L4EQ/k6k85CCWLDtjBxlUYYkBiBrZsEMELOZ/601UO89GzytzLaSEEhY3H1s0seB
DZzlkPuhiXANqkaEkoJOtJMeyqXGS9E8mJjjS9TXLFJSbEoVWw89h5JdBi8CjKHPlijiOw8TsgOE
AOzxzMkhKvHRoRTjq4ae1NQ3RfgB6DOwjzN64VGVnGWWpNYgpj4gTAbjSGYfVxQ33TPfDciCZ5vc
zdomyyyIZWVcmE0DtYZ0Zg9vRgTelYOns3dMfLcmJWrpaxJTGiSIeFDykph6UxA0gwmITe2yR8/0
QElNYBhJBki0kdk5sWPQ3OmQ5RHXhpYUdeuD8gOondsuTTRfBgkkZS2NQTdw/yNaSEQUcDY1H3FL
J+GO2lSMcJSBwph8NUkhmTy7chrCL/Pct3jvuWXUXmVdqdgWpRAml2pFZFKWPJFmjGTXhtL5PiGl
WyW7uXYUWB32Q+oGtEtSzdgm9hAw/MRwNCD36OxR7gnHxuxSv3Yw/KYYx6qzTcUiTGZz946XWgwk
2ttl0p0tRcOho54sBpYwU5o7AIefM33+ORIYWo9yMwlvJSPFbZNv7GgWNBjrIuUXgyCy0KsptoVN
HnAfNDoNPsBf4mZ+vkY2TMd55vg3yUeYO5on9soWJ97jNFJHp3cEmW7O71a8s9Lko8IDsayOuQiz
BvQF6ah6XOEo8FTgqEzxaRgA7Ofnwm5NUmFLOpV4BbmLOcjHYc9kaajXOXpbzPgwyJ1fuWQpmZua
bF51YhiCoy2yUcV3q8zdrrgKgbdwP8uKJAndL2+weVQFi0g91iN0xnQDNtwUvNqy5wMgQkyi5tQc
jYueNh320inKpO5Z70ao8u+yn7trrlTGpjkBWWFBeTD21GPoDSbflMC5lm1al1iVb21GoPyerqC5
li3/bj5NVjKsd3MdR2yXTs59uds8j0xqSBEfz/Gd4wlztz+XRyXpfj3WuDnyUoeRwNdcedpT2ScV
zxkIGOhgSKjTymAu4E2/kBOUB3/wzdytWzdpr5vZyZTcZfUYO9MFX9B4JLVzt/BuJ0s1XKtdBx7B
FiDUKVY4JrVOVMeRL4uSYvisBmxumg2GPUISXJbZ96782ZEV8GekIsvvje2aQ2CJVitf42jzQlAX
Ib3k4Ml7lkuwLpfe7HJ+Av6waHWmXa+vPqvc0QwKtrMm8xkzW5FrjF088LQFcDESg18nYsDTCHce
dJbZnL7arPf4W8aZBctqy7L0V/xf+xXEqLLtLVDknOOIyodstI74fXnTY7jW3mRtrdlh/OkxmUM3
RqMmCxu0Yw758CJNIp/hqKAe0zHNeGsSAQTSdR1bK+4ngwroLUVJ0NHHIwkhBgAU4sh43qOrj5YX
5wemU4iTJ1+E7KQJlYKYHB5FFGgaem2kmfpHwCP0FJcqJo/6ufRaVZvUqraaBE3QpceFrt9JpUYz
MdrZ1I+w3EDcZAMiIZ7bW9vXuu0ZEIQ6aRQllmQgZwcr0erIaTkT1yHtWpJXFKszKPCtnt6FOlrH
c3wznPoY00wfBzY2C8o3h0CpCJ04r3R8TeLLgVhV9q3JRGGdEsW3889TIxxkLDfOezxXCFIk/FO4
hcFOdN6DsTKnwJ8HizpdzU13q55RCWGVLfSrZLxy4vVVjFAQPOSCjv4WLbOWV1o4k7n1qQV32CAf
NKVS7pFy86vrSFAc4YPrwoyC+WoCluQ1ovAGGAOb8k1oFeNKZyD32uqz12lzQl9+Ro5EjybRRXrW
zMq3q0b/pmYEZAeCGA0ddKdPC6y41aK1m9TzF51Kc85UOALlwc6Cz1knm3EaeN6/XPK0qkaZKuZ4
6ptynhuTOL0uUy2ibWNb0rwPwtl0b35OjRoMPlvX20/356UMVgk6iWkYGSTP60u5yLSuiurEF3wt
THzqQt+DUKIJ1sSut691QrYAk0TpOAKpD+0NoYg/ulKj7aARBDzki/YaiMaXU258qLeB9HOWIZ7G
DnvhGnYEjalFuJ4iiqqR6twaflx4QxXCdDYSjrwm9vyMzL96H4YTalKkKBjZE8AazPzt7dv/Y6gA
xgMHSkDIcxx3bfPz33pqekgbmc0RggWFo7kPNihzLGRz5Qj19qX+mHMeheGEVhCdIJTET+vdpFEw
1UmgPid57E3LMV3icn521sgskTDN5r9OudMWChgno4+ONgXdBPcPONfQj16cUb//LPzcxCipWWx3
E0o1bBAuSNBllybk+yQTC3//hpSRPdwS7Zrg/O1nPx1muqZBYHoZtEkDxzmdkXMrtcJ33vtETYKj
44LI0PIVOSBznH/7Sqej7ILa52mB7nM1imMnxeuKxDD2nNL5NLVdVF2jBWU2qKLkpHZUuWuyxrcv
+JpORZcQqh1lZ5q8iJCSNJ3MICSCV4LJMnxCvsrUkwcvNWGOoLjwXtOhrzVYiyJb8KyJqiBnZ3z7
BozPxKtOGakWbhM2DmZRDN3JO40sKEHVjojaT32OO0O7p5e1VnuqHnlSnv1MW9SQm9QYELGJ37+K
4hY2sBwvmlCC8jiHeGEGpwGExh+U/hdWcYfnL6eFtcaOyCOPmLt43MWeBHqBoHglidbRHJjNUi0T
pDWwDDYLf+MRnchFZDRRPHJAoMyQrytKdEjzGpXD84LWcgz4vbJMbjUCoyFYWIMbcYoB/mK2c3AU
5DbR6JktHt1AwW1FPwv0I6k9URMrTJM0lbH8kfG5jkmWURkpiSQ2VkaMf5yVA5VJV2l4Zpd5W1GW
fXv4/5hw0DegvCAxC4nrz6k9cbLILXtdPnZ5j6zaMRPSHIGSVZoM4FfJ+u1Lmvj9W185MqEWTxB6
NDgV/8mWpVG2SHiX88ckA87q7RHdD+EmQMqurBt7tLmDDWKJE4cojY0QLwJPRnM3b9/G6ZN7HjhZ
IqfBcbLmTnlTbdi3M+8y/1h1lD8vMCyXzZNbze5w5Y7y5u2LnU5yQKmgN6kUhVhP4z17MslDx86K
XIzjJ9WLcn0OyshMC9z/TGb19qXckyXNt8OKQ40ojH4wp+yTjlI2a7uuW+U+4SJvx7uU8qXMDljs
Fpx0i3Jmd0BDd234I6Jgw7zUgZc8kwoHA6KMlHUpwXDkMf17gZINeaizIoT3aBcZJxSo4qwKrCVz
U9bSlikDxBKB7/xcxaEpE4PG4tMIYXg8nFUF7EUZFDgTVlRj4jUHgkr352ikFUt9wLMu83/6mfxH
e4eT8WYMEuKKzTr1I+w3TscgwLQzacJJP0G4MTtz2tGqAHM1d5yc3x7vH0YRv81n804JXiGAi5Bt
EW7Q60147gQ1VcdPH2O/+3EtpPPDm0r1JtWfCPWEoJ+99xqQDqPQ6tZUSX/9bVCTqRBYs83gBn5k
6pmcBQWRzm3GlIqCVUH+WK+QMs5DOliiQft18SYOTHsUAjgeFytBTR1+Nf7oFpkmklWXLmtnje2V
n6muMS98DUquYv3ojkc/SxO4aJkarxXk5k2WDlnLvImwnuS9I/hlCsu/WmisSOZuSc+DfS9NqXLA
rnGQVOn+st/Gr19fFKFBEAEWB7AUsBf+QTPseQJQsCL9Wisv+lAObeAeXNqjx7CKhU+NP5cHnDiT
yyUu6hRh3LQ9NkjTPKusADjaxlNL0zTzNgmQRMQnkZl4Sjm/jljzjSrf5rECZ5mU7xpabV+V8FGV
DAfUlrb0csJbhRjwZW4X4zU7Ug5Vq8lVtbPG0nu/0kdWFyl+RcFGALP0d1QNq2drtSSHgxpo4nZM
hjufXak6+NADr6NlUDspFsSfE+4wp4d/UdcuXYJSSMp5HTytciud+hOoieASX1ow2VBUbVirYoge
XfbnzyLvHLRuhzCnhJGN45lbtu0j7JfpufC8HByUbfntzqJu97GacGCFHzY8hP44khal07HUU3mg
TbAIwKk0l7egEfHFm/xGXeCutpdzgiJLnJfl+wlLcKrm6VTt5Dx0j2sJ9JT000KAD/j+1g7td75c
7C/uIsdPqML4Tyjdow+kw+ayisZi7xdL8TdD31d7BhOCtjJJbkCq4LskCicxraP8EwFhb194X/ou
cRFF24d1J5GAhn749PaKfr1B/bxYBFDObPPkcKcZSbr6pHZD0r7gHNOAEdI2JCfqq5umqa6V76HY
qLOueUeLENzk29f+Y+b/eEywOrRsCOKnOLApGBPMbobmpW9bDq4InEITg/cI8O3tC/34pv8LWz+e
0nddgAd4BLEhnx4itdtUrgIr84KKA2vGc9kuUOrC/BeQex3dt+idGHNnCyB7HSTIdipR1GeqCEIs
5yWwL8B64e0QDslFa/XRE/stGsvUFeVz05C8uLJtEGuVjv/OVmX7vZm8+KqlPPtOuYv7Pik5p25w
KMH+JquyWw+D43xjRU1I9aaiF+fgCny0h2R5KbsM+ex+Gg5OFtifbS29LUxk7y+50AkIjyExaQBp
EOOCkbp7mhI4VjRqH1D9iz+Zwc8LLz/z4Nsf9ao/t05Sf/SsRO8m6LsIbGMjfwTjC+vh7TcTmMn8
6s1EBqxp8CAQbNnGTzYUNOoa2gd59AJTvcbyuR2qjY7h8SDsUa9yp/wGcahG6gn5M4H0PBX9Y0fd
6lqJUEmIY5l1u+LdcfTWhcLZAHwYBcw22A6VdV0sLVKwHkYRXuM9UgOtbzuLl7YJaYwt21Vq2i5l
N6KDJJLonrRRdQf0yr4vyIPeeJEoEDGn5FlknbhtAlnLXZcaKl2dT082LMB3Vgt5YRPC0Dx4rgRb
jY1P9jjXCW5EeW/zAHD7kJOWGS2AqOxLGiHsiQ9+YMVXRb747x2q2iliolWg/zLtzdidji1MeXLQ
kNNsdCpZMFES5r1H6Utf+MGN1Xvlsyi8BaR239o3zmwQ42+/Tuc18JVZFRkwJkccWFhA8E5FORzb
rYeGrfMbjr7+BWUzyEjptFiXFCrLA40ISaQPsuFFeHb9XGQaNe4isd9ZKvEOb9/LD9vz149Pqkn4
dGMXHWfnFAw4zE0wogXdfss0DQbO7V36CQuXXO36Zgk2ve1WVDhQ5UblP6BWuCvzMDjmwGF31EmS
BNVBC3Lg0MEAKCSavZR+KaG31phfV2ExHnvP0zchVjvniMdm/gatOnfeQM3GlDxDRG3aDMjXbMGa
B+LMYlgOZSWta3hP6LlSyrCufniZwwJmOyuDQiDQyO697WBdXzW0eckovQYiQ93XLZCSuaSHS9Pz
OVAcTclFxgfp6vY8b2r4+UMEXIaZSLtoG1L1u/OSoqXlCqJO09GkrySRucu2OP2I61kkI86lhQjB
1cZuh8o5ps8IrIeZ+14OXfEBzo387hcuRsajKsHwv/12/ow/zJQE0BzQNTyg/qjreS6d0ErP1bc4
pD6AKmJSfgHlsdA15JVxpope1hFt8LC1viywL9E/DpX4G7Xt303Y2ECQ2frQTaI28DqhBSk1NuMa
1d+QOV6m3Y8XAs09r6+KOpQHe1XJYz+00wGva+R3k1R/RLMEeUbMBJzHv4zJv1mwmOFRWyZ0gLU8
ReyuzTTj7VCV37LIDh/60Bnv3dqydhGF3Uv2xekGlQ95Ify2Oa+151zLNmIji2oJpTfKYwDJsKOv
CmvyvoOc74NNjBTkw1/u8o+UIYKY50HNc8FMc6g8GTLkwJYm6f3pG1XvPnsiswhGrNKwh59GW924
cG7pKY1rGO/iIei+56sdYVyN78Z85qED8Bwg2XxlR3P15CKvTIeEXeAwlNgq2GtWRlu/p937c779
j2fx+BdVYgoPFBv/M9Hi5tuX4ZRqQf3R/NIvrkUS/IM0wfdBbYIADgDL/5NrAbzU/4eNHA81BXIr
hHz+xbXwjU8rC4vV+0PZx1T3fnEtyL7+C24F0efVthbgBoRfkEnjwAqHRjro9ZI1LSZ7wU3qyoOn
pPLrtRpcN6zARvQltlQqKkj9IWWqFIzAZEG9r4pqfgxAhJ+Pq0wf6iZOV0iWnnuNvH14S5MmvNLQ
1CGicZbYGnQBxlfeYB1QfJg++GPT3Axx1Jc7TMsm3O3i4sZFjWdbBUOGrbxa3b1AgGgbIL96I7Mm
2NIV7Q+2ipu7qrLbOznP030CthZGMNoPz7CU5gujczeB5QrbDxAwEYm1cwttB1jw93UeN/eDK+n9
Vus5XUV9RgE5uwv7YL23nXq4N6qPBw9roNs1lXpvzZ68qESCtj3Ss1tFD3fv536EeGXV149TUerP
UdT0R5zEIdT64PXv+l6Md6Rk+fsez3B6qR2USC9T7iHJI+chgoEKjjYs9wokXobKbauvBsQ1ruJ+
fAJpDbOeQj2UDF957tb2xPrYyqna0p38Umk9jBuPlsGRfmFx1RdtCZFFBOMnxIlnzEp4h0+QrZqb
GHnzgwVg7mJoaMhscozCd1BAIyM6ECMKlVrFHWZx5dGqs9u5KuGfgj3brXkAHBR5sKM9d/MVNnXT
VWs5xU3uNKiE0lZcHqi+TYeKLudWhpV7Gw96PC5u315HvT1f+WO7HOGYe58pOncXZeLIB9LmWm/R
46n2rYvpH/g2Nz5vhD9d04e0D9CSLTAKdfvOkrb3APJHfkQnrP6+uKP9CJit2IWVbm/BVVg3XgGc
MbAl+UOGvUGv2+SOcmDzgSxRHZxYtLtWuvZ+Bid8NtuBtbe8Qb/08zjeOlIgGgIQB/ykwkakZOKg
HmwlyVcPXN6w7QcHoXjcK9G9pUpQ7f2wzd+1IwDMTZj0Eum1Zt00NizYGKGmDfvfZ+Wq+PKHaB+y
s+LGB2uwnVob3p27cqwdM00dkrx/r6ykvBKUwo51JuKjrTDKwP+jvLMFiidFla23VVAKfBOD1PqK
sQPGGGk2kur2c1jrDbXQ6bIFgUz8yvOLosIeBvla8GboLnwonMZ+j62dvgqTygY2M07X4HvJgDvR
q3cDJM6PfS1czAhroS9FQE6d+FVwG/d4IMUiO1Mqau/IcuS9S69gXwWeZP9Ra9UwJ1t85LoeeYpc
6oA9XbL/jHNrUQmPw/TcK0t8AhJnOA+WcqzZJB1/RZe355AR0mZ6JoyIuwUD9CNNcNAxUxPsOX3Y
11HutHgRKYGLaV/E+yFf+tsma7LbIffdXdiH3qe6wL/KaFjq92Oaw7vW8bQ80Cj2MswXamu/lk5+
DMK0uZhWRV7XWNGMM43VB/hviMVGLpfq9Rbzwaq5sao4e46cthd00rtUsDn2KZGkEOsOjuJLDcoe
T7yw0dfeGuGjWlRBUaF8rKznDNuUBEZvgINfbWUaZTCn7PCEbyGYad2vzUbEQr9za9t5P4xpC0VX
uIPoDzUGhba+5uge64IXl+Fa4x5IezJjWjAvYZzttc12/5CO9IDDpyxqhLyXXj6pY2fEANuLVbgj
BoAyLhstdr6i3PwwlDqLv/pZRa98m0e1PQdPDcldH+0xA7SqgzVNsnxZ4HI41RnduWGAI8jm9r88
4C95AMo7bM7/OQ34f0gvde1rwuWPX/kn4dK4q6MI6FGtNNmAEYH4ZU3gOMb+2Sc1QPUCIwKs+P6l
umGM1/ktcKc0XfgJ9/ArC/CM8bpx/kFOixnoxP9VUuCSg/x21g3Q6jQ9ByTU6BFze6e1pKaPRqTb
EVZ2CgEulzL9DBYM+GcQdvZlJ1SM83jZ//Ahr9ymJv5IKlIOVWVjV+7+9C43LXp3X5OLCmzNcTrr
cTkvwKVC5d9OZQuAYitm7bcH35sRnIPWvhxLa56BSVC3dRt1Pkw0cBSi6HJqpbhu66VE3UoVlGYT
4v1VgIrTBQdLZZ+XRbhc46mV4obVI0xkhR+ssVNnc6eibGtrrMgIsVelwcE1VDWdTRBU7mMe4vKz
LXJo4hvA5Ea4Z1DJfqbpMEOqXhHJCGvEnNZKBZ9t4XJ2ow6qrgs7B8nj5qZKQSEeKa4EN4T6rNWq
PgPTWMe7IOmK87DJ+ugmAQrE9rrYCBBYVsd3ikWeyaFSE0GZRkre+NVRUB0+lOsQAe0B1juhAF6m
bJ8qVbdukLYfAYCDuwyB0p5RwZS7fBxJJdgMXZQMsmWlU9mAqw969UEO/vKcrh1QqyHrhUZsjhYk
heCAB/VTe3I/APrqr+bAqc9GN0SjzqnUPsxE7wDvG3AZ6xyx49w575FpQyqRtC84D8F1Pycl8urU
Z5LxjAZzLw/5ONj1RjHVdxYtfvtdH1Z7F8p5c+bJGg+/LtC0SkuJ0c9YlthFqEZFmzj0/z97Z7Ic
uZFl0V/pD2jIMA9bADEHg3Ny2LgxyUzMgwNwTF/fJ6RSlSTr6ural5l2EpWRwQi4v/vuPbdrYl3Z
KOLuWFFqK9KYBK7yt+Y0TZtp4AFbJeZIJMccdN7opG2d6Gq8+OmJTP9YHYPQusO3cXuFWWwgWy0w
l2gP3wZdRcNRM7ePRt2lJ7yx5SvxHjcUOnuLqCWesS/HNNFjs/Nuq2rpUOcYSjvSDDCM2SzzoTFm
cNRoTXK7QCjf4HoLbmdHUlArOiy20k6OKUOsFzZWVeBc5hYQOqkCPpFrzWEQuXkYKq+K2aKKd74N
HRsGfJnfya/R2bX0w1jskkGaT6LM1GHqKm9rlkirYUDr3KNvj58807V4XFgZC9zUVcg3IDugOVgQ
TBPCLlHi+sa5clkNFKnjv/muZe5IDbkidJipDRD/JpUQ8AisuBfyycFMf5Fsdr6XQyViusqWb4rF
0F6sgBAAfulU6rRcgzbQneimaub6Ip08B4XS5HkWEoYRkdMXVyugaJ7dRA44xIP6UAdZ8kKfCYRD
fxDlQ2HDW8fh3+7GocJE6vM59IQNLsEu9HsMuypasEUHW/jA6Dw+/RjiBKk9J34wtLddJYJt7+rl
j9oolgN8mSaaU5mH47wE10Luz5zcRWxx848c6rD2eYnG1NjmB+6tF6fsHOocEyTXYOROXcQSnSwp
p7CVaavcu6nXRMIfWziuojblP6fi/6vZFnzk/30qFiRlPvo/wah+/ZnfYVTBLwCRXBbrgc2OnyPu
78diYP+C6Ai/18RIQ648YE79HUbl/tprizBLbc+1UOcPxyJzswGbE6w7e3SOs3/rXCT8/OdzkXU/
/7BWxPzF7tn5qwhKrMLkY63oVCx9PyKhTvqhHmjIEul8LBPp7MGjYKdtpmn5cpoesFthS44Uw5ge
mkZRK9232kfJXe2mQCHAxyusK50tSzgR3Jr2W9u70GjWPyz5mD0x9pS7ApPxocLx8N60woc64OVH
sk+bYenldwwk+R7IQAfZP8dWjYevXT/1ttCA6iYuRpy5MB/xwBTHoC5r8HlWuVMWw+Q81DeNYxIo
K0UVa3kFYW/sp0OdVZDuKs2l6EpLvGMlVVuGopxvm9Yvd23pB+elp3KDK/Rs3mMwDi4EwfQbY8n0
G9YDAOjGxpJbdMpyh+87eTWCLLgYWnFnzK66EfTLrPqCN4ASnrCWdqCBTGqtn4jpaTiBMYx8g5Rx
REflcBcQz4Aw45GOsZ25DzuelDun1NuviTN6a3W0i8kMjmCtmuJZ2jnNk6AG8x1toPk+6Ichnuyp
inVvMdiVmuqloSLzdlDpdD802fqJ33x5rTtl3ScFkWZrybuLa1E37ri8ORgFsq2kQ/ikz678Xllq
jgkHett2pBnNo4ODLONMb2JRl3uqxFEcClt9aYFFr5lDVjFoT2adAO9D7FYZeZpCbyhIcMRNVaCr
wCI+lAV4xUQ2IJLIre6kHJ2fSUDReJ8P2Wlw7Wnn6gFDVpVWd/jmVk43LS+OGK2EtgGRqU4tIbJv
yZIFb550qw13ofYoWnd6bMdJPgXCzm5W1q83U6+TR1Odlb1Qfdifc6WXj3Zjt7uK3UcQTiRd9iAD
qU4vYM/er4uX3SSJvW5JU5Rgaluf/V7WGhxk9I7T7GWNZ4DI+l3Q8Vlh2+aKKF/t8lPNc3sRrlvu
l1lZp2s5ITRDN3tTvkebXZuCu09a574i/7Sf02W+oGxYJ3Nymn1H0dPtYDf9U75aQTRXfXmoNIoQ
azEJzkbHv5iyNd9qjGk3EtriITPKdp/npV2FVdGXbJ1S57Zsp5OZTjYfR9ntNX3YsF0YPrAE6gsd
1IWxMVvhfUhr+uHIuTokSzvSFokJsCHgt2Vf78cLfSffLLv4XCarTSItsc03z6+fmtEiYNe3y27V
a/2+oTyDiF0qtKOj4evkMujrl3RkNx1NNO589KLL77wE9SgEzBF8UmCf7uqRH0rWrHymgINyJIv4
rY5d7ESTCi2zlsX1UZVuTFaoevSsfviO7D524VAYT8QyDpxg7rGZ5A6LLUZ9l1rkMCvz4p6Jt3xw
RLl3aW4EgrzWB7uomrinbSlUPCzfhibIDp5TiS39ozJG+J5DUc/5Q9sDWlln2URWwXptTZfiapMv
Xslczc8eW9j71qyaiF8oCxLQ9GaMtN6CDZ1pA3HlSXaYpaMg2DpDXu1EP+k3+IOhZ5f3lMaOr5T/
NESVLOM+1xNrX5NM7aNyQuumOKP7RHnglZD5nPTZ2zXGhHpSGkrj8mX5r4NHAjJs9bWEiO0tDUGA
Jbld+6bY0aZGe9WyOF7UjbMbwGabmjARy0bVK+uZtVHKj4NgfE7WBZZgWbCZLrkb85hjOxoGbaef
uP22N0B39Q2NWq+5SR1smCTchpAh4Dm5xEoDOAkIANkLsC0dmHuvb7hX0n+TF8330k3JiTVpcO9U
PgJp78xVuGJGv88GrYg9r6Zooe0/3NybdyC+/Tu9dysgHpWlX4B/65GPzES8yS/dDbGH4FvAqXFZ
7TR9ASiXnat1fMdi5+45RNcIwWW89Imd8VGa8nOfu3UEADg4V8ru7oZcyJuc0NU3TWTlhdmgBVVL
T4wRNEm8mmm7cXppvWAjMfcuJT+bTvjNNp1z88fqJepmYnn/YVvyerio1X5lNZY9E5kbyxC4GHiD
PEh2irQwwbxkijRDpHdAiHmIMwyHYyLnR2QNyNs0d8fLMrSbfjb9k480nuMEaNJbeCYTHzQu5IGG
g5XfLJDrJbHUrgYWeg2Mts+lEruMvP+GbN96V4yWvWlHosAUi+lrHimttkMHqc2VzXgxxsQ8Bpg+
3idpUq9sol2OYGhuMr7ip561yR4POXHFQnbBW+G6WVzVk/5Kn53Y82QCADKY8WK6zt2qcu2zhbFx
bAdf2xKqRkaEGnJwbE1sAer19+Uy+c8YmMXW0KX+mI4Z8hGd0lq0LJq7tRgYLt0iv9f9unzqq+Lx
j3VhJY4828lutiYjXtn8hmg7J6fWTVbwNU22LFKbidDiFW+gZzzRMv3+Oj1w9ud58qQcLiJhrmS5
RLUVDPcykeW+SflKU9fuFayH+o4Vnyd8+TPo2uIwlqkZ2vOknTOTvlpKYu/GsS72g6PenM5BwW56
1E8fPuD3YnDfAAB86EL9JN345jfzQ22szAYrRODaktWhq71lQ8j0yZRJe2xTz3sa28L8VrBY/IRE
Ob+QJHnzx5q6uw83A+NRHFtCGLo6trKX47Bjopare8NVq06oLTYJJm4ykvL25moHPM+m48VqmpV/
Jwe5gJ5wxU+VLZbPzDbxi4NuZpIWhtkZiUbfKXrIgOWmbUPRktSat5YHKHeva7R8FsVWEiOvjpBv
u/jqSIu55FFWnyz1EYi298aiQb6z2keQFThYTl7qGN0TLWKp2JW0NyEQzP20EnZMBif/8tO5154d
EmQO0MiRlqlGy4qGSE1mxTXrlB1poHo7uv0LMLyJtE5SxjqzP2Q++2XWzGnvZq1HBcWgLvyXVw61
x3WS2rmss8+KthgwjlrjhEXCKaN5gEm5izzXa1puUva/R04Q7TGlUusM6dCIgI0sF2ZZeen4bVJh
zrSWZtOHXcDb7wJXI9ukqZ1Rz0tIcoXrlrWaKgQE352y7MC+kGzQAjVcDMSygbxAyiJPCN4VboF9
X63AoXOpJYfVJn6rqP5muWBmx0FPzq5R0jTkGe0ZDOMQL4kn35VFWw5B1mUHQzzb5gRrN1qiM1xn
ZbOZhN0iTack9QfSiRFwEX+vkFbYF5nVztGF/tNWRO2jFkDPTI8ixvYv16es7KXXFUvaT2V7snCe
aYW++nuwTWeAi/8zxP1/hjj6UZi6/rm0GYE47z6+mj8Ocb/9zN+1TRNtk4sIHx/XQJVkJvxd27zK
nkxNoK0gVvAdZtn9e+2qwaQGHh+7BqayP2ub7i8YzUwaA5j8SHbowb8jbv7qTvuHkYWFJ2AhKrJ+
LQRgxPqrR+Faeg8dZdVOyBQSRg9qkb+oV0Q/u+6OuQ6ZjB0nw2Sa77gWwSM9W0FZTRvUetvxBpYh
i90mRzsQfmHd1JpJMGMJWbkleo79ERBjv1NFPsxiV0B8ybIzqJ6Rxys10jmOSiGxQdgYnriar6h3
inVAesbg7Cz05E2+p8EQov1dgwVSV0d8QYD5KUK+oirgP476m1l3xAUaipbb5ZGG7KsX3rfxwNzz
aFJpcJtlA+JZYGPGqXw86hF1bvhfSkUEbQk9mlcK0u2N9Nv/fGt+A2f/i4UAyubVk/PPvzaPjRrS
/4o+uqbM/rwY+NuP/u3b4/m/QDrUPeDZgCJ+lfj/9uXxLaCKPHJdeNjub//mdwHE+cVkh39lteGU
/O1r9fte4PpdxADDNwebCerIv0VixAr/ZwGEdQVuAf2KfOR1GJb+Fzetysyi7vKs2c8EpifSa3wu
0e2zAAowjiy3NineY7Hp3weZRSkmlLXsMrkYwrmC+FdujjKecpFZL796gxoAqI8jh/s7biLQT8RA
uZ9Nq7Nvu2s9J844ggfwXWOvoAciIhHvVvGgzXkfpig+1tkvtfRSGA0WFwhnFktAWcoNBN2ELs5l
mYyooAxhjterj7SvkDpJzS72ttB6+xYC4XxXpMKONIgD2kaX1O10YiHPyq8A0AZBVZNwwozJe2wW
98YECQSJxBTWQVFcdJywzx8CaMn1Zi7l+KZXvKhYVmL4wZ/CkNzZzKiRUJRFhn57had6brlsfm3d
nUWNXwxhuinYh074InWqTpnn9eon5nln79B+egeI6lpxsWbia3UdMgBclvuXFh4x/19e2YuNC+CF
K2zxwPJ35gKTpbeTEvVT2/vN7dB343JiGZs4sa2w5IdsUdmelFVpCARu5n1wP61/Pxe8Lum2vJG5
IUTFHQH4W2jns3e/ZmtLF5Hv34myYaia1w6PuQg8nHaESRtG5aoPndU7zG3V3haGDO4ABXGRg1Lk
7HveP2IEMjiXbiZ3a5pO55RbznZOR6QmyIXNo2FI/x4jenbJC8C1weI7+8pIEKJEZzwJnM0H/IJw
nkoaKWblNbdFJ0ftcbWrZeNCdTjaPVKwLAtlx1D9nB4priJyrwwLDFsmv09rJd9QFsyXVl9sukNW
6RDXTBzarrSK7TNY4Ouiawnu5zYBr7jYwaOJ//R+ttY52UBc0AIWF9a7KWaGGj55jgmZSJs+/LXw
o4J1/ZkAsZds2YBwPsxsuPbCk8N6UIq97i4TSjub4IqnaDI9wFj67Ndp2OM7GQ6pU1DWBdNNPXgU
lxfn1JqDu9YnCxManes+c8ezb9Je0yfCz6Wt6VdKQrM6kUuw2NolYDUCAQg8n1pOI94IMAKgcvw3
OTaUKg/0Ykdp61qC3482jSEJNyWnzfW43CY0w5icTA2Y6uPgtorBVsolezHbPhiONEA6oEL5+Lxy
SdYel6nrI7MQN15VjadsHPqXVFYXwQbsXCoKRD9z4J2jieunamztmFS6V8cem/Fnx9KzbbYi9BEu
WTeiW4otxyegCCysB87D6Vs2mFmsBWlz0+ep3PSswnNlpFCi6f7FgUn0F25oOn1zCY+6e77e2lON
f2fXdB11s8oBRBJB/moht5ry6h9JMMSYffLl1LyGPRdxrAmjMlXMBmI+ab6eH5iynXgJalpc/POQ
9+JAXLyPAqafI909auOxut/YA0Zz2cy7SbO1L2flScPgGElBvYlv5EAsTCNc2sG79Mv8yKCXxAwA
O3/InW9G1y0MbUrB5lPN7eTrD/TDm7Qvr/za+gC+1VUqHkvBJQLmxFbUfdSTSjzpKAY/8sW76Ksp
3mRXTHsQduVj7Y7+bU5rULQUWC7ssh/vDCWsraQgOpzwQ+9sd71kEtJcaesD2AakscUoADBTtRax
WClABHRNGxf++tYIz4EF7t2ubXczTIWIWjMduXk0HfuuutvmrqbfdJ2Ybt2+9NnkNd8DnraM6oa/
ycQitk035FCycDA2hin3a9NkUTmO2hGemXFaygXtkRbdJjP7OAHMFRUe8C5cYFf8TdO9YIGEzU/S
6/lq8eeDMWm7pJt/qs4td0uKY3foJuNpNEzxbhUOduhZ0M7p5jRQg8U29YOitKDYW5XtnGpKFLeg
bq/VK0lDcYEq7KMvrqk1jSiBasF2ZytH068r4cGxsRiP7upd0NWvBmF4XMQ2ZTY8BL0U3wLp8JVF
MQP3oNLLiiP0e90ASgvXOSteW6+stoZCnROZ6W+JHQa7Zh3bt3YS+gvqqLYZRkp1m6leLzUm4dMi
p24PNce/hwRR35Ct0W6xWH/zElmBmwzwWiX4PoHvCGMO1Yzqd3TmPDkHReUHYVI7MiqHTHlRYVoQ
0CWb7BipewnJoDe0mRvWhdJk7p1VymJAa6+VmI3wd4CMi6PWMZRCzVKh1JT2bWj1/oVPXC3jTE3t
Sbe6BwBqzT0wS/1i0b0e+wPvtCr5GNjTVp9NiGlGSg+wCeNpZMA8dMLLf1i9Xf0ABcjSM8VSGIH5
mxzOQXc51pgbKb5eJC4iJzOeYZyND3At/C9MPQl2YOmfpTDftUD9hJGQvMLqvILMaz3qbeeZEL12
w3eqiCh9YMdg8JxbFymek85GS8nfhas+fVM6O1BJAxZZxAGSi6/LuAQUWTcm8lv3ISvgyKOlH4p0
LjadYbY/KDYeYRBrsCF9K9+PJhHqyEQkJL4vjLuyZzkOBL+4rw1y+8lQo8J1alPhNVtCMxkzUBNp
N6FuGdV6SZYBa3PVf6k8fWLLwVWK+0W2WjC8rLFEfsrX2BE6yGjgbtgMHXm9zEg/GmxMfjOn3IbS
hOzDLIonzXSJUE1Sf09Nj+L3zPd+dEb3oEbjp6gkXoVMIp15bzXWpZgKgWw3F7p3DJDKzohpduhZ
8q1J1na7BuqIMw44R9q2G8wYBd1eo0XAa6kOJHSwb12LF13jOZuW4gzNgx7szL02+fQBqbEhjVqd
CuqxbI/NMD/aqAJ0ztMoWY5OpAD3fQ3cP6PBUs2jAHsXEbrnvRaVtcQw+sYN5pEhXOq+2s6K/rpO
8z9Zwr4aVIm/6fB2bzGpEsT2nXtpDHyunM/KrIxDtgJ8aYHHn9oamoOS5g+vmkiYG1+9X8g0hqvQ
RkbdT3u/hW/f2629yWTKrth30x03Fu8BwFpCh9OUQ+nR5luz9sRdJ5pjxy+9KbtdlqLWL70dOazW
o9zwk3ihrjrG0WpcwNs8z0XrPiAOqV1LtZoKPbNuHlSqmijviQWMLn87rCI2R/pZk70bg0f+BhBo
d71sSqO+bbwhiewpOMHq+okDby/xzYQkqG/F1N9e9WyiiX1E1RZye/UOzaRGxpufpl7dtcZwi5ni
httahkdzXfje4wuBYVZwB1QJOjBfc8fHaBs7VuYA0gLOfa5z3z+7lcQc5nahuXhOT6i2Wu9Aaha/
xez+4wT7F4OfAQgE89Y/H/wOXx/pn8SSv/3E72qJgfBhs7UmLYFOQI32P9QSw/uFic5w7Gs++I9u
cFQUXSeajHjNGhq8yt99YLaBVoKIoiOlOATHKYf6N9zhUDb/PO8xOLLu5mVdJTbbYGfFv/8DJqQw
hFR4V4B/pzzgEzZE8oT4u5gbzTdYtVxrQarCqo+wrN3ycc1aJ/iOi/lHys300fYKC7tOw4obB/VL
4WnZCYVnJmjGgkOELZJeFQYryUVGrXUZHrTSTKimS4CTPeu1FFpYj5RgEg8NUFXGEQH84plpINlU
lv4269P6QILCijzk8KhajCSuq9KOr6aAbZoZJh0sgbov6MXo4MtP4lxabXvulTnsSMDIowlw8Qva
4btdDf6XHfT6GwONB78va9+7qtAjuNnuwbX6D6vLjav/NF1YfZt4irjFznu9bWx4or52qXNNzJwx
4zbl9tmJqKOqbewIwymjGkHJlYNiIJ7yWy1NzRf6Cs+2strYyGY4kDyBHpaeh8qgJBa3QX+hcSN4
np15uSX1be1aM3iZZ9/FPw6vyxqrezvX5N5WnXnpqqo7KN9iosvRm6BjTwfHTbMbCI4fwSB5YFHc
tyFdXpxwp1PG1Gjj977wxGERdAoWtVH+YLnTYaf1jR8WzkQJYbVr9oGZ/VDK7DbBlM2vIOvZKyQZ
let4+YAkVaX/bpqq2Dge4MnZb16qrHqRxPNv0AMAb6bT+CYGzYFlRljYLjIvctrrntKbaA5kDB0d
KM9ZwH5zne2rOyttD9dP5LNEF9jC72VmFqos9p5JM2TIroHtAZY+hPZxtHb6aKFcY1LELefS2/hg
F0Zxtyz9ynM11aN0tSWjFCu+MNNnhz/Fajb0F9g7ol9cyPFFZY8T99mzU7XLOV1c64YoUb4loDTd
TZ3stjVeyM+BHSzIOt3CuVho7U8CX7liXLONXcUO68wlPtvPkATPgwCMwqpwSuAyllpUYlnbp8ZQ
JyFbCu9ktIw2YTZ4+mWCG4dHOmDh14EJrCOg1Vzs/F59s+ZFQcS2FnNbWIVcoln3sthMUgL5qelE
hUZvRdhUZnBihp5ziLxET6NRNt0WvN45k7wovADtkdVTzxXJQ9QYCzP92ai12fh+GexxbbhneOdf
kPx1SM9kuEF2sY8hq4GRYV4Zv63WujJO9eAFci4Xp847taLO7ir00W2ZOPp3whElEXvD/SyYgyiW
r4jJu2Pq7qaOnqjOGKbXoLGtO3oHPWwYLMsU2+cEf9a0nBomqSHyfc5iWlGnFugr1T2LMtc7z7Gb
zUolaOS6cx1jFjMPPRvZB0olnB2sCfXNSZ3mnqtiymQlCs7hIMlOWmtxBa4Cv4r8gL+SCziT/oQy
IFflTRR1oIggqIz5jhjfssngDz2PKCQheqyxTVGQ4zQgptsNtrgBi9ndua6MDfx3T1R5uQ/Mzfuu
tlZUFn2Kmtk7OoqvdZiX5nzIRMU1ZHKbu7wyNZLIRo8hrvWXR2wJ7Q1mVvPJhLT0nqG9xJrLfUxN
3XTwlywVhxqD7+OcSzMKmM+sGZM87VHYGpvpnumwOy8kQSMenvqlV9dhwqmxylYZbj1dBhRwsZFe
pUEw23EvrS3rA8ta81D1Cri70VfRTBodmIVIdkwVaUzt9pPmtYsIFzCnj2uQLj8qHT8+8tKyp2HU
vmfhXmX8FrlaMK2mdKg5xc5TmNCRh4ZQN9fhhHt2fqZ4i5tOWyeR64/uDY2PWtg0PIiCJJ1igaL+
ZjV6ul/aqYy0uQw2HTAALc57x33jEFz3tG9oPwwWTeE8pVa0uLb6SVyludjoGA89NoOoxeAxNFL/
SNYq2Uh2T7HZjCMtbj0FTa2Q6Zu5JsO5q8qHHsMV9kxW4lbX4cIpk+FurR0iyTAr73QjC257aqqA
Lyix0tDsdphguGCZ1uzHOBzHWHmp/YMt4biZvPmT/RzTMM9M3FDFlEbUg2pn8MOSmIUzvbRzkEW2
0a4Prj8xcFiNi9cl5bthuW28cjs7kESdaTpVGg8s9oKTk9nvBbXk5DtkdjEEFVmr3hgfU5XYMXaG
ZwrHRGROi7l34LSiyVGZ/phB7IqxQJCjCcoHeMMHbg96GHRAoTaFDm4urIE3xV423k9tkbxos4Nb
WyHRLWRa7vKyJ9utSaQWPXHlMbCkd0x8RECeoCLY89zUon7Qz72nWQ/rqu4Uef1QlnoJ5IxeL4fP
3lO+mNVRMHbylcB+EBg1FXhJegh87aGgQYrkVNeA2LUE19468ff0ZDPQ+kO56S1VIdCIc160xa5x
e3UQlCKH9apn8dRW2Ouw4m4JE1M/Pag8NBFXN4Dxq3PidDy+Ya1+pJlODHjU3dM69t6ngTvpe4e5
7uL03X1vVc7j6tvPKH39pQio5cIt5h2gJq87X3lqIx1vfKatVB0dt/rI16sClyPdySJrdiOtaHsS
9J6LUJL0xwwQBmyKxH7oIfXeIRwyO3FyjXB47g1SHm/aVE/ngFMZBJQhxhcjy6gMXEfnXLU0P5uZ
s22sXEa0vt8Wrv1t1rAl6X5VbrLaEqGXjNCb/aTdqcGXt60/GGyc4Z/rUvzwi4RHYJKmOx8YOCBo
Wih6aDTn1LYn0jxF8joG8BO8Hp28XUsZ266z/nQIqqVVXSPU5d4j9mhnO0Cuinh9wI5z62bkqcpc
ZbwLhvcQoS69zQlJlfTb3MzufAa3az+XsqiPEnLLhgzOuMu6NNhmcyHeO7XMO5vux/dZq6lYD0Bi
NaM5HrwpV0Re+vfJ4LkSAIUmiM18bSfVplTph6acJe4WSw89P1+PQcBCqkjK0zycPIB9+BSaarzY
ZZMAW9GbKNW98jnX3PqRS1WBquNz1Dug/0PwiH5+2zSDsQPz3F7KxN5WrnVlKOvdzWShTtezo+1S
5KGtnprJ2QNfvenMXO0TkdNNh2nGvZMO7vjULo0tMkQXL3nuRFgG33s8J1HjdcTNp8lYb9sJMjRm
c+PYrF29dfxp/lC+gDvby5VLSsHCHNdcIqE7LtKOYW7On4C32nd3GSOda+5HlQQi5oVAtKjkNq/q
oIkWSMiHpdd9EGSFtk/WrnDJQxUoWgauwpt2NgssMra7mWB1phHteV9i6MzYJvnHkebCwnACnbrp
Ir/l3hsNmY4BzgTsrYuWE3QSBvGhIsEdzW2TLYwOil7Tf6L8OuGwlGhyA5Ys1onsGYBZIUGobtOX
xb3jrQX0M32ZT7Qe6JGszfyg86t+v9qI9uYsxMarFRXiydIXx46m5ShJtT6WU4n0ID3hvcJm61iy
Ks8Js1W/97AOmiGAzRxkwmB8zuhmt+s880AYzTKyRAFbu17L2nj0Z6FyEYvRT5vPTFWja4dVXQbV
Ez1+9KUfBcbv4jTMftA8TcvIu9YMX2h7CxZBbsph3rnGahH4N7wxquHukMjICo/JPgF4gzufEpNk
mX+0bpt+Tay+Qu4Izis/07xryYQ1zkQWQddEPTNGf4713s+OavTljYSOGlK91bxZfPOsYumIgPna
TREEtCMmi7nLPKfFftbO9VcndOMGyoZ/cE2oGaS5G3XxlPvEJqQN6aV3v+yy7elv8Nb2JJxg2jhr
0D3AfrAQZKruqFVtda9PaRq7FlYrzBOT2tvl4F+fBhg3JOIW3RNzaE59hWEtK/ZuV9obr3RM5OPe
PnZ6xxXA0VkUl6zDHHeprhAv/jy9aJvnORvtl964UjN60gAeCZBreFYHIqLzzj1MVHtGGWT2t8kR
t+z3eFtpBZwfoQEl8ZgnpAIG2Pc3tCqaEYaPnlUfyaGwd3xXkWVsfeKiHa2l3LTUIe8N7sh9y3p7
rvL8KaGQ4m3g6snMhKNtqdfksXLWfutf32yI9flOCwamLwcP7EUTeIBCfDPEVVSrH3DBweYXFXwQ
2Pw5jrTAORR9Vz8MSUBlmzTkNziAxqsB5P+1bpJvArjD2SZCn4VrrWt7y2xbrMgBpjI16icvqNpH
UCN9HQsBjvuGBb19X6fyw1tpIAlb9kFkRamji/AAcuxna2JPvCHCvWWNVr7QZJY/Q7kUO59kJPqM
Mswdo9DwXHRq+roCzhDX7eTUV0kb84rqbd7lfAnhYrO3dAdnCRk9uOtcLeexSJ3p+8qtjxu/hogD
H325k55fpHEdlNlDlwTcxOTawYrOlbnp2RptTG8NDlNhZ4d0XfOzgzntUKGwXUp2M6E3u3yYdO17
6TfrM43lwqHoBppuaC08NKhtWzA4ggPhkz/ppBy99VZbmjUuVSt2gzmWD/X1nmStfK66Fb2VOG9y
FCZAspabbwSIpNnXuTCinLEMgn99vcgaTnd2LC7XWc2+hScYezV0cBIvfZZX8rUZJr+6NYq8tzbl
4jKMSYNTgO1rn+KQSt1ep9aGrcbXVRae7gyM0Hs3RU3M6lFbXoZ6buenddJyzldtYOAd7pTeW565
UQq+YIsxFyjjibekY+/VJDKFh90bDb7Y/65sgjM2+uBlTead0Dz5VJJn+fYH+efuN6fJH7umyeL9
OVzHOp42JRJ23MpQdxzsNn/UVFo5T3lpGdMl0XrQuwF8E8Mc+Y1c3eBQ95J3s7J2Y24eWXFsNbvb
OqnBnk7ctGpl+TBs+KvugjWHPJPt/u8XR1TiT8G/X1+bS+rPJqlOTOovNIDKGCV1yeZ0gTt58Vru
ipRGj/8Cafi//SGkCgHS6UQ2vL++AQ7WGIbecbqw5f4f9s5kO25j27a/csbtwwNAoGzcTgJZsk5S
lOgOBgsRVaCu4+vfBG0dS3rn2Nd9NyzLJpPMBCICEXuvNddm/cfRYPm51e7js/xTkvyLkiRdFIbc
f69Iku1Rfn3t09eh/0HE9fGybzIU45fVYkrCGKeTVcOFEOR3HYorfoH9CqUCE6plEJmOefSbiAu1
CaBneBe4cH6z23wzqFr6L5hwHBuyhf1hbP17sfAfWIrvVFyW56JxNHXT8gyX6fQzcMvGJu0jFcUf
XcYGmV40ZxOA6+CX+y+Lk794gMM2daWYLMPsB8TQ0lqZl/zkGTnd4d574NFCF0z2+dU8yMvRszqe
hw7GglZspK5Rocqw1y2DxfkdBfnOEgUdlrgWqLMaf1f7GtYZZwBu65t3NbKsEEcoAQ+Wl2+Nxp03
scHvRPY40k8o+Z0ohENi/76M0kfCm1aU0CoAyHb24uCGD2XBt+fUJQKqW+2xHtsvBocyiLQjuwAF
zaCI3Edgj+dMGC8jbU1eW3+RVfqOCJLA6spNA6jIdyyYHQh0Po9Tz/1Wb5svDmF0RPcQFz5pfLwy
BrI2F6UejhqHotY7xiXs8qjj0ox+tI17Ngcqy9/hqs4bx+FSVl7bhXrDD5Ujl8AiTpuPwGXQOYam
PO6jlu8aKVIFQBFR60dmtxnINDhkFmnvlaTbiKGfr+bW3eQN/XZ9ZWYRf5z6HPGUuVohFi5BLUW/
tXtD3cWVvKMQM24lR6GNhIl9YVtsicpJsJw3vCFBQTMEc/Mp73xcA+4q8K/K96VsKnhSrRnY0YII
PF/wQILJeY2kZnAd/AeK6/0W1AOFVyLfcN8SwWT14DEA2mE8yvzuIfKinFx7/CwAeNWuVro6TB5X
T3T80sl2j56hPXwMkrRZcIpYTRfWLuPAWMRdMXpkd+j+w4SXiSMYfxS6fTemvKk4Q80itHVbTG5C
WMXFfHL93sRyuY6inu+lDnSdsh8jeaYzt+4I/8yJaIYqk4GFJ5rMQdu+Zjy/Q+NAP27y1uWUvqAd
496rD84He7nR0Mpw6j1CDImbCIqCq8Sxhvw9t1ZXetP5Qdu1Xz7udxF7NL0xNgT9xOclCsmnnkaa
dtWgXRwcT550I35nkjOqUSbCfGR0ei5DpVrnAk7Q5ZNM+E8SJV6EwRth5iGHr0kwG7hcWIkfFsWd
n1ATbFwwDSce9uoqwVRC1mL3xeWsRCYad9gbGEwes/HjYpQ1k2LS+NY6L16KajK3ke42J/IY7a0V
MWhl3kWnhSLEuegykDP4zTdTy6lLEGmyUwVtgDav9LBoLS6pPvIe4qS78Dpt3mOSI7aoidIApQ7s
C5dJidnnkkJ9iealYpTRjaWcUeZXnslEFToLgTeixUZVLrc680SXY3o3Jvb1x/QSxEcddION2Gxh
Ax8wXm+qAT8XELMutOh4n+JEL/czKvQtYTFMwxyy2ce9BWy25iZQTBlRX8UGQ6CsGz8QE9fmY5Qr
N1c7skP8PcaPfLuQ0bLDny1Dgprq4GMArCOcKX6XWqrci4VlzB+Z35by1eHjNvfDtEZ5MYxwB/bb
EcXXM1mo2sFO+KjEFCD0HwztgKKH1ctOX5DecwuM/B0HE2xUsr23OnWfoBC9H5ilEZ30digvXWrs
1/ZMdXbKXoivQohEnf+SQ12+ReIOnEqx245t5in9IeNycSknuA6DrCxEeYkKht9OaBlrb4GVlMXB
UFiaZmsPJ7+j/DXzw4xpDKxOcNwDGROSodJtGrNrj1TxvdAtRy+c00I/6JUttjBuWBRjg8Vt4tZ9
BPxEg3mXgPgjCaNc9nXPYlJb4xgA6IGiPfIWpsFgFhGgdEA9yx+uFL+tTaY/m9uPSTumzogbTHvg
Zye3dsuQaG3rzlyyZU8wsYcGo1ofOxODqZlrrMwp96+SegjHsLycHWu+Htz8HUkxlwZCSvBxrR2U
X2Fe8CMHg/tqlfjorbnvQg3++apwbOCTadEt50gEFlUj917UvDcu/7sYMiIUMaDHKeuJhVCOzn37
6gEHhrLHIaRq3EeqPNU215JbbeIIulJQxeTFpyWdSafXZCeNEEO0vgUvgjCwnDVi2pVUv+Y2nZqN
w47A2fqeQcubDXT2YmbVHFIm8Tkc6uaDHecy7DxiHq6WuBtOxN5wC4UexRFHQMMatpmOhTup0v6W
IwfyLc4cEjMlOTHgEZa817fYu9tui+GpNgKnabRTHQ3PWl9Vb50/vlqpXtF2EXP+7jVCUwj2NKXQ
SfnzdOjLttr5BYCiGnFBwxEra5nzmTVqYcyjKEQ5Fl2RiqS0nRSkn1zTD/HcY+nDpDqQd9VrX4gb
HINkoB53GSW+IBOllYYTNAt77WuKsOayjc0y0s7lwPaBzLeH77Zi/+F08NPhYN3XWA6WHwdOH4EJ
PxNkpQ86yKragebMgo9EJe9pzsNFlN4DCYNEVCJID6z0L+Ms1kPHT/spi+YzBzpQ/i493x8PJagU
TNKn6uFgTB+LHXNQpPlbOaEHJZz7/c8/5U8ngN8+pct50iSAGdrIT79NTbFmgd0YDnJhgKw7AT/H
ysqBSA//OQT8X2wcxD5zUf/7IQBnbt+mr/2/qvd/YekYipf0B1zNb6//dhrAgUH/3gdA/9thgPv5
7TTg/mIYHBU4yoJ9NHBu/Ps0IDy0CPRsGMUG4S+uw5eobPXJ//4PX4JVIwia90BfwJNz/o5MYT2M
/DB42a0hSucsbSLxdsT6yb8/US9GmUMcnfUDOarwQt4lFNt5QcLJcbqcAHyn+qnDfuRHwxeDNmEm
ut+G2X+lxq8nrP/vLTBpUWzymanprF//TihR2aCvPS/WD1W76NeR9WXxkRmMYM+KXZybkJBhp4V+
HZfoNDnJ1zHuEtMqt5P5BM0Jny3PeS2+0pW2QbS766Fe1a5xTX2CTAM6DayyoTZSdtLrVwtTKZWu
zYB6WMt/zdgirn9dLGsDQftTp8iiotvTadvF9g9W1bOBi+n1svMp0czpPWuo1nZChHoOhkOUj4sH
mo0xcZjxSxYU9yxTXMTDRJE9U0C7EcB7q+STEqdt06oRvei2XX6JrexOgorbzrS3TWp0d47/ZAht
28XuM65bDi2ZsfEdEVBwIPPLRxGQbIdKhiMl33bIz7MGsAclJAq7Yjv29a8Iw/V9KofbuHMvODm9
qHgI+iynOT7JPaFYFD37HoxWWb4Ws6Xvc4KvN4s+vZZWHMbO0F0iBaOWCx26djp+mdqlubiJiywO
/llc/i+LCzWBtTL031eXa4S+yb/C57zqf1hVfn/h78uKD7gDJwvWFYcYBAtm9b+XlQ8UJsomiB42
fYgPEsi3IsOH+olkBguVE/N+NZH9vqxY9i+sNRQmeJlHvpH4e0UG90cMFhY1rFV420zXxFyD/Gld
d76b1HC2a1S5rnmpKHvEap/CWOqjsKJkVSzdFQFmPkpPgLEoDW0s4OBo1ZNmShrVCCIOHQidy4j3
vl0ajWWAjDRaFKq7ot57SLDCnEg2dEMSS5yLaii1+6bsCK8uY+2iTz2DQN3CuR9hyn3KPIKyMQVn
2t6om2rDKacJnK6jdVYp4owbEHEbf4zEPmvA0/G+501ixwdyz64cwlmQOVlQyZvoblLNzdzhp+E6
bqyiNg7Nerj2IGMGrnROpFGQ+0HQI27St8E2pnDI8GgWY5sFrSiXq6iNY7xlejiP+mvCGYDGMNM8
yjJjt+hK7bGVxVQYzL1W2uVnH9owEv48ZRtpbeXc3rQ5wlotzvtniJxiJ93CC2q7bhFtO/z+gq03
V8oixdPzD0s3pGc3TqqwMAx1wGTsBwQBRpuprsdD3Gc37eLTmOpytYWTZ2wGtHSoMGs0tLotQhJ0
bZAiA0dh8ulOyI+uEgObhCGKM63JadtH7t4vhkNtrVkf0gSM7FdtYMHyCs1I32tpZgR2sjza/bgg
Zl4/RJ2TMUpnHlUr2ksENM5WesNLQXysoJN1qksjvajbFPqHOW8r5e60VNY77AIlEay4cVMSjTa4
Tw5+5J/6ZXX9r4+IVEXa4yKoDAl9sKn00pEXcDR2dAr8DcGHy9Gkv0HNoYZiaiBQ4BDd7LrZsHc4
yJewm0mVIKDX2dge9vKBhlmDY2zrG9mv9VxbF43mHaEbFAFpUvSpcImTExDvEzHAjG7qJpQQFfOs
eaC19ejN6jIzeQTEdN52WpkCRdBVsnfrAvBW9mvW9NaeBNI2mPB9bwFHaaeGNC2LxDyCAH07ZEwQ
W0kFaWJIeG1851dZtRvWmEIzjmSQY94dPQjbVocz3ujtY2OSYLVYCttW213MWv6CDHvezolXAzXJ
lgN+8SJQnBE5rTAW4KACr4hr64DQix49u4BAB2sW5kYL/q0vwtydo9CB4wmqe2n2QLGtbUWowc7J
ClKDRfapNZ34isjoYie8lxgF4GnGxIxMzdEeyDIvugCLiRW6Mk3PBSf1oIRLtcGmxOEx9dsHQK7Q
sFw/PyvOR2HXqSv2XnLnZfm0RWXj7FQ+FKENPH5bzjSxelPTb1OnVVsdwubW6LwElhAgjaQXlFvc
zDkaiOqDNPZGZNDxsbdH8wLnzxBqQBs+4XDhKnoRgB4LwLMT+1NoT6jBdbtCH2xn+ids2/qm1zi5
FGOjdn2C3dwflEGrJi/vc00st1E96CejXx+VYJfwYrDVT7bsYiakJ4WDHZ2kDEFfd8dbHS4B0nHw
d7TLsiLLoSJAWLPyl3R0EsCyaFvGBjHo4HHUchXXs1adfXATCaFX6O+4NDiVT5V9Wum+9DT7e91L
jwMAlJOn3HRjtfZqN2jIoUOfl/h0DtUE+cTi8LsxG59atjynC/Y2Y7iVsADJvk0N/Dba18JSyw5Q
30XbuxRt+P7OLfeTs+B1t8pyR6RBGxRIQ8IlGlHau4KqgpU+NxUSnNhT911lEopATBZIELy3a3Ey
gNO9bM2UtmpbNgwpxEFXi+miSTGf/UawG0ozEYzwme4jYgcRlvlbwPwbYqOQlVnN1xFGHQHdS3Rt
txkyRWkYJ6QC+Q6V2EjhqEaM0+d1OPmFd0iEflNJ81fHgchDHO4RbMijNyEFd1NQiXIRzhEQRPkA
veQzhqMprGv3q5NgeBsJhw4IRH4gO/vCtfr2uvbMU0oaBz7lSl6tGpZSb28ltWkCZ2iiRU3zTnCt
Hqb4gzHtDdXeghseRuBbt83Uy8tFwq63ZtAntkAPJKmDdSL5FU+e/7BYy6GiO3+hHGQexHE0u96T
Yzh7/MZSqYdmtNJbspYvM4OHELu7eZNPeCBpAspdO9g2VTD7nkIe7Ue6m7hgumPcAnVBzanBVxjM
VQhPmaRonCeZz1+maOA0vLhv1UCXLIklyiDYg3tEsdouxmwUuMXo3xApcKvHNBIby1rf+HRVNyRR
9LZJ3TM6Vxmqx8lJd3ODVI8FDTVWon0efFrSjTa/iRT+gJDDcPRG1bLWoIVdogh72Tynp2SEwRQj
8tlOnobZoUW27ElT4B8SNqGuk4Dbh3FgtmpjH7vZ54mwk6PSvAeSbi46WCMw9eJ3odUuoTky2mmQ
NTZWjbvCrlxva1iFfvJquq2EJ6P7Z1XdtQ5sxIlMEVGClenK/pOV9pToGbMaokgsYFpqUcADw1RN
j300Fi5TsXG6jIQRRl/h3UR2608YXhMSSJlkVUaGg8B4QN/EQJbsmNEnMUylAPe9LC3eI3gwFEdA
SzeK3viqI4vss7AKSnRPJIyXqjyRKte5fpBVuOxtaIYy1RK5KWusd+1vUVz/NPD+ooFnCHbFf7a9
PjxPz2n6ffPu95f8vrFGLcn5miM5GT0CY/jKkP2GYHD0X8y10kOtB1rBukX+1r0zTewGBoEj7Kmt
D/7evzfWBkd5ErWoDglQHpD5/tbG2v7xsMy2GbUIxl/sWzqFActby0Pf7atBF0mVkdF+D0AL3UWt
CnayFMLZeClZ4KK14vaOll77ilMNRGuSa2fTb5Z9aWnkUMkUMQr7CjpGOilnqGghu/ka+vYZv12n
6/wcR4vp+eAcT2+zlgIW9jdbHCs8X7uBEB8A85l/yXN4vk38csIpmi/7ylx4hmdCHXxYP5vE0Iav
pdLwlCbWZN1oq7N6LiFSb5Kun579uF6eXZEsKdVFLluQxCNewzZv1Q7AX3OyF61+QcmYPRO1uqB/
XuhUkqr9tDBZAmoBuRsIqo5fxzY2NmYtLYheunEXJ86d0WspM1Z25qdBzCr/i3rFx9Hlj3rfxy1w
kIVyV3GSeMYK6fj+FhSwyLErdM69aoV/tAX7zdoEnr/xK3ZdZDo1K6vVLPxbYKPmJWC71UbpeBWV
3lyHeLiaMV3Xro6+GsYrFdnJNWDE6g2Nq/a5bOzunKz5LnaaZVcD7TzoQkkvH6WMvH2c0BIcOlHd
eF77qQeberBr5OrQ8B/MxNzTFXhjJWtevpsk/6G26v/oZuFDW2tpE76TB0fZolP944euOeXEkV6T
F1QV0ZOx3v0Yyu0Xw7TmW83V8VBkoj2So0mzJCkLE3tAr3YdDR2axLP+UmOdhkdjT/NNTM7zaaoE
G4CFvzUEd3zF2mVcxPB9bpLBoakEAOvW9qLH2JrNvZ+m8pFg7DFwcqkfUgpT+0RrtX2OhSFcOFFv
lV4wpkWvjxe6Em+lM1xOrWkcECjbh4UObA+5V4Qpfb/tbNMGAx+f7Oz0SdY+IdVWNb2mCUVi2Yvp
tW6hFLiLbA8tHUVs/6iX63HY9eyRzkzK/NodNSZTl6eHXLzpRZq1JDm1ThfmtJuhdLHTBlM3D2Ga
kl7MvtTf64r+pZnSv3HLcj6T5w1ukRjV7KrAwni58FD8vPRl/dWTDUrCEqM4hxHbbwjCcg3irrvu
4M91ekHQqX4VsV2/9UpjvLLzhg9nClqb2yZR2WFp6T8G8IbMs5b2803XG1xQM40xj3s0Yu11bmq5
otE6wUBIuubFJwvs0rJan+3aPP+VZuXHNcvWdZRaDrUFqBcULk0f09f3EwYnTxTFo6ud2Zyou94n
J1ADRPxI3hBYCxcdAIZ6xk5bqdfJ9BQK6q5ecPwtyRuy2vl6fdyeml5vPruNBXkukfq+8eovMyj+
sBmc4lPR8FPysbXlJhtFuZfc+8tqdfDqfYzyB8gZ7b7KPCNvzXF2LnzUZUCta61dO5arZTdaNmCn
WlWoMe26N2ika+YW8BbcwWwe52vaoOruY9jWlApQaQHNbhtacUZdRe+V9PQvnlZ0n/3MgCqhqYY2
dEp/rqgTdmyYeNKXUs/32EygytDfHRKOqIOzt2DXuNvcS9D56U31V1m/5lrC/WO9Wi//ajoizAcC
LPxXd53a3z0ypoaeE9LY6Gy2nMvC3nAx2reNdp8pn09gZKZOu6jT0KWniLDtufbrK9R0ybz3iGNc
NoI5iP1KNtHJy8f6OR8d7D9+M0F1rHFrPcHL5sMQuWUcm3TQdn++9vynD0DNlLeFugq5mf3T+CkV
gkQjid2zdBClkCs1Xzd1jODciSTU1pJ1Jmom1gvTYYmBmKdtabLXYNh0+8KY4J8x9xAfmEv1LGbX
gLo504Ay6yHaYYWLHqQLd2STlDEF0j9/7x/P458uPsgX18Auh5iFGvtPF79oUyR+k32u2L+jIem6
6J3RHHkH1AOSKO9UXWVzN99IIO/7vvD4BGZZOkevTsdTVdD4nXyzPUp7aoFXN9pD7xT+3p+sHpFE
M5Q3yuvSS9fk80+YGiCBdVP3PvKY4Bal1ksXTcOR4pKHAaNR8+1Atabcu+hk6PHZajObSB/7YYg+
mzBdDkBVvRNpyugEPNfZyU7EuxrZ6xPhMGrfTmMETCTB7Fa6JXpp05y/Eo3JegW4XqNQUJvGVoka
wGGVvxhkG3eJKBtkvnV9lNYYPZUuU509wXz7MfUiX4tR+WoJgtSc/zlgs8YI1ZpnJArkYBWZGAPf
bJI3ve7ULkMo9MTIG79aYFhYQdZLk7nRaSDM5cqiBcCBGOz5uU5bHWdOkT/oNbaWjYWA5otbZK+i
KqpjEyfzkdRhTMOtSTPakuZlMk9daLtyvia4jGfJnw8ENok/T0OfyAIOsfhOP7aDP20bWKuRMBBQ
e4aP3kOw05lgm4+1WU5zs18w4AQuFFSMeiqJd2zF6mfH7NWdQvCbg9DqjgmJj1ixM3lqUtlNm6XQ
UyJ2tCxdlcvlrm/ydboarv6yTLr8xPLfv5iTNX4dUtfSQkRmhRsiB8UdQvafvBrL3t4i6AV/T5aA
kBspZCR38G1oYfvEgB28WJvDRdXwaaziE3UI5Lcuwml8SCYO7cbR7vA2LVPYDfrwhruDJTIvE8Lq
0BHNhur2FrP2QAVo3XKu95XTUf+ZiIQDMRvjEs5mqra+WD4bNSE0ogLpyPtJCgi+TAg/thismYm9
HC+v+wrRqwjbccxPlZHpB+VLKgeOUKBxGhPsCbp6yw/AVSSPPAfSx07LQO9yIqNyUaVF9rmDoKmo
VjROfEjYtxARIFgNNl2CkF3zXeMMY2bd4LRzddK9mUdVVzhhq9Yih0iQ4PRzgmKhG3KWPFl1XKhu
avl71INu2ABXVFHgOZ1lhRKVxEMc9x0eHYunjjIy8ZKIiOomArc6v9D6ft3++Mtd3KcVgSyEvLwU
smJd7ZsCXRQrux5opTJw70z5aWEgAFUlXuBCs5akCmyaal+MSqUe42lQd3g0omFjkEp0btlbHnC+
+yDsO6XeTSf3jt6gNJwkRU7zHz4DQvRWTVsUHCBfkVlgPgREgfxHYxSmDbvMzRy3YY+yQtvYdUTh
Qyj5Tun0jJNMprDRrIqCcg6bVU6ExLhukdyaWAVx65DTu+n8Rd19TKR/TrZ/dbK1YLB/t+aEz/3z
v34DrF0/F1//93+O5Vv6/CMfDVTg+prfj7ae9QtBhx5ThLMo3Zk/OtGe94sOdJBeIsJUGkYmX/rW
MkLNatOi1jmQoGy21tTob51o9xeXL6wvo1H9wU77G4Z5NMw/LpDIUWl289OAH6KkQHf346NyMMFe
qWTWjpFQRAQ1Uj7bGTvHzYBAhhaMwiJF8MPC/nBYQVB5zB7PSdriCtaINQcGvWzUben45uIaJ41s
Ln/19WzBSuLncbrhVUU4A+rcFVRjfi1sNvm6Y5g3bTo5PfvGVpCsJdl/EgaG46rzpbNPHe+eEAR5
budhvNHH5wJUEofYJH/sR53STp6OWqBGydMx1+v5Gat6MQP40VhTNRGbUTj7yP05moCw3tZOk78k
GhFMOIULhEML1eotp2dQovhoO/oo/nCFswYUEbGpCitUa3o0TirUL3SR2FtuMo+qaOPzlFip2cml
yNzRo9zspu5GKyUNYzLDqteaAsFTxY77eiA8JRiE7C4o0U+v2O/KJ7YPtqSDEC8XeMGau6XO4mcO
kCZda5MuGQSdcUDk5kCuCubUm66VPVe3GBAqUOfeTFluKSZ3LwH4XHuimO8sKZB6LnBMu+rIEjFg
dKdFPpYDZyNr2U9m6t4a6CYpYovidUYwBUm/8G5BXmIVIpPlnkiKDvVF123Z+wtyNWqD+piGjc7u
YzfMkEBeePOURkfVGc1pVISNbfTYZo2DUexeenphlkGrLfIRkNVwP1iAUgFgTWoz5KPxJXXz6Euv
4VmrJ7vZEpqjXU6KKDyOYc6mol8CJg/6i4qN4bOk0kwrwy/ayylqmwvcXyNIYMwDNNlWInUnsf2N
Vim3qAwh3pWTj38Nycd4JbW5XXv3Q/7cLJncxt0MWwd1GW4LM5u6X+Gtw36dKCjXm7wR8S0du9Kg
PLyk56TOxWczLtI7X9n8No7l7b1RY6wfmsS6MMxs1DfgU5KDJvqYYnhVh2Y/NgcSbsZzDGk6cEjp
edLKuD2huPS/Tu3ktjsHOhR5AKjWUnSkjX8ms0+RnN7HFbzuWDi3CRVUjOqAnmiJEkDyatX0e1Yt
MvsPHdmcTzUCcgGPNe5j/mkyuuTWhSh41RlLcnLZS/lbA6o6QNuSPBsHdHDIcK0ePNHoN3HbIwnV
Gr5uVLF1Rb17oGNRFfV1hoch7Wg3Msu/zKWRrZTxGL0IlwfutV6ffADR/KsqjbjvN7M/LpmDT9mf
dXlZ6limOQN3lBwOxTRMm2hUenReplEsp8ROskMzObcGbaWwtlwVgIcHKcB5935m9zhuO3TsT1GE
n9KQ0ShDdwBnEeS1WWERp1ExkLUONDs1ekhDCzA4OnrXFjEJlz2siD15j/amqzracuha0cogXvEE
JvOW+XKO6C1SEILA8WmOJlFcOkOvZ7fuyvjxQ6tWgw4RqJsKkulcmIXXptFoh2loHy1J0gLBa36O
u0lMR9GOpzEunasKj8m+6Ol7yVmqfT0Uy11TeSZFGNkgOLdjXPGdvJtaWFSge+bAyrOUlp0vt8iX
ixBB0qaI8N+R3HeNgpv44X49K6eXY3Zih8ZPElqzH9yo2fqp+eTgo9rYGTSyzNwMK/mQuhjyXgfY
6tx01mMCpuUYgb0IDC7LDotDd5Pq1pM/1HE4EUWwraZRu8qUEWEgZbVeBv1zafQ16kaobfny1nbj
BYgqGUS9fpGlZr8A8sr1nd4ln2axspKy6tGjm3EsvPoV8rHczql51jnKhxHlsVi0N86UZbd9U37B
k4Wjb7lACqjvSB68H1NBvsHs0vHRF9zgUz6GZilHmP5z7dFuM3Jc86XExNY1LlxH0hGw/VOz7y6A
wZOi5HvjnlhuACkdikZUPq4e0rlMTqQ3WCkfr1ZP+N66K/SUtEgnypIMowuHu32px62JBHcozzrx
AHsS9bT12M9owhd2vbRRFjF+KDUBva3vmmXxz7jD8KjhHpd3OAngxvntm1slOo34mBYSwbdbrUME
jgBgJgwMKBVIN4/h90AxLg4pbVdhM9vmVqVdgbYnXq7lDC5vGY32k8oRBmk2Bm/TT+9sFJ9MiRxf
/jh210Wboy8imeweoF50Z5sR2qiBQoZd6UsouE1+pE8h5LTkWc7Rc9LpzZ1Zu9OtOfvzRYo66uyk
fnk/TFUR9MI5dVBLgnlg6GSa/hm8ZbOxNf5IshnFhcM7NXP3dZrJbvHYgwdqmJcd5V1/h4xKvjsk
Al6zT+0GRVWvtzintENnXbPGaJfkfLjYLel5nW0KQ2HjAmgi3VdgYDDrvT93yaslJXPLrzrE/Plw
ZhBK4OG6vCUzEu9e6bjb1FEd6Bv91rU6BBRmRj1KCXErPeGH2rDUN/Zk/GqPrQM6QcvvCz83UZS6
5uce9+ium/ApMDKSnAzvUXcCUEYl+RBmy8ZZOEhPWugao+Of7G5aDqWXzken5xE558o5auhkjd/K
1P/sk/9yn0zC/J/uk6vp+Yf+D8VtXvBNWKX/YiAhYef8ww4ZvRX++VV1C0HUJcLgD60mAcOQhQ0P
wRMGDl73xw4Z55Zw1j03euRVxcmr/s4OWfwoqiJbUAjbQkC2FhJMV4ifiklA7/uxdFPvpDfFfKFl
NOYn/AHnWdj5W1GO6jgRTeOiRiKxizU1yq+FKNqnDAsXC63babdG7OrxJqmX8dYSffSYw8VE3JLO
82vSAycivwVDR0AEp9CIiVUQWY3I30bk2jwudj/dDW0tsNHinYhOSebJt3Fc7MuxGbzHZK6ogyu5
tnh7fHEL9lykilTUj4mPmRbqg9xmFLvhDSG1oVRXCOeN2FuSynT3GEuprjN/Hj/3aWOdUTUPKhzG
OnrvhSpuYm28yqEgIDOiaP6kItE8W9SVP89xgypn6ZJ3TRA0s/HjlfXbzu5tDROILf8iOmZ6PF8p
tzUmaB/W8u4WmnZXlRl4BXcs4utRM4l4t2p6/nHnkTBHode6pAGVZ4HOguFvwCQlzwoV6kGS5Le1
SXV+wq4UzwGRs96+c22BEog4ufvFSJIbdgxHuyKN55BO6IRioJcnRLjjXidYTxCZikCtSEiw2asy
kS5d5MTE62KYa1osUCloXFblvy2GPtcBDQwXIJMchwueA31AlGJzGqIc20JnOGpjVhXBKs3sX6yF
Ch7UPMoQVNTetcV+nQf/6A7n0S2aQ0zZ4JBrescpJPL6wAf/XwWWcur7RhJ4Y7ieFqDq4OL4EnUe
6Et5Y0AjgJkbq+yGondFOqvtjl/kAMPRGfB+XRgk/yWc0JYZK1ns+mw7nagP42LKcKCV7Q3kljYg
kKChPOUglrKmGZIT1WWYuVkhko2TzPGt19fvBAQvw0HvVQPJ1hPV+4QzwsJroVCF4MrpX8uWbceB
Eqp8jIY5O1Lvb7aUsjNBypEzPtekc946UzuGVV3a5D2JFjCgaMTOqMDsbubUmG5U38XZY6Pn0Tze
oTZIKwnYiILM3jXG9Dxhr7mFELUY8o27Sw0No1ubcm2pk4FpuKSivFTpte64RXQddxCECqPC8W31
Iz7/ifrtYpifYo/fEXVNmEl1b3WgkJEMGHZAR2YsD1FpEMRRAYwumaHYB4mnWHor33UFQUYa/bSA
3lZAsxM9TGkQb+1jQen0usBvZUS7LMlXlxDut5RuAgmPoghlblyYvQ80QTdcjI3WGSPxgYwg+1LV
VkSZqMUoohM37cwN1x2NBnCc0VqisPRaRqBVNvq1BqgfDmM3CABApAmiZO5PJmTSLUIy9wheeboc
hAI5AxJt39iE5QLUUs2F0zXDCUhIcUZZbuE/qhx772QleDq/u1MJEzOvsnfY359oERMP6uVvXltZ
YYaOigpd1j1ogymvKYm6QVcivk5n27jHe8aq5YGw4FxioYR22NJijUo22RR7wWhioh+H/BZuyaNv
tTKIFRNbq8Qh6+Mz+VLJtqBgiIAHqEuW6qO94fxJDV450HYAo3O1q+mBFlYS6uPiH93K+n/sncl2
G0e6dZ8ovTKyicicogdIEOxEiZrkEmkr+77Pp/93QPZ/ZVbZVZ7XxHdwSwQBJiK+5px9li1qVPBI
VmI9gnVuEfgteMaQWx2V6+RbyZgXm5nT9meXOnVbT6RIz6AXPoOYdpg1E9RDUEeGB4TcadV36pkZ
S39TjZJYaj9sOVMoUzgroU4aRNxMJUMOnWdtpnx7gbgm94tOu04hQBxKts6HXmdhj9dY7FAnZAc6
K7vTqdkjG6417Ir6Lifybq+a3LtJG+sbegHSqEMyviedwc02sdsC0iKY2+ZDeRh1WndwDe6WYcan
bV0DvSnCiNm6xnx7to78JlBoWjObLm5jN2ovCUalXweTPQtJOITHdCSHmzpDPHFUjyOJXHG6Ee8+
uoaNh/z5vyRABS23hzGkM8nFgGpqzkJyynVieTs73asSofOkSCZ/wDQZbmdBxnkGme08LB12V9NB
v5PpNHRg/gSj21HcP8U6Ld2LWvubrRPUbbseCcAhVR2EdUu2nysu5EilWunT860a56fwGsme63R2
dJZU5jRrt0QFBgdTp7gPSZuCA/E4Mol4FzrrPdap70baK9DZA1nwIWf+xk5YfTDyJSvezKpol+v8
+NjKgk/RNVQ+r8iXp/xDCLTo1HlrIH++tYKaMC1C6UmvSdesSZZneyCxHvQq4fXZNcheEWkPXwrh
NBS924UIXsR10kx43uro0ZW9eGKhau2WMkGWN+IcXcu5iz5XddXe24tEldGW2h2mT3tu9OlbRHLa
sx1peyur9WkLzgk0ieUs64Sn8uQ23UPXz21Cf24LPOBmTRa6BfAK06L5ZTbCrDiAamviz2xIg4Km
pZQ9N1FqghBayggoTQGWatsLWG+YHaccg/K0/Op1oF2DdKYNZgmmAPU6GuvfkEMXRnO/H838eST9
e086brjlIQ2O/CmzTV8U2YOtJ0lAx099aFSbWjbx+n9z5P/KgCBcbQL6awPCmQFbSXbTzzWy9eMf
/TFIxkYAKdW51sF6Vvy7QMp3GQj77Pr/RFw1SR8VAsOB+uEr4MX/GCBLHcqNdpf/AUtqNCb/pDym
nPrzABljN24DQr5dnfJtu+aHAXIjZFKTyhudYDKigs2yUA7IPpLAmtHfOGRMhLnibnPLx7iadUtJ
nlPt5aZYFxjptwIP7lPSpQsJXdaUXiLg8+lKGkWy8lWzn8jlOHWYe1f5QFTWxvUmllVl4DuaYDWq
3cyk6WaAgUq/73P7llZ2W0F9u9fH/D43/WgfUEntHQqabh3mRqDXSHK/xFFzTCn8z0xqgw2mTChy
ZEHDXc1Hz7pRUzl+TXOJH38iRICjrx/2iWF1h6Eo0Wci26Q0Msbp2JtvabqU31SaeWcAVIFNHeyh
yHH4ho2DnMh6nuRlDCYEiwItGUUlq74juDHnwH1hvI9lU39XiLMvNtrkI8VJ81s4cXBR/1TiPiYC
eN/ZTJVok8dTkiKTW81pMoO7JPouMRHkJy7zpApNZw2APJR3oVmEN221GO+FZAS4Qi5h3SGPKI5z
XMNfm+pHvL5yn0be8Cmquu6JyO8pX2XIx96cQIVfGiNNfXTeDvWmDIGHgqtgZOUVZAimqDMtM25I
gfARhVmWAFSOsqRfW874GR2dxYdcZG8crt3BX+Juh4I5fl9MyBWx2VyMJXRPadNVpJcsC4TODOCV
q9qdmrwWDTMZbAzGoGqCTbLC9Isf+9yTfEo9Py03WuwDdnYzUyKvmzKXvNGJGOhWBD0J8NjCE9eM
9lMdZM+kNUef0y6O0vVYVDYn7FSW2xyKhdgAJzS5/aGzA1vl2TvWDTcfU0gMun2J2X3FbDfYRXq/
nYUzsY9jy5Y1W2yWeC4Tp++M7SmxqwmZCUnXLUPBJCqQylOjOPWsbkPUNRuX2npl0Z+dq85IEPHZ
Yl6n+QjErnRmBfuT3eNLQEwqarY+dN4A7ugRbOXKvcqYZZSVmR+WamEaPyg8YyVr7bsld/0H0iKj
NRJfsHg5NuB52MjGvSP7cXhn5Z8ezaatcTsYRrQZ2p54BdbfNwtxjO0uwaHzCX9D8MXIZWicghrK
59YvlPi1Hs22X0XmSPvCXRhsIamK147c3YLotrp/EH1Rf8U3CPazGsW3lIHnsB7mbn5sGR15B8dO
R9pVOGeHmB6RBs2eHH1xR/GqD4T9Yg9mdFObkfPWS+zlVPA8tGvVLNmBXs/7mihTEThMRMgRXoT/
TH9VklGI5iBfOXRk2aYK23LnoXn75oaR/6lBdEHSSLWRFQsl0cv5N7ciyZBnQpQFsoqgYNret2Kd
NQlKQaKFm9dOOQ2NLfaUIzzXbpMbbF9WHVKCW9rCblN1zQNmBx9XSsz3uTEJMKApdECSVcs6t2hb
l4EaFRV1rDEJPey6rj6lpQCxaraM1GyadT4H0n0J8+REa1gYrQ2/MvdD5sSP1mC4+zI20wmsUhc4
W0c1pGWlkY+hnMN0sEwkWT7AVMyXXZWR+GrXd6kDX5jBmt09NiSJ88Eisficxgl9HiB6e+QwC0BU
hhNiEYK5qq+DmvErOYbXHmrTx9zumnN7cdrGeC9dxQK9FclwP9czo+Z0iXyoXQkgMt9xhp3hRfVX
Oc7jbzWD8dfZKcTZbsHGbruxxchou0xS16Ak60s0+wGgSavSWQpjcIwssLxYE6qnMGVq4qX+eINK
HAoDUgA8Lurk6IJj0KWHr4uQQZcjuFDCbSmcGt5E/kxqRL/H9xPgy9CVTHutapCmFmtflzq1LnqW
a/0z6FKo1EWRea2PMl0qTabQDbyT1ZIiymnGKv68XKurmTQgSi1vTiWFF/Y2XYb115osmAB5W2xq
LgIm2o7JZfMo88x8lEKF9xyL0x6Y2XIcQJK6eDYea+BCj0AYAgbOcRK8jAh3vkBM8YC0qWIk+ThM
X7xCsvVqR75WXlwV92Y/5fdsgRlkhjntaZw6d36IfafEc7JN3Cbk2Oa2g3wzQyQhdWRXA15NmAbn
OTMbk19XpsYOVV/EB5MhjhwT5FArAhDwzgp+/WXqrDMSqABI29IFT47XyGNC6fcc9obHLJh5ym82
GWuXwiDXbd8ZdXk7m7hAfLYdT4BImBDxxt+ruGbONTcuDGKq+olMuK8pWUtQQGpjOYQim3eJMwNh
Fh2w0g7+aAoUDiRtLBZ6Y6KWiFfC7Dwm93XGctKtLfsSoBd2OGTT4HFcgmMpE+uMBCRkAbQwUZu9
vrwPcQJAZpbFMxQ5cesnS3PguFA4BxvjkqbYMLaWNboPmb9EgCadGHKrMRrw6KaK1zG7GQmHmh+s
tBlJN/D94yD69oU0BUJFhTsc+D6Rhwc5pVnZlfIRwYxkZKyWeTY3XVJEI2tcv34Y2eqxz04IeMaI
KbaRG5uHpM6cS5/mAWMufzpCKEcFXcEjK3zv3SxJFhKtzWrXbd36SwyR9ytM9/TYlka1L+wI7kY8
cNTw+EVc0mxz3TWsA7WLhyS9D3xKkIqt7ibthHzFBuFdLMK+tp1mcqxGhGcMssbRXbYoqqzyqZj9
LzHp3ZzYESimm5rBgACI6MFBHvLRf40J0nty6bDqe9m0cXvAmgq+eJEydcF50v3dWrKLucd8MC81
lh9iLCCc+HzypbXMT00dslq3PTYFkSRU3MclHaGcI0Q7HBFNWWVyg5cMPEXfGdEXt7JdgkEkX/E1
nF9CU5txaUK5ShmELPIsxDQN3b78kbXKI2uRvIomT+ewAud+peydPqepUbwnw2S9+F2vnonfqE4Y
SJ9rneqa2+S70r5Va9UPOXbV6VESAssB+N0hFDYhHFb1Y/9mly0VBHMElDmEyKorh0952T1M5u3o
5MYtfxwL0x/ps0Xa1d/txR0KKOU18bRjbXs6UjjODk05dw82uqB53fcO65Sq8cPwGWhks80Xa3mI
gNYQnPojD/d/3dN/0z2xh7EQ7v1193QDW+db+3Pv9Ps/+WO/4Pzi8p0EvIaPw/H/bNy+MuAslgVo
YRDZM97/Q4WDpvf/mibfJwRBG0oks3F0hv9gp4CE52PThCbbpDUT0rU9aBIfABB1gActCSd5k1uV
h/laKozLUnDL1uu+NaquJrGBZ3hcpYRqB3dlMTPAbFwTCNdm6bgJnzKo4kZ+alsJIHJroN50CIQO
mAdwXA0whlSdLdVdGuFaV7u8GXJnvOtMHNYT+hfFbNVpDRC6u66F5HY7OHX7nvId5gClqhaWodaO
/opnEDPmXcv3Hknn/GR4C8K45Xou1D8OCR0/sOxpAVrzFr9o5hIxY1K2qusJk9VeX9/j3Ug5PAL/
taV8Zud5PZkaGGzVjSyaCDkOZ5dhS6fkJWa5bKfr6cbpx0ln60OPyCjvktaFfK31kWjowxEKLPM6
NoK7sp9xelxPUYLcOFHL6+na6YM2XfLsmOjDV+pjmN6BE1now7nklM6m+c4zCYkkbgDHMv8JzkMv
7QtRqOaBXFax7fShP13P/0FfBf31VjCvF8T1rmCFwb3B4oGB0vU2GfXFghw9h4vEZYN6MThazTzu
F30V+a01nxgraj0PjYexChh3HdCYxr/yPLgPyfVWG0rLuEDE9vaTK9H06uuPVVPxHOkrcdGXIwNK
tR6Au7JN8LjqHYy3n43rrSr1BVs6oYZ4sGzIlVLHQV/G2fVejnvsx8KChIEKGMAxvsedPWIlyq63
OsLY5asx59XOizNjD9V1OTqoLN8R+3CVt4LiQJcJvS4YymvtgI16vkz9IgcBmXpwOsSPqz/+L6oJ
Z4jOJBBioIK9dA2trYcfEbZVG47FCWXEmGH0/5Fyyw6XtbQAVwv0GtntskWELMz3/52o/92JSoTE
356oiBz793T+85l6/Ud/zKNI7lG+sNApsmL9aSDl+b9AzNTHrCKzWLv5/v+Javu/CA2bMYFx4osQ
JCP/dMKyEvZtH8Ejcyv9r/7RCfvnAxamJyxQy3NZ3uKCsa7uhp/sFzaAucZbgvA0CNrONS4Z9TCK
cOEZLzpSvtmWDeZbosc31XWSgz/UfxzKoTs02HP3NgzmPcoc0/wxAf1L8I5rfdgn86vx5riJIFdB
kzI/Ki6n1p3xznvyqAaI2xefNcbFWyRnPYekm64EcWQxFS6ZYATVdSFaMKMaQFqwbgp+9YpCPLTg
P+pmW80qV58XnLp3c4QTmgO7Fa95RC5oswV7uexYZRjeJnNxm1yQVMEPhLXfGd6BtESy98y06KKN
yEaHDrQk/aj5xAwhZPBs4Clb+25WP3pBm80b5thIeRAF+iev6YUWTybbCWwfp3tEtpw/evb9ImTP
SKEiy7Gpwa9xgmcIScekfsvn3HzEC1bC3ISvmaxpBlhkevT4YjdgSc9OBFBgNye1Be140tvwq+FT
0guOO9KjXyZyPPdNvDSnOkzEvu/t9j02o+bi5+60kUl7A7T5VBHO8KyKeLoX/jTvVdt3kOCj4TQZ
GP1jtXDiZvR1d7Vjz7dFGEG6INQBYZ8oHw3HfzXtBFokSZHlZkmz6AumkUqtzN4dzwaKvQcisf0J
Lf7cbsd4mG5DtTyZfZiB9ehjEmiYn9A+SBHuvNRw3poWKr5fRbBcXRJDuJnNWD6aXlo9DgQpYPT2
8nt3WBReN7sR6RnEZ2t/SsIGmSnWvctCZCdrQmtX+9n4PJvmhNXGLo6TrNw9sOdiV6mO2ZZoZL9u
WQBrj4g4THZQbeFpGyt7MYmiMKvyyBZ3XFM8ywc+9fqG9BoSMvF9nkIcZCdfSO8UCTMLN0FhZl/w
YrXPpWJtWI+CnM20N1hWt/FyZxfWdMsAR/0aKlgRTtDVoEx49401aO//0GgQAdG0fO7ObsEjRJGc
VtG3lMd+ZVvNtO540giLC8dHU4FVpmcdbtyx7bcMRXyEfaAqCb4oVtZIUsxSdDYmNuAXvQmLIWxi
2AxZk6tgN7LgmelAHfnF5YesSWnhLvUYxLg+cykrTCK6mnn+zSKy71znUDG8aWISAj9xhNGUyFdu
YrytAVK0ozXIpNmUo81MbekUrEVuYDp2YuhaD6hDruCzEiDKCh33wAZCLJnNyKSMZ3dqERuCMOwI
V27EjV+5pQtiygQzoZamXeUii24hWhU3U0TYke2Q4LJ2IM0k7UAs0Wy5ECW9wHlnKjjCvQdo8LyM
VXHrZwD68cfVKW18EmDwAZdjebH+dkVe7axC6o1hz8bSJlmGzNwHVZixu1dpKY9p13zyo3F5U8My
AZRsnaMvwXoiJ0ChUQmSajgJx9chYqq1qjxJulMeLoXYpHHD7JdbeZxJDWjU1yJQfr9x64bkppLQ
huEOrS/BxoL54IroIkX4w9BF+e1MbqC1gqIzHMtQlu6GNR9KkQThwAXAg2xWQxxaF2S844NsBuA5
KDEGStKizS6YPMmusEiyRwkylAZbTVENG7z68k5yHNzkEfh4RohZ/kIhVD/Gvd2VRFlb9hkzWk2S
oRa7Kq17jbUCFjaqkW1EHzsbUytkJc8ogRpaNzssbnMerSi6j60x/VRpfa2nlbbhDPwkr0Z2nlch
rtum6XsS4upACaGlukgb5H0bz5nxpbLZeaPFRNdrXSW+6ir3DSvGXDtHq4CJOq5Pcy7GVxJr0H5r
tbDQumEWz5vFkAa8f60qNq8CY8Bnzk3kD8lOjUPzBDcFKXIgZPQAS876XA45dKF5ymE1NW147zhO
BYgCMEe2tjAIfS0xODEhBd/s7hutgQ60Gjqq/VoQQTIN5w4dOtJ8Mbrg12wP4VxKj49VXGur3aHl
5YgdGr5zviNVNqJxVyuiUaTh8xKhby63DmfzLpnt5Nik0ILqEU03Z8N0TLTOe9CK7yHloeOc50ue
onCEdVZqjefCggWGEWLxROvGxVVCrmZLy8lblOUM1Bn/DcyXbjpsldc/G9a46Canm0A0YfMmB6G2
bSTfExsx5OjBk0jryX5BI1wdE5qFe9+OBK+av1u1Fr1jorEvk1HdJgFH/+Jmt+HsBejg8YErhr3S
NSZ8Qbmx8Ugt3laVk9zNIC72Do0D/2CZrAsORSTco5bju1qYb1m9tckjhl19w39iiKVfEy3nb0hi
unHc2snWbRUh93eZww/aAkCsoNo0OUHMui55y7RVgKfUBTN3dRCAxcFNMGtjQUs8VLTiOm1ubE+b
E1wbBMxatItyNLJldjaIln17NzdGTAADQuYXmXRdsa21zcG5Oh4Ihsb9EOJGDsir0q6I7uqQ8CI1
0kt7Wr589VCQHtG8kkqYvtAU8+ci7sZJhouBdepxNuVTOgXuPrk6M2ynQcRdYC08t1fvhu7BL0Fa
IEHuovLrrE0enbZ74H/g70VEEi4Qg43WV9utc34mJhFL20WQKaFFVtpE4tWtuG05zvgWaZNJePWb
UHfhPck8EjbgLlvpN+SBry10oI07Cxu/QOJXpwTFvEKi5BkIlfBuwCTKAognRlnnj2NkdndlkswP
jhQxgvMB9K5sBUqkJrMMzPztIxgiLmuCD86kskWYVPiK3caWFO4GASuy1dGJ7YJkNgd1uY4qDZDh
vKPrrt884FNs1RfDPyFdJVsLDSGZg3lS+mgols5ZNWOzHL1EqpJJfS9vu9xcnFUFJ5AZqbFoAG6S
DExpFwi4I+cIuLLCkXAi/KT5bCVqNh4GSCbOvufSxzVeLgR28AxAhSzhng1Jw03AUq2oD+TYORO4
oiCCH6Mc6q8ys72naRLOBoiu0bKOneWN16QctJGvA4dKmSXnJprTifhrxTS58KaXBmbFI1YF9bUO
PFYW18VhCh/h3RGBcfJwwhb7um2QFxpEpAOWFwtXRq1ImY31ohK7e5TDhWGRGfaK0MHCdAjUNkPz
WHkJe8+iHIxVa/cSHBu+Cru7kd5sIaP7X1v3X7V1PhjBv2vrbsse+/tHw9qPf/VHX+f9woAL0inK
Wufa2v2f1MAh+lURuaE8wKE/QhZ+n5XZ9i90MhbQVQ+1LnIEZAK/z84sfqBP54iC1wLeYfv/aHZm
I+z92ViPqsHGl+6gF6ZTVIg3+f//1NnFczP2ZSyaI1sN5W2SxBCPZlQvZw99wK6sE494qQozbmuo
4BkyB2FVeRGQHx4Hp5b7H6EubvTSlMWeFHpY94PIEPFTrz97xGBvVFS5OAtMQOECrfxFFKAbEo02
mIA5vTiQRraVtojzrAco/hziiQpLDZsGgv9ahCZrhi5nKcI5JJ964hz+A9rhw/CQT0DTbsCBWKTf
WLbur3/+BBKKNRpVrN2UmtM9slh/T80C1rzr9Pvi9/7pEfk3GBJNt/nJTX99PcaVtgMs11OIRv78
epaBGjZM0+o46iyGKczetNBPozZ+lwf9ZXP8QUuiX0nZFmpX/NqMFuwP72xBKYUMQ2Yoqun9LI5v
KkkC0QiKjZ8GK3P2c5QEj//47SmHNRuzWNI5IPP++e0lpoULiOrzCDWPxFBDmy5ahDXupp9ckAv/
/NVcJhzgOWGPKx2F/PMfL/S9MS7yBJqXObrpuWjyZUe6DOLYnpiNv38t8QFCoT9PUsB4EWWbPgil
Dy82EVMXEQkcH+toylCVRvTym7rOy43XCBTP5AFfetr52xGP/IH8wK7axi15CX//e/zrA6R5GGTU
mkyE4DJ8+LNmolVz3lMx1mzKuGjbud3IMAiefVlhavr7F/vXZ8g1ha6GPRRJDkKnP3/ADY2y3TUy
OVZiWR6uMSCdwTe4wuEXkVsXoxBVhY+l++9f99+9Sa2polGWjMTMD+dSGiZjHMoqORZjPVCU89cc
7X4cyaQnLuQfvZYDigoBsZ6j8ecFPfvhtRxkR2KI/PgY089jOJoV8GWzmW9CgiA+/f1r6Z/107f/
+lqI1/gooZk4rvjwx0vyjh6F2u24zMsoNiXVwimL7eF368xffvc/jsX0e8KUg5uDQ4bH1frz362X
WdvIcoqx7btDQjVDP7Fy5gLB52C7T1Ec5zgQMTOymWWAFGzptKIfALe//B0+PDv6vSJT56DTOUKa
1vvn34HmLI1rt+N3GFr2HWKomTegFjgH9pyfytCjnZX2/B/O8+tH+OEjtjiCSAcDNGaZ2u3985kw
oJgrl0ARfAYj83OTyPwkbWe+q1gz7Bu7KlrQmOXExneeQrUOxn4eSI8opl9xcdRAxzBcnNKgwOSn
V0IB4oxTsCTGDwjAX346/+73xA5DaaCoDnCsf/h4UuiK46IM4wAwRr7NRA0166HOaLOCTI6SfQct
2GpODKWowsf0bMJb1ODrIDj2aenc+J0fHPE123e+IVu1I3W5TDZl5Kth/0+fWs/k02Rl51KR/MuC
zfQLBgEEzBA5a84prnVvSuld2m7796/z4VvPE0MmGH8yuhCP/368G2MDcE5gtPGxJKXhwY+1VKxI
S/cGYYP79Pev9fE4v76YUsyPNc3E+5cUgtlr3daZEo7zskk3oRcMG3TQ/Ro3bYosXYOBpnG+Ef2k
Xo28gKhbut1/+GCF6epv4p8fV89me4kalaKAX+fDrZI1lWHxzQgOLNab+agyi8O08ye7OoZ9tTyw
xTPfrsEsMSmYrLiqCJJ5HKcAOiWhQjctbKqTj9TmHjU4kKO2TqpmXRM3T5hxSmxOFhGPE8HDeVwy
O/g+YDt98eZsOWNzmvAS1Y3UovUUd4Tn3gyNyYGL0Nx6dFF2PsmoMg8dVtnbqICRtDGr2CA1elwe
5jCw+1XGwOmSN2b3LQtm820xKOPYudIk+1MRfM89w61ORV4j3S8wQh2wvTvo5ehyYEepRtcIZQqu
tqgt51vkB+K96HP702jbVb2a4FqSRgwR5Xs2dM64yckBj7atl0Rn3N75yXE5WkQzxG99xOFdtqH7
ncmyZ2F6pmykHTMJqh9jP+zJgJXOfnRMiqFCTe2vniKjB4KwegXE3XiPuCt43vj2h+kuLX1eHouy
8eBZLWcnGj71uuDJ3UypH56V/rctjS6gA5d4XLCiwGwU271npGTzmXsme6nrebxcP95AwpSzish8
qOw6gvyyqCw6Qi+R9sky8+ichmCotwTJJkyar6dVL2aYtqgU156YjK9FmfJEluYETSXLgGH36H8Z
BhGCCgHINKNn0nidz31jEjpvoVe9t1NLaTsDP2dELXSWHTZmjMHxW2P6Y7EKmmYOCRKExrhike8+
4Z+3P3nF0Fgrw+KzzQGuvWVhbu0E9pZvjJkMwm7dFmBVEOfLgzsy6Fp3aTPdm0M9XeKZpeRGOSL+
msmOowml14uYTSfb2vo5zBE/nrweu8t6RpcME3wSFDAiB9FfDBnPksq75RyOc0ZgDK3XDAhqgPHm
GiyOFpjrmz7SVLWEN8AUOEHltG55wLb4q6tv0RiSvzB5PL2uxjA1AWa+Qx/RMWDPNZ4lViONWnDm
c2hkySn1sq2/MKhj1z9dSiODZZsw7Q9HWLHAY931bJQNWJsoPppeU9ywPHHWeM3ijbRa8yzsYjn1
tSmR/bjBc9ipbeloWoIkKmrm1dZB4KpLvqh9Gi8V8bnBtEfPZr96ACA03h0f3Yw9Le1JYjCmhaGj
hcCPBf7On7AdI6ckgJVPFalOPFzisJhPifB3UYQPDCdfSXY3LOLIwNePANZf1TlvK0u9Zk1AbraZ
hw6lbAvmt3Od14ad0xkiw6WZOmK5BnvaDLPnMCGx7J1bx59IGMu3c1tZNxlYDbNHw1R1xbhP/dxc
p4vQ5jhTsv92llXsR49tNL/5lfWt6o12mxi5vZkldimLmdPRML0vtfY8rwa7ytbz5HGr9ZX1Nbed
02J7AjFmfBfJGDGWI5+HIbgpC1TSHaqIbeTM0ynKcg5gR9dIuTXfydi2z1jr6wcRQ3I3BoKSlkXe
pqqevQpeVqKgOehDJGx/wxJXHWZRorIugiFAeBXayUkQfiRWgRGq297N+IXKzLHZh8/W8sldHHs3
jRlCu26w/BvMbfWFQsmJNqPUizMFigocWfiJkeX4NJcu9UPZVl64Amk9n1O12NsgR+DhpJ33a5Ij
5p4ySbB07ee8KFX0uQnNR88dx0c1zvPWXvp+q+8fbFxlNUTruKrz+7ZjKKj4pmVHVpaUAlZaIsqe
qUVSj2VVWsh2LYnZ4ygq4Fc7aNuJD/fVoUpofVAhpJucMm/nLyazrnFgpNtUVn5pze4F6HC9ESza
7px68ZJ1CJEFVDvMsmTHThMDWQXuu0hSV4sp251Uffi5Q4l2Y/fTposDxPJjbwKp8Eb/q51MZBa7
hdXqzL/GIEepiU64l8BSWCPa2GXIeTATagdahMx4yOZGbfO5IYIXI5WZd8Nr7xTe986Z8ADKQljP
Vu6qz9OI5mtvujES5X7EjFn21GPFVB+qZfHvJqOWD2jiwOuXhNoZXa0OdNA+YElhdatK9M1vFYF4
W1LgZoiL9lnljnn24WZna8cXt8yRC0qYQoGGyPyHLKhBLAb4DGj+k8hhTNGIZyMGGy66zD/xRwWx
4eLj5RLGTVoYg/M+LWb7oMCwHCdSGzZeSUwv4TksCJICyEYQuvtREWsqMRABjY6dTylImXs4WjbM
CpEcgZ1bGpoXb2yk5vUQiP3gujzYfnGWjA/WQe5b92GdwUatlX2LKg4JeLXAG3Vrscm9sdxn5lLt
sqX1vvUdb4mDpl4PLUu+tdeVTbxKScjeR0NhAaAZda5CG4QvhTnZd73plRdzIb8bv3YpVxWMsWI7
p0bpwM4Zsn2WFurVJazgmbcWQuJ3vZIwZLDZs+HPv3W047dIo3v0TQZR23bls1Jnn82d7vhjoyeT
7h0dO2ohpDI0AKI8ZWKGPDZ01XlM8uy+km538dppOth1G8Gi9L1DPi0EuXmFsUJo4N2U9RSckx7J
jhMO+VtasD3ZppVff3bwR++kJHvPd3PCpyvS2o6wKZglJVnzotrqa86P3jZ1yfrAdxfCxdtgGb6Z
rCRAqxitcQyrnlrWE2a3rqOCOOIENI8I5nhtlmzj3T7eprn1PiIw38TEHuNJ9om9KcJwPrO+K9+U
KAY4fwnbDp87kAHssp9d3C8s3rp7YQ7tW9KknNlgxvKMQ6C5Jh44pLu7nzqzL1T7jmPfc1amU0zR
98gAy9LF6I/5YncFbVJnfK9lVJwnt7Lu4tHtPxlhMLw5Tey9hr2P3F7zf7LNZC4eg28XR7uC2lrk
xcGQznxi3+qH2DMGqKy4Bc00rzeGN0AtSmq9uRxTsaaKQvBgzWrTZYSmgf4NMH1nk81v1U0Hp0jM
szPGGbbckTuDVRZGGUjpUlJdlhGotqSeDiLQxmsiBftN5xBTwbVFiLeHoWZeQ/DAR+5PXCOC6RDP
JVP5ddguxjPeCnPnkyOzrbgU9rZZdadqifv3it5Ib0eyTWHkfApI878Gln6UmSiZhEZWZHUott8H
adrBy+xa9jfDqgwYcf14G3gwRNxiSdai5MdOzuR/EkU8rKzebb4GlRNTTpr+mg38JwrjgBwQaWJc
rR+l/RKys13NC8drkAU8VPmL6RbmyvSMRzWA2UtUsayRI+6QaBF+XeBexNqbryaKk41SEXnORYPT
lx4bU6FTrv0pfkszKyrWBn0yKKKu5KoMD0jVrF0vx9862DJ7enlnXbM02KWAGnC0yJPVImQX0NpX
udvvvNAP1xhHiVgIeJzNZBI3s5uTdy7w9PODo7L39iD501Wez9kePNb0VEvEylbvheekGL4TNGsD
d8+LlRwGcgIY7G4R8k6nuJmzg28yHrCmARdC1fT7CtTtG1Jpf0WPz61DIXQCduQAFYvrXT52OMi7
KblNxbRPJdFUNgXXmqZabjoIySOyJMjZkzy4DVhIMx88WhPIt72HR5dS8H4SLSkVWYIqrmt/6xqj
3FZGueyFJAMlr308MeTmNHMlbxAOW6uFxQfgqQewDt9iMklKAMLUKf4dfKNTbtSvY76gHg9OmDs/
wT8+c+QyMMI1dUPaxvekDl+E7z8qq9hXVNNr6PXffDNGRZgypFSd/yZcXEkoqlH5GcL9VGbEAJil
9TaR63DKYIpvvMg6ZrLpNsRU7ZK+QoGgRtzJ8p0Ugmpl5Uy1AcPQEYRj339e/h97Z7IcN5JF2S9C
G+ZhGyMiOIsUSWkDoyQK8+RwDI6v7wNmdZkUDCMta92LSrMqywonAIfD/b17z7XmnxPJ66QlIDqB
IDmuVaDiJx2RHiYC4edH9Dsg4YirSOvU2hvzdmjTZ1i9XUiW2qXTftX9oUcY1AbbpEvvPStOQm8M
csipQ/+smcLfTiNCq4EzzGXfCy1EVbC85ko/OlbqPcNxrGgota4PNhMCa9q6lEfHbDlOeAGE3Bo7
9hb72Rve0Z0v5eBoYpeU0xdotMEv+AA4WbSmoKCzyoPO1/fmYI7WBd3vriM/AcHBbWGK5ffMNs9e
wFi4I4ULtGLYHSQz2htz2r9UNe1sie4oDFwWqCxXOfuh0LN6T7uWmMvTTafVGZa7JWTW7UaOnDl5
nKI3o29+nEe/O0Jwmd0dGtuVgwZCsBXhIAVWveZYFDPt+03N8kKdaelpqLqPvvUEJmwjjRiUqjYd
qEwz6F2+cY9+G6krzXY4JaeE00vVuvp1pjnpsJUL87HsPZalEYvCujKW04mRTsNrNsP3zlxlXOoG
SaxGjMQ+ycFt4oWkyB3bnvHF6By5dR3BSYQOrP6jrkfXuZLJsBx5A1mrdeI03VNbDWwdCs3V940B
UZa9PT+tuRX5yTUHdNqzSOw8w+N8Bd3vu1uU5iYVbP9wbTWkjkL5g8FwqEiTQ2JTi4OZE+mbdlZ0
tBKHogDq4Cu/96gRLJ2at/GGhnhmhXLkELlApjkngPOASPr89q8Efml+0V2O/W+8b89x5hBDX/PS
lZIz2CRMqgS+Nd6MM9sejcMmvZ65cu8JcFRXCIbJ90hku3srFDcF0dvmVJOBS5wPCddpQ+B7mgR7
LeBPLBNwoO4sq71LMMUTqaBcQJrxi6wjM6q8HhxyWhjPZa/z1HEX8TePkzgIp5pu84n9LlG1AFTz
Hj57o5RcTzrXZZfUwhuHY187JA2AUZW1WHEazvZ9X3iCuN2ItKd0pipC8ZLFoDc4nehowWt7cNpD
HullyfzXZ+0yqOPmheJfutfzjIqiP18EQnRQMooAejHfDphjVTzXO5mPo31ZgPi+dhCEXBA5Qods
diheRXN+fJt3GoTf3ZDxBKwZ3BdEJxwOsgOVMEwLr7RPIMVoNI+XwAJ7viv65Z4UPV02g//Ks5qu
aw9yrEuRcm0bpDiTvlvt66UUh0V0vvJUBBikAEpe1+m8I+hkvpK2zm8Hw/KDRebex2agbYOEpFyk
zN1GeiRCT5WnP4PinXcoEMThLUe3qSV3y3AnJqxheepq4Ie2CLzIdmpHTX9OSKLIcNPkAdlozPtE
Y3tteNRZgWFx4DcA0vyeDZuiUgY93poZMpu0+oVSYkV8UWUOX6W52JCIHT0O2HhfogQqv0Lr1qy0
hFfYtnp6k6OMjlFj1C+51yEKaycNx243FDqqgSIyvnA44AorJKI97JY4ZweMdmEfVKl5yblFPJEP
wb9Q6kV+7Gtu09DBUR9zAnDfXlizy5Nf5Vw2L62fMvTUd8OxkCo6SEquJTZdHDQznspYpyInW/5/
gUjzCxbfH73T4RU1Uo4esvlZ6T5xyzTz9t0giEWWPB1JbstTO/EGRr0KqFhUwV4KUqjj2lVXFiXw
q6YEKy1GtKzr2Z2NiyI2jRuSWaKjU1j85ZKTj7OpWA73uuVQ/KAt6m+cZRaMWB4uncahpIBbA0K2
j7gPN1PPLPFm/UesZ2DEXV8jfS5pgr1XC4cQO06nKABZHwObOwVbTXvA5xj99qKGCw7kMgeFToa2
BzT3iMgMurgPzyzUvAX/73sc+3w3GV59l3PymgPG9NzV6fR9GvyFJ8yGXFBKbWKS2CrkJybA+Uuj
G6rrZJT9Q6qP/q9msKPfaT2hHnaSQkEF5stkp4SaKcdTUJAAxhyGoI2+Ze5CHu9wxkYbr6bAvSma
9P9h5v8/b+wz3tgSjfFH9fwdl/fqJa1e/xKv//P/+I/IwSUgltAam6xE+gPMP1ou/+EpeAZYXr4f
CNGB3/8FVfD+j+34FPr/G9f4X40DODJUEfiLaCMHNASQP/wL9fppU4FuAgdmfodeFOp196QfpAJA
wlItCoJoq4Kto64wsv5xNz7v6dPLQ+QBs4HtI38ySoq/W060kJbNIfHqZDCu8pl0OlVBp+aW/teF
9T+MslzoH1oNIEbT5CSM4lXfO+17Pb1K59+JE95dyEl70ktrm6M7Q/TznaffkW3Tzj8+vgpCM5Zf
+bPl4ftoWm2aPCYzwzBORSeLtzaLh1aAT6/Ez5r277hlQTC37Gvn0IlAFeMOYvUsej7RnY5DtrOm
LcAkMt+mYdynjRCPZjJbxprPeLYR0rsznXJwNuxFx8sA4gGnA9K/LTkNO6gD0T0aOHZfHjHpD2op
pXmZl1107kB5vaZY4DdAXv0OSLExhH0m1kiTE52dKCq5XPOSq6JpFJjbvl65qag5UPRsB/TCu9Bx
G9AfAm61ShyVXOmt5rJ+FyipdQqjiebABI3LniC0SRYbJO/9ZR+U81dgDsUGZLsJw6b96YIcp9dY
WlvyvYZN583l3ja7Szs35depUvYdSWjGXqNmRYChyNjmQEAqesPedTneY29qjCufE/42s2yS1zjH
fbE8yY/wQbj0ZvJ66tmHIjKozriK4FOHNcWBdVz3yV2UDePPQEJgHWar56wXTRD4BpwBWjq/jhhS
n4FmiGxDOsP8leYk2ZrjbLwKMWnFmjaa/K219pSsp6yQj4GZ+gkyDGnfDQjbcZFyg1FxXNUc0+WK
vgxMZuW4yIIjeQmJjpz1lLiZbQQsB1BcB8cUSq+HAjHTrknEe5UdqsRRyf5XNk9f7dl8DYDvfZtM
iFF2r6XPMgeipisKvyuRtMa+Gu3XZUccrJKxnfEVo/TPaO5NHBtm+djr/F458Xdkk5cfy8DpHlMN
mEAxtd5F6fcJX+Qx2lqOwByBIhHKlJkd4soaNoFoxA5Vtb5Hzj5TFALngWFfRVsfwAIb8cKPyX6y
zRADBwOYM/nxbSb3RLLloDSy4Z4Qlv5eQkzirBkQkJmDTL0DiYEUvojyI21taKUawbEDneMbP+B2
rlrLiDYltdyNydp5Lccgyw4ZbRqiLfCTrQi2M6J1L9gNIYePac6lgGCqPp9WsHCdG4JNsn0Sx/re
sEX0IwL1Bw/Q1KJrcwyoMecJLa1F69yvAJbbNyoR5kbFyl0DULSPqhHtZasth5tyHg5u0Li3kWZp
e6S51q1nlPHlaDuPUdmyP0I7jQDVGXS6LxQgDq0gsLnvJ5BXGCajH5IOJD6OsZYrS+u1fU076Led
5f5vylty3QGFvRBALH8kgW5s4761AVGT6rTVOhlQDw6W+xGBGNsY8/SroFeTrbthKrZJTK/S6AwV
ltDeL4s4th84O8zbSPnQDizNMfa+V4m9gzHg2TejASm+k9zpZauHA+wrIif7iW29lw4Uaqly/jRy
+H5t2ZfXvTWNL4IMnKuqj4MbxPrWA4cAekoYGrTt1BrOxWjG6tYaOBgiWvdvs1RULyB1xjuhyDqa
skReT13rXhoT22mIe85F3nAKM1qHdCYl3fsGGflGIg6B9kylbu3opJKtWpCKJDWYkbwTs+4REahH
OdgN13U29P9rPD+jjkPbleUqKerkvsUK+suZ3S40BhahnEyfPVOD5iXo+l1D/uQeTzVk665JIW44
CWJo3W4vitFFs57UbfIws+OLCX9F6cxLk7ibLMDJSktxPvLXxg8mmQ1Hlav2gt6BWhdOlLbrzK10
ILtlFhx8dgw7NMMuHcGYjLEu4IzEWQKw1uI9SvIUZqBrMSeoEnLMBcCwBYQsDv+cKpMWVzwSXG3r
RX2ECUYvAuIuJfdhqmfAyJySbqtCtD/gh0Eiqof8roB6tk8yXa0lq8D3NA3mbT14XggLd3jF+jrv
TFQnF29nppEgU3/lI7J46WCM/MCiQsOxYO/+uwvokKsOYjGiIQ68yxHLrFwH2CVnI1QjRIPNjrec
glE0gu2Q28HP2Y4yh9/48f7GNuKlM7MMSe+PygpVmGHdK5O9u1UshbVcdk/eJLsNe1/+VVsQm/6W
x/R2nDc7AmCoCrP1tZP6cUhLcBJL6hQn8mibzgYRtNoCzYNAstanZbNf9y84AuWBzBufmMg+czZ+
lANVGBfPvRLDdUDRmdNqAvROGEF65eZ4GAxNEi9Mt2wKa2r7mPYpRhwQ3wNto/RUHrPO4Czg1a7s
lxr5HBLwxR+sT2SiBCmlAgO/zvNbpza1l8rMm5zTaXxST8YlzWhueoYFkxEdJ5J+AGpwoH3LAWpS
F0mXNvHofQsjdO1RBukLK/n1diLMl9NqKVznIgJ7ySGlQ8bYxgj620jz9+xGxcFqtPxxhGi0r0gj
u1/SXLYOVHR6IFQW4rf60fKx6wI6IFpGLWV0qfZYBkenOqAdk1BTurWEsl+Msi22VcMER1GfQ+Ai
VgsRF7RBW69eM77hB/q+3QPxpvMjEym+dRMtvpFZH9xXGW0c10Y8moqm2vvCcp8lG1K56lMzuizG
Klb/nPzMSJtuCU0hFEfTh9ehirSvpddEVHAkFCVfc//znHI5Rb+Vzh872da40+3GuKYeoj3EAOlu
cYLQWShMHMfOlH6r+s6/Cwjp3JET7DxB3rKfBqHZT5nTqGu+VO4uaRNto9JU21BboIYYRfXVHGvi
S40remsKTOGEOkzXb3ddOnTm684HkbHwy6uq5sPXZReOoIfa1jikqx6vDvHj+m4Cqn3h0UPZVkEm
D6WS1raBsE+5SLd5ib1AHXvO0TeRb8QHWv60Xd7m8uwbqHw022df4dsXM0Tpa6+roi1tjBj8NMae
Fee+/EZvs/LgUll+DiL8WTJCWreC+mJusAHw+GcEyznZpVcGNhWMVoFVrhEqJSyBxlKWQPKQq+ma
RUEdzCaqbmAjzZu0dqBX0/FWjzraHuJMZ1ivM8waim55cFnAYyV0wctu4IpjcrAoftl9SQ1xJITK
8EbqiqKZblqv49PtJVhhvbamNDHNpZdvsPBH6co3wA/xbRoOgaBNuYrsjgaYJEN3DcumfuhRou16
Fhz2QDSELnD8ypuWsiFlT3dAFU0BR40GjA40JDvkvhpYorzSHv4JusSAxI7ZBmdcDFQB9bccK+kQ
azu/aTP9oaXi3yy5XEZVPOqUWrdlQ2XKClLjx5sYwi5pcNvjSOBS4FNAmdLaWmn2ohmia7xNUYfS
5ULvI3LPO7qjrba+VAI6rEmpxFIDQpkycDFDyAElz6rqrPlOd2mHYFcpqB1F/JcHW2sB8ARUdi57
uF3riH/1NrMwsBBa0UYhzCR7n+rWfMCJ4u7HNt0vV3TjJZO5pviRXJMzRthVn5b3wMXElt51tZ2b
RNtLpwYzBznJ/K4q5Wd8G9p7oJSI5fJUu6Bjdttj7l0BOQfvlWmvPumWINRgCvW0wopMRZdcRr4p
9JqV04k7sfN9MW5ryjD7KKJvBARGXiD+EcjDWoK82SEmNKocyNCJujWpRazzzi1/epX2k5rfzQQV
YWdOY7ns29oDRiGTOOj0YayTeS18LQ5ZrfbciGGNILXaxPTx6YP5z8RsC6yUtLbJX2mjjT8uFGyL
hoPuS3rsTkOQitdwvZjSbHZVJinvYEspgEZXTUUWdU66wtZNC5SdtTX0IBKy5HvcD06YQ5OYV6qf
hu3kz/V9gy6eHKkYQdSqNJOLJHOb26rKm2ctzqsVX/USm1BDM27wUIgZyGQ2hQ/RpR/UfDTTICcY
K+lDLcF3vKnj1r6FiDTfZrEr7htIrlsUAB79v0mAsIKKs4XACZdbJMkevFC2G9qcI7lepEdMyFDd
DEmMo5jLCwPgMXXdwgnEZqxja6RF1E95ftFVP9jeG98If/WvjKCX+lqYTn03tBmIDLPux9toVvVB
KqrMmZZ0O+kjiTDLEjRdjgMPw5LgKW4wYv2wE7slQhtY841tyOyuciTB6lgivrmC/RWW4cS8Vn4g
v+Fd9o45dsWnSHl6tGpBiz/qyxfSNcqGkrefhFNV9RdJ6ttXSdnJJ2y2TgjdaTwWTjxcjJrKf0o4
jqhoDB5u3cvodvCa8lfZgcUeXMN+oZlS47HDIn00ADxcCkk53cUvQLFzqGzOuh2UCaVJ+6tVeeWW
/r5BHRuD23Wtqdd88Pxns/Yqmvqzv47jYt4h1srW2VAqHNPJTCuFGMd+1WsTfBTwUxdkuGRh1gwF
cElP5/HytT0qThXISK15NRr+JgZ7uMFT9qAV9KUq2RJFRBeHwo2/qQL6VrnRPAkrsza5S12XrrHX
4m1lZ7yvA7d8qPOyvpRzYR6EoIPLfr5EH4FVL2/8XgutbtTKkOOSq70qWaAYGaETg5zzH8FnVWDe
aWpyihlXppZGX6mGSpBaXnHLVjF7mQyr/pq1efvc9M3k7RsNS9sqjdo0x268JCOQZmJymJLVnW0Z
Y7V+q1HmwiWHqRdjdhzM/jUefXp4lHcup8CvLix2tj+rRnfXCt78xtXy67keMCp3llbsJZKjNV2h
+pIcyTFBPtnIa7r48TUkMHeV2UXWbX3faRH8AHLqRGZ+4f3/BeMY1yXftGDVY8KjWyrnI3kO/W2O
mWJjYy54nERn8eGCkWJUZXTXNVb9w9Ka73bWjd9RRd3PJEzZO4+660aj5Aq1a2Zlb7QljL4v7qH2
wC1AHya+ODrYqHUEmtBNen03D0NPfTixsYDW9j6BRXNp5oTbrHLRgyAhCyIkFyX+QQm6o2eqA9my
NHz38eQ9cNThe4JC8XtUkhjSxMGTPdnjhd4Y5p5fMRHNt/LeTu1f8ArFzVBLhaslGnZDjviF+6ay
qyCYx/0gYKwHcJX3cAcmQX2Fm2JF3pM3JPZDOtSY6PuUF1YEuDYr9lQqcYOdA9hPWol5yxnkkQU5
v5ma2T22SMxWcpTutimq6KUO8hkg4eiHWmtl1y4xSPgNNU4xJrCzEFREu46HsfpSYZZnh6vdlWUp
D9JX5V2Uau6t1+ox8APXvDaSwfptxHC26mxstqJP42MEAP6mcqbksnBy595ukDahZJxh/H/LKpzy
Sd7tS5bb7dBYuJHlpN9FUe9CLkdVXMu83ivsq/eSFXfVT/hjg2DQ96LowceRajJ5unu04lrt5Si+
J0HlhVmc8MViI3hkIdXC0gqGS7Zy3hHEVnzdxW3O/reufvcyG9JNIZsfFuLfb50ve1QAMUrTH7We
ZfqF0fTRhT9G2YZqychk68yH3tQmBT4RJgmMSxGb67pq22llibpxdm01zRzNEkF7XYnioSqDChmC
CvZJuqj5KWE9IIN8nSZEhjqYGvrRljjq8/jTczg1OIVZrtlUcUhqURTMBu2zMg2MhfYfaghTjrz/
Dohx97FEUbO2I2IG2BUWG8odPztChje1riJkDnxf1TiG/eS+eBxBpmy+dIR+xx7KpXJGmUjrfeOn
HRTjhV071tZtyfyDxSFu4sgIh0CLfieu5dyCezLvuin43U629hjz6n0l8FQkG1LvW/pjYoJl68O8
1Sqn3uvB1ENeaKsNVCdCbRAlf2JUeF8FxcDnOS5uPhI1wVv+Xc518dlXg+aLcLSp3w0axbi0qZmT
7Z7zePmJ0vxdFZwAYwxDBiJ+ADPuqcnFm5yJfZInQlXHNGnRSa/S0pu2RdwUm48rvOeGwm5GPpJj
wuE4VbTrndtQfjS4sMSPH6bM5pORDcaVLske+HioU4uJz1UZJrY9ADkBI57cQyN3dFVYDFWJqr/M
C5mHrsjYcjJ5V208lXvY4+rfFskZ1DRIgqYOB5DmdFAnjeB5EfUVqpy7aKJFW7lQSVGV8Y+Pr+/U
xrNcHy80LQwPu6DtnpgDchb/uWk0EZaK0M1VEWkZi5ufHXKTiiaRQO1towwqiMWcXPXFNH0y/tK4
+LtSz/gWcYs4UX3LPLVhqdhuEj2Pu9AvSXNn00Uhox2/fnyRy0WcDmKZTMzF16bTFvj7RZgMPhcy
MEUoJaVbb0zYRcSeFV0Xpj6HsyLRYeiDaVsLNskfD31u/lgmVkU9oHkDePvvoQPHnozYtMRSJFFo
0BwZU1ehEOxpOilkaG2clUpktP142HOvvmXr7M15sljgrb+HtbrArb2UYeGPFkejHL6ScQD302XW
Bh7z9+Phzr2QGIXx1hDtQ0TlyQ2ORasb6IEYrpPOQ2u2ew7/wCZIRPlklXlnqlkmLNQp0+YEzkKj
n95QaMj/PEt37sef3dvcVFH/i/CFaaWRl4hfAr2L68/6SwKsOpQjpfiPL/fcpIXE7nqubeFBfffS
eJac8QIIdPmxfefAA7lqYpbYj0c5d1N5hEv7SqfxeequtfGk9HbJ0vO2Cgzkq6EuVhPw5az55Pmd
uyAb4YBvW1TlMSn+PV3yqa/gOI0sqGMLl2asv7t+/f3jy/lsjJOVNHUAzPGhhgZrSsJIxd72y88c
b8vDP33RmX8AkJiKjvducgSZPwpTirBh73oV97p5NGExEj06ps+JxgqDRElfMhyg1Fio/TDwfbai
vX/1IL6SIItmUQ8oXSz34Y8mqu00yAfrgBQhg1wTCVlpTUZEe1loGcqfJqg2//a+LoTZJZnWdPBi
n757LccqX2H6CctqYoPiqjvgSN4nW4n3c9HSceji4id0FqHsyQsexIYkaq9ow1QSitc1dbrGU3Dp
ZfQyPr6cMyNxEb7jAfrA1+SdTJOgS1NIvn4dsrShWtK6CxjcD43IHj8e58xjMjzb1DHMLbsje1m4
/3hMblPmViC8OpxTfSuKF80v1lleLYKr48cjvSfI+eDq/hjq5BtLjcpdnBtYhYaAwn1lx0QWeP8E
dGLJGqr5qyIsZw+6LxKb1pb+Roe9+c3lyLqVsym3Gd3fvdlRRiuFRQG8tBF8OX7WQGEjCzgek/kq
KjgH2m1lIRalW8S5Sm4Lk8RYAL3ktY91TwVb4dtdU2YD2OSm8ycXClX19PXjC05fT+cFMPCunKzN
ZP9oVgCYGQteIp+CstKvjcH/olw3fSnnnpySoqB/WqBEwuu+8wiPpWftHlx8QalDZ9Zomxwx8dcy
4mAk3QSZf/mlGYlpiCgslXXebjtE4vDdiRGLRGahwxxrNFoDqVBapvXrya7tkN72uJESjx7jZBtK
eN5lbqNlyHIgLBPr9SaIx/XsxdOG9NYi4G6ZIHAIEtB/eIuw6+MZcGaumfj5UXDwzWLLfzLXonJo
2X0o7ktGKtZgBNaBpz6FcSYQyRNjPIYfD/h+w2NZWJRtBwcPBI/TDQ+ehGEYm7IOA19C/UrrctuS
KnHpWo3cR34sLxNKrw/Q2+KLj0c+8/qym9MXWiSalXdnDhGrQUt6t8I9qNTz4JIH2dLvecConr1+
PNSZi0TgwWpErYP/nG4d6Yty3lR9FZaDoCuCoUNQroXvj9VEHNwuT/11R4NdrUaTov3Hg5+5TvZV
lksvfEFnnlrPPbJBKTtVVdhFdbpvRzLsF6+3nynxr7cB9rJIGRh4OV45p/gQakBdjHG0CLEcPSlV
jRvTnwgyKyzrX09TthsIphBGcfp45xdvoCj28dAX6Ap6QglcCq9WdjOOjruj8PTr395AW7e4MNOw
ITCQZv73+hunRVNB+eeynNIKsfNWNT1EejpdseR7fDzY+xeQwdjasDVwaGiffr5atCGJ25dcmWY/
JJb2hD3tVzZZDwgCP9mDLO/y31sQhuJY6nJprPlvbuw/vivE9KWq0hBiYEvcWtRKg9ohsrgYZsh5
uHkKgP8fX9z5EeH/IGNbXrrTz4vdeD6G5DxsjeGYB81LrYwHS+Qtal+3gJVpXn484Pu5T34QZKC3
XQcjLnf7j0t0oK3gvvXyUOv7oyqG0LZzMg/1T4Z5v2FchuFoaC2ACfO0oDD4+pSm/HRI7ORiCAdc
1kx8ET++mPerCKMYOpsNUA7uO5M+DpmJYEEjD4VFRYtKD5rS/rdXuXdZK2mok3RvqfqTVXLBob+b
JcvCgb7dgcxwimYgZg4HQEIxIXDwsY9FQBmuanJk5gFd+rmiid0peKwrDHNEDoMGbWh76d5eTm18
KOgj70hffJiV035BiAtdoGnYHCzbgnYxISCLc78GJpAHHIHOJ3/92QezxLjSDMQzdPpgkCQkBZ0N
sl9GWrKZCrKjNlHn/PjBnJ1l6CopKYEmfrflLO2Wz0hcF2ElPQhp9RDqufHge/KzXcu5R0F+MqpK
wBOcYU9ms1dYVdNWLERTYyFkiZLD5OrT7uOrObcCuWwBwC9wKOfe/T3KDLZoIsMjRzyEo2Xwlhga
p0dT3xU/0Ov/+100Z0ZkonwyFkbS6QkV77sL1ZFXVOXRr+XeidS9K0X09PFVnXt5FjAyQWLUb0Cw
/H1VU0cG61zz8hSp49/myqDFFjm/aLbUOxE7/s+xgLBDtbD75FN1bs174/pTODpz6KF0qieWPeRh
DJxUVhoOinjXZI9NNt/zIn4y2rkJz7HHZLIvAWyndxMYAhJSrMuEHTX5njAq7240cWV+fDPf8Vrg
H+ncRM/kc2Qhcz5ZV4PenHqHknvo96P+mCZ6vSPcFT1aZg0FvTlv/JoZfk3WlRxuWlXl107hWfvE
R9M5Y2KjsUzcodHiMcefgR6j77PPTrfG2TvvccLmzYRldrrxEVGnO2NZ8rWZbNoEsn0xZFCvUZV1
h9TznwibJduDNM/LorLSx3wcugPBKN8TFB2zu7gvx9I+UEUKVq7SGrC4XMfHN/LMu0ZPmy2o51kU
F08/iIXH35BObLfHav7VzIbc6Q1iyojUolq9fDzWmdthvGmMnaVQy6777zfAhD6hg/Jnax8Zv3QK
DpvS0V86RRykF1RLIKUrP9lhnHnpDIOOHTsavljvttiDKNQk4prLy5znJI2hcaDaoY8h5pWFO/Nr
K8Z2gxpjCP/9tcIoC5aKFBvE05XSJgEhFX5HSBj6UDx+gqp0cUc1nqzsPH5UPmEtH4947kmyZaMM
AIQ9YCk7ubsu3cbObutQ02OyvIwBVUJlybsR6EFYuhykPx7vzDeHC2QPZfFhY7N48gaWkbCTtObW
TkNM58IW40Zv63ZjoYj9X4YKcL/7LhtGcF1/X1rj2aksK45oRlBXt0CXcWt60r1Ie8P4ZPk6N0ct
XqjFh7BU+k/m6IAkjnymlrNK2T9A9Xh1nPaBjAaxSuP2zsfU/q8PRyxggW6agMhon5y+gMZEr83s
5iokYAeNnzd+Eb3YNNQBPhnozMJMSR0OmUXlGRvH8jz/2Ik2M249PeIIWMTOUzxNe39uHz6ZEha/
cbKh/2uMkzlB8FCe2TZjIOg3VhBcmyOIGueL2btAZAqC89JYxxo1igbaWBZ/rUcB59ahV9uDcKX4
16OGrFI6vTapr6QJGgAbcEOnlhRHEouTOzMgIL1SOLSiRq/2ZYc4i9OtWiODJZbN8WlS6BNmRWOh
GUG1Nb7MQYnYqjLgadRlJ/b6QFjLG3DsBnAru8N6MYfDBb9JJi/ZE/aiDgWG0evBSsqrQRND6OfB
Q1rn3Zo7nO9KakVilSAUDBEnEo4yzs026hMHsXA+Xta2lUI5yvrdx7f33Ny0Dc8zmCfWQin9+wmC
PmmlcpmbyIRf2km+kIN1Y1vaziprTLXQyj8e79wbzp6bzR7lexpCJ+M5iapaK1ZVCLp7qTldj2Z+
GGX1yeb1fVttIZ7S2KKWSZkuOBkG4EhiiSkgvlzP75omFWgG/Z9t/pUm9BWCFHI6ze+xqD45Mlnn
x6VKyx3lcH26IQsaMFjN6FATqdX8nJBhTkSWrd1hdNGLLZoZzjitU8IjyId2UxBOQXO7YiFvzeHg
oPJ3slE7WHpPTJ20q3WEMJQJ1+zpd9LBDrIfjgGQfJyQAoKkiTeBNFxqL968iY3o3szx8fuz065w
Pto5rkLseRl/D+iH5hXPh3GbvcGsJyx4OLr438vZWSedzLYe7ILH1nI+exTnnrgLgBbKLWUGy1hu
2R9rRKp3TlnlJMkDEFN0l1Zq1Pe5IYdPZta5teiPcU43RkMzlEUN9ir0nYWcTL1hTbTH9uPpe+6D
6ELro69Avw0q6d8Xo7dmQ5KtqEKaTv5aLZZFHc58DoE/6dQnprOzg1Gv5MxCmta7ba8rWIyqgndF
S1zCRAAnQPvZoQBFSy3TT27fuYXApezP1wLL3rvNb6GU5WaoqEKRiTuAaO4aUspTXYhXmaJZSNxP
7qRxbl4sPW8OsEgIvNM+zdw1BfeXfVo2FdBEZtM4+rMYDya1+E1taUloNy2O7yawvqR6lIQqxtQQ
1ynB6bGf7wLCYL96WIKwZ0QxyKqPn/TZP48FkTIS9dvgdGEcp6jTCBYtw7FtXq0gfkzM4b6w0JH8
D+N4PidFjr+LZe7vGdUNmkoa9HghJ9GGao58qZQ2bupefPIhPbdtXdC2lFiWf3gn76FF/KETob0M
JZ6RpEPiOlZ3onYAwxs3pKM9lEXwSaHi3AT+Y8jTDWs22wUaPcJ4yQ3aE9vwGtgF4nb3KOrhkzPH
aa62zeENROGSYcT2kbPwyVFYLuEG8+SVLDOm+i6T5jdMQHcNCsdfU76N1wsfgFAgvdqm7eI10IxF
mSkQ/YE2eiLFK3mKWqhWvYljAVcbPqNEivt4DsD/VkVB+Ezn7yZv9B99h1UToFWHYErrJqJvltJm
bf7WRxM7CzyEqdG/Z3V/jRSnIX6yfk39YVyVykq3fanM+wbRNR970/lkNp17i4PFqUuJg3l72oAt
iqbrKvwJS/zxYZazsZK6/YR5/IKa6ZNM1fjJgOce8eLMQijjUWw9ve1NZsSqZTMUpi3MgaHpRbN7
oxNYMXAdgnLRpH/8wrxpJ042hChmiLI0eV04Zp486VhTBV3Sogzdcg7Wydi793ZiEIhtKeciqYvi
ER4aHAIb5eSbXcBPQDGU/QycCknfXhtB631yG87cdzYbiwUaODzHiZODUuAqHw6KVYSgI+1tIpR7
VSVsG1VWd08Z8GhispIfn9yIM0VMVAlUfZZV23t39o0nZ26igTe6myOkrFZs7xCkWrsuEt0e5rK1
YqagnHTAIJKQtFb0ZHBe2J+hiK0za+XiC0eOATObRpv59xqmI41wS5mW+JYzMCpvvobUAn2Btrpy
Lrgz3kFmqJGxWEEpKygiG1pJHxWeyHA7WqO+UyoCN/HGl5ez/sy2uNonI1MKx1S+Q9Tn7JHkvyrE
2CzZw9Z2s2SLVtjeCK2SYeK23nZKem/jxxfm/yXvTJbjRrZs+ytlNUca+sbs1RsAiJZBUqQodhMY
RYnoAUfvwNfXQmTmLYnKkm7m7Nkb3asUqQg07n6afdauc+NjblTymmXLENrMQnhI3ME7FqrzpAIF
+0Vi/lfXTweMGXRn7dC/LxxRbsuKrje4/iKXH8GUokW1ZfqQakqy/flD/6uPQniN1oBpdI6NdwEI
TSd45OuxBIQ0CUXjrtN8UuRHLynih59/1vm5vV9pa/XXIHvlGHyf/leKXQxTmZIcjMB4fGyoZoa9
FlPbRaIeYawW2oVWq9GHXmLhq+tKfKP3CtwSoxA7UYFzOX+hv4VvuExf27qr3/r/s/7aay3mFpeM
/owP+J8/3dXozsuf/sjua331Un7t3v/Qd/9s93/Pfx1/rVdkwnd/2JwdJm6Gr+18+7VjfOdPgsH6
k//uX/7H13/Hp8KgZ8aa+hdK4Ad8w/1XzHCq/luAwx+/8wfAAUoDVgHQEWj5kQ5ZBnvJnwAH4zeT
Ao+6rl6IXZQU/+U/aFq/8R/WANRhYZtQTv+H4KD/RlQE/dtcqQg0Yf8WwWF9a7950SgcYKIM654X
jX4T0rLvNxBXG4clBRq5Z0Kf+fEkcf0sZq7pm3vy4fd/7z+Q6X4gBuy7//rPHyIgwjmu8YyJQNH1
Hj4dDWOjG3UcMf5P4sUZ7zEeKqP6ueoBXKEQMQ4ANHM8zZZePP38s9fn9e0lolJDkWEjfwQITr79
vgFBJxDiXu56+9j06nyL2esUjhJDCuqV+W2GE/QL+nvh+V2VGmG3zOlXSTjOpE9rG/i34T8wD1m6
60eEMkajNEcQ4QmzqSjTg6wAZsvIlth0wO0uh86JbkuGNcJ/cBEoaZBVeTTtkK1+/5zU1hQGBF9v
3yxS36D1WLalQjk5dab5U2OoAHC03DE2SglXRlOleAJTA8amhqEM+NCTH2zc8D6sY4e+Oi7pzvMS
eEn4ah2kN+ZbgiTtrkyHfjtXCwweqNzp7ufX8MMGynPgpFqrYoiOfqifd/CGhhkMBeUfMYWtuhS+
HFu8D7Hu+/kn/RAarZ9EMGCZxKQAyN/dLAuzNkx++KQRpdt+7hl46223Oba90dyoVlz+3WIcn0e/
yWWShqbMDxmLrnVVVSoFnxen7Q07Cl5xzLH/osTxF/cPPQQ6RYq09GTea4w8jNPdgsn1fYvbIMZI
2Ztg0nCfd+7dz2/fWUX+zaawrhh0EGjrWHjIv99vCllMzWriHdzrYKYPi9PpG9go6W6eeXBzaaDu
Q1XQ0Zrs89t5tNwTGWXOBLMW3Sagsi5K6qzM5a8TyvZI4CG0FJ7UqDEsHBcwj+oCz8KUd/PTGDuo
FPF+NBWU7NPCtHbMh0hh6htaium+0+3ugdH59BeRw+9F+++ukvYggkmKVaQtnmetkeU35ZFIj4oh
WcBcTsxKYidYTwcnjrqD0rSUFnNAZLZRv8miVUIrh4fHy5vti5JC4KiJfgt2r73CmwxFdQ9xCzS1
+qDpeXplebP57NAperAae4Nhiv5R8+hb47RVaEFrR8WdruawppeUKtCYyE9JXOlhFafzDm2Ylo3x
M9sZcvvesrCn0i34CXV9wemS7OF66BsjttO9woQYUyBpuUl04oLOqN27NrIgVyhZGVZak/TI9KNX
SGJ2UHZ5fCBNG69FoU2MRODPdSrdptiN0RqpjnhS2iazNPZg10XQY1G6z9s6v++7irFMTPGqclau
LU/MXwAqdr5bJEC28t7YWREjVH5mA1tZcmGHirOgDE4M9Q5FUvngxEn+JrSkRkmvMtMWgDKuIlwT
VcOvq0Q+Om6Vh06JRt3yPNyv50yelsazr21w22HvppXnG2UKVxEfxc+AJa0Xtek2igR0mkT5VyVX
3EulKjCMjdN4ozjtsSxtvrWtNZtc9w5yVKqrOhIRAM5q6vHlZJ4RUcVOFdlpvZ9hDUwroP+J41dN
VVsrjScrsScf7Ip6iPOyPJmRmD8pRd5DpwNed0VlOyoYHUx0POLIULNyMnY69IzDAO76pWU47AN2
nl11gAsADBVA+F1ubqtE8EaMSAGHxjBe6qatt3kCdtQQ0qXyrFftp2ruGGliKo9HIzH4kQzvTPMA
mty40SNI9uxt46Fn+tefgcS7UFn0L1BryrC1NXHDQNFlCngjUPAcDce4GMIhytf6dj+sMPuj0DM6
E7Fpwo+WMdP1mIbE9nMCYWWf9L16G+GVtslaG7Bt/qKXVRVOjKcHSmZ79z3R6NZoW+3kyGE6Vlbu
+TWenQEmaxjoZo3CpDJTnA7zoGxRAz6uZZUFZlbLCwXK6i7vZAX83Y2eFJHMfBkZbROKp2DV18Hc
Vm1GXq5xckKOIUx2Y9cGtD+laQgIVN+1XadcWEvN2KNSM6AqrfkFbql6A9Lecf0KZr/u41Aprhei
Y7apTmsu5lkzD0kli71mYJTu1CwXW5lriDZeA2eGYSTsNf3ESRofv3h0kmpWvbajGT9mkTZ8sRlC
fzTGdjqWrjse8tHr/TEWTJGqeLY3fR4FVqSOh0FjfTGMKvyBol4M5TdzOu1QpZ6z0sEbtJ6lGkOz
VVbSzqhWW8Q/yYEhELExAWwE2TxEvmcM6U6jMXBKZc28IDRv36r540qcAZdsy+boCTUPoVLMO8VG
MNN0tDEADc1vY99O9ZU6x0VIQ2VE/o3tXVvreXjOzNOYk0NbyCh0dRAbdQQMxRW3R8fu9c1EjyXU
E3W+WHq1e1i8ybxGEa9ezanK3GkeoUv1VfKPr1pGf9ADkk2anbWviSPjrV2nzn2S9tWpImu+U1Ti
i6IWyXVOJzyIEABzXkyqbzPjyrcDB4RMixrgBrJkflvEZvOYZUYe5sy5halCXKhYYgaXDTJjMpt8
y2zkcF/3+F81qdV9OQMqi8xk72lXbz9B+GUX2CAsnsn3mg1xZSRM4ztdy8k1GY4WMKqWh1m9jgei
m90sEHOu8fmcQmsw9E2D4HhDxTS+XmBGdD6ea/yO7hXdQ4yODwCQwTfJB0/djSMCqUixtdjvDZoB
ODVk1sbwEutaY2MIIHimO9Hry17NkB1j4BkdiVWg/ke25xNHtscRyy1fM5L5jRh4vE+xhtgYQF6P
GboyrGio3O404Dm7qFKsi76tlduZD0hCpeDkxYSn4WvDv3meGJ2P/chO+lvVEfw/BJq3rao3IYUP
7ZFO0EWXAyhyxqbedTCTJgbnVePCkuqub9gUYIYYNMcacyuSRh7KXF+Ld1myraEOb+pquMNTUQ+m
nsq3lU/WxklVHCAqb8SFMx53rRjnZMftd/LXlnm75NR2ZTPyNlu938tqwGsCE5OwNfQ2OnlRCU7b
lHMXYySsm8mVnHSAo/8gYf03UtF/L6f9fyhhZY7MJZD53xPWyxd40y/Vl28z1j9+6c+MldyT+t6q
zaP/SWBLeP1nxur9RrmcQRm0pKswjRD1T1tFj6yU7gVFqLXXhPb6Xwmr4fxG8Zt+IOqgNdvlr/5M
2P9IHcn1/1dvp/exPcaMNoEb2ZzK3McPw5aVCkGuTHJIfbFmLVhumdUJAfL8qcQ1mMl8Ftk3t+cv
ctc1A/42TOQDHcyDKLHyzX+UQOFTkGDxbc97KenPqMoIjMZmG/35p6w9gHefwgT5OmxpUQ34oZrb
Iy0dGyuRv2crrIjmJq9bvAsdk31amdajjD3XbDLltpsc+ennH49p4Q9fgBqEDjbHZNFxb9cs+pto
mNQMPOvs9Hs8WwuJYce6fTsJ7C6U/Sepc0hIxsq7HYP72G4IXB1W14SU0n5HJvaRGgK7YQ0eni5v
koJn1mBouMuUb2c952cJWMoyMAplGX0poFmBvurW5NSd5zda4fmtkbk4j8DP2Ccm0K7IsRssIqzm
EfzVvFvtilJfxNpMoNRQjPNRCLHBNlK7Y4hMXLUg9+9g84EAMthvJ7sTL25ZpipgAo7GpFsT3qoY
74uB7KPLZHWKNBh7oGRcLZgIvk5JpKLXSmfxhDsmvzjJ1Dt18GU3tJCiW2/ERSccO6HWB25VVWLI
rPK7EdVCwr945DLVNVuCR6LfzfUMzVVSKrBACaAj8MibwJ4AhHBIE+uC7BQ9JFSBrOcs6GxGWRZD
pnTOOZIwkmyP+aA3N/ChOdQGR+7shnTsfExpRj/eZ4Df75tssT/ydDjOaIhuKh2DmYEY4XWuOXZj
h/J8OlXzJyYt6yd86XkyDQXCvb3yIJ0JkK7RV97J1pR03zQcR9NAqKu2/Mqstt2DDVHgFMnYPACZ
0e4GTDEesn6qTrKuvVNZUn0PvawxM98swU349rCozMwWFEQEJ+FUcdBi4ZHfCjsBz4AtE9y+un01
I/4Y5yRoQcyhFO8xuyDaMYcGz2uWs6v0885Oh+JQuzzc2VmzwiGDSN4ZTCQTdhMIiLWc0S+c6g5m
GTtFi/LbmJkzzEGS5spkYgcPnnj8mqtECBVkKMQeqsqmodXPqWzGe/R5y6XXjPxTHMU7URIaaZIr
9iZFXEX5utiVxrpWYoIp0+NabDPz/N5LymCEf1H6Y1IRD+XkbnOqm9exyZM4BztmJeawBFdfAtQd
uK+EeS9O4VkB/scZ5jASZDUskCi6tdWoeaXws1xWUzJ/0qn87nBygZrTEvfg/dF/IY7Q7nB1n8Jk
hY+co4wu5jlmw3qr11e0qGCozy1XvwDmiDEj4EmYNtADU+P9x1NZPBWxEx2LLn+alG7AuKwtr2P3
jRSF9DxVSuK7Lir1Q9JZz9DxmkcdysJ9rPNuwgjJ050Oxic0zeLZjJzxa286Au8/i5dyRTDLhAcF
AazfRo0prgWGRNdeP1nXwxxpd1XaiafBsutnKCu8rQ48t1anBmiAPrjIAAh+lO5qOKRkcJ7daqIs
BwqZuTRjVkAIeHl4vjg3YRF0dafcyllUfSjTbLlEVtQ9CPrGt3Pda3gw0QMLtF4Di1ZkZWBParrv
a4qtgYxkugPrhRlhQZbNW5sPzmqa1TxqKWQqEHeU0WzdaK56GxKZ/oBaSMvtp7EmeXxN28F8SkGI
5DHVpaUymQtclGrDZNg0XM4N0dhxio3BvAUiBk6KQOeTBsUuqO0hqXzNksy5NYu95T20sGhARYbb
kezZmobqaqg93Qdl4x1NJf9AEK7c1Gpxq1jDlVmKcgvsxLpZgLT7loPXTGvFeNZEVxg0YHNFHLqP
9SU5lHr+qUNpu8FmfNgM5vw5dckbzXH4QrJZHpQqfp0HMzkkCwLGShvEqcbXfFNYo8TKJe6/aACS
NnHaXci+ibaMx2rg5XIv1OYWkKdjxaju4/TKXEww/x7xX9ASaduZe1Ry0YQpFYPFF17UHBgUYaxW
kfhvqAzzl2mOiKYsirdYLOSuiF7wCupMygJmdTtXTrrRS8W7yMBNXqIpm0CssGBhlGkX6cxg9eC5
MQafa2CujepBxTJoXzqQsERvuJt6IlDF7oRlWa1MTgLiQFdK9WKyUm8/xNpHo4y8LWqA7qRVnlFs
dO79ayemyQ4s+qiM2i08Qzpl/biHPYXzozZhEBfh/9DhDFKRNzF06GnIejwboFVkN+Ecda9GPQ27
2Io58yg3ulvQR6Of6EwiZpXd3FKg1nytz7stY0aJRDWqwDl35bOLhag/Gbm8qOTKwijy/AmsRu0E
trTnHeZk+FogwXZDDB4ZhxhNAyI1ZUyiM2xSBstwDghjdDWc2USg9+WC6qNgXV2aRScu8HED1Kir
+gGRfxcaScKq6jaA3Bu/QiHg415jHYXdyk/LZGDtvsL2UE3upyI0RqXGeMZeXkShWshDyuVOZKKG
H9d5e7lY3qEcovlDmhtLOEZDc8xLQR1JL8CT2PnoF1Ocb6j7mjdOhyaqjlaZfNyC7lKFu22UEVEg
1Ft/sow5ND0je3TsGK6bOk9bM5rBCHmjsm3AbjLZWd4UmsJZDs34kKaGNHxG/cJYib17sLDarkh5
46nYJQd3lHjPT5F5WSNVwaxpUm4xN3SvtGaZj6spdYErnweYs7Hb8qsZN1fMyzsnTzKoHZjTRD5V
MOjEVEmSX4pu0Q4CeWATpIndXhRLZDwNmTObvmNNzJPqU9FdJDMuYkGmZepXAfqmCE0GaWSoZtQF
lqbxAlEq7W7QCutpKgbKGSSf2cns4+61NDIby7vOHJGMapUWW0/Aa1QQH3kH86muGJtQZEXnIrHG
z3Wm1UFfTGtcIJobGDFFyHR5VW8ASqYXilwHTUFpZQ6vX5kcGPhuT17TUV5oJUoXKm9WClHLjbog
S2vretajdL8klfisC1j8eJrN+fpsAM2vIdI5Jz+7ImZWV508nX6HW4n+i4tpmUDcR893q1Itxa6N
XfiNxi/mB7MS3QpkcqwB7B5PTqSKKIytFW+fpCWmUMK6XuAl3iq1EFxuaiTbIU8p+MUkrEFJkJeE
pi3FZykG5JgJ0wFQ6jidmeNtjr8HX02qa3fQzbovAuK0G+pWwvVp5Sp/kPNM0ToV9keZN4Rla8AI
iXE0KQAkenFAaVadClCFe1OlH1SulYm+zeLMLwU2TWFidRzuXknaXa11h1Q34uu4JNKoLFtcxcv5
W3jNo6GsVe6oadZNGSPFtx7YNSZ+DuGJ1zTaB7bB6oshbNq2Cv65wdlT1I7ZiPyy5euskMRdoikD
xRNMFHytUdwKTx86I3FpzxfqiG9lMoxTGK8Ao5pg64nByDLo5jX8BXfx5PSygJ/JJaBEYFKolPOb
O4t0J5eoxoYz9TBYmUCwztSpMOcTRgHlxGt+Ic9HdPFDEsEUvrsOyIFDXVWm3ycR1qAw+zdDU5BQ
ooLZSUW2aUpv3tbYFIYiZYTTSwznDbfdcQ9dN94qmv7CNPcDEE8DVSrHlGJNcTgwwntJScR8GgUE
vnQx8gtVLY1nnaEwCXNCVOMFsDsXqxUtD1UTd40Uo5JdySPcxx5UZlVLoEvJkjihKL0TBzc2NdKY
LxC6035qGPSs1yerQ7m+HePW/qhYzoypaqxCnqlMGhJGx7sNOoZ4Y6qxXR94cXDSIFYiSSEejHN+
aDEdHn0LuBYY1hojyWppbioGPHmW8LhCE5Dvo4cPi2+qKYoZPF82lD3FVY4W/5QN2OeM2KzCz0rG
+xgTZ8axLb14bg08Yo99sTjjqYmmmJuUYgCoyK6XGyvOEzUYhBEVgN6MbIBtCAFc6cyQC6r0+zqC
7Nw1BkxBx16K+JBzlITRsv6HiEAqClWITHYQpUyGjQzQuPoFUsgOzJghBbsgsVSrJlmFN13CFceV
V28kLz+wZEkI5Ug4ucpMcHVuspH18Gq7ZvegwigMgNFZQWdh8hmUHlYqsiVgdhNTfJ6zId+2aZ/u
hpFTTc2nZQ83nEAuqezhvk+LZ6clbsfAVDy5U2GkYTuvvorrvfNW5tlxWbj5LHblFgCccdBYsDe5
Maa7iMGvKnCtvjj0uOq9SFxGX8xZ40zWC133K8nzNHq3/UAG4J7mRoXyOJFs2UXVPdDh6B4k2LuD
Kvv6uV9j6irxioDS+TgF5lJI3KSKadhqS1weqIkTLVaOQUUzdW7oig33qoZ1Ld4r9Yu1Vh0hdcwX
QiNrCdtqYeX1tdY96GvxtGkKcYUtE8y2yJT1Sx9Vbmi4PRFpZJqQt2prYY10WNlp0BL5y15dmte6
orPrlrROgRh3vpVS6kRw2xwb0VANoTEIedxbt66khPxszQ6Jd6k3j8xMuidtIr2FKu6dYk20x3R2
qpMdc+MQJ867StWtoHar8R7NJGnVNNNlXDNvJI3iqszJy52U9AT14vLmskqXTeou4im3yw+jdMRn
fKZIc+ivXmsVZdlySpCymvyjlbIGLOu3lubq2enSzmqDGoHgaTam4qCtS1WSyXKQ5FOIS514thqJ
N0FbZnD/EPdthjElI12ThlSqJE6JNOnlVi1Pps44As57oKhiekvk2PNFzvgJZn/tRD5tUDGloMXV
FQ7F7RhrGLl2Lc+vITgtNvC4AlMuB2W+PPcfjW5ubs6ZdmXw+gCtKAIb3Cw+sGQfEGbTfWFykBUI
Ik8DLbTgnJYpscJtYH7TCSj0cOvXAsqSgtvOBYn4lCRvrYun6cJyqwI5xxwC08r5d2OqBqqQ+W0j
mJXwCTy8lctO1bmGq9wMoGiB4PKI40mlZQ9+3Efgq5M8LyxB1NeUPqgBU3bJVcrMA4ZvXsYrCPFa
mzYVYPkAZJcFchjWNgeN2lJwGDs8SFsqMZB+m8fFMClQWP3UvMIUw4JZ7edPFYxMP9Lb4qCsFXzK
0mxrZFI4YK0Z8mqF5rsd3PegWlL+pVInyW5oBIKB5uPPebMD2vpS5tTMqjoxMbBVvqp0/wlTHIXH
V5QcUucWxu+vJtaJW2GSklc1/WRVK6qTWDsYzLK7J7fvmsdao3aBzRm1DOb8qtPE7Pn1aBLh4iLU
s7krevcFuEX9LOPWRWrQeKfJYZ+tp4RbmFhY0asYDsD/ywcNsEZJCm0TFvV4KZ3W97lp120YwkGH
P3pBJchL6Wlkecuve30zX6ToXe6Stdo4Ndl6ChAYP2sur4S5DN2XocFwKdGi+NrBaHyrtev7A+UU
bCn1n8LmcqK16nAOK9xVigEWNr8t6dltV/vZ0GZu5O58Nmhrf2Zw4+TaYcsn36d4NSqWee3EisVR
MXnuqfG4w82c63f0cMbAKwGi29jKH0zSkCCxM+1O2ICM04EHCasLr9FCrU4YUlQnSyd4KNdnkBAv
PXVMR4ltu9QERZPGboY/6P08EZ6InLqIWhf63VkcErGPPaInEU8obLDjookYnEsxY0+xyIUFfYyr
ZMKVikJGx24iAsLLfLsa3G+bWmKEQqvQL1nYACgNqk91waKY1bF+LnSFwuBErc5II0K0noDFsOl4
IAagV5auL895m5WoB3Zk7Ph512b8QDY14xGrl2sch7X5UbaG/NCSLH8SDtGSskykimM3cjNVtrdk
ZB3lWI8+qPYoiK0N3jVFjW7lRJ1CL2SZHirTao6TKCjerFvlKvPatLmRX2P5gUuInVpUGzACMBqP
8yEhVWVNtlQFmd5e3Uw17c5onOGrs3pU93x1nJRzFm7qEfzhEiY+d3RHLJp4C93vikWWCvpSuAE8
j6PFXVscxTjobsJSGXPuQV/Q/KvGqXkkKslMf5CYevlgRT3ilsFKr/APY5OdMA+8r+vICLx5nMNx
4IHPLoP29Hei2/MfzwtzLjOOGEUb2ldr4kwVHCoHmq/yAxYW87ZMkD7VU82CTs3mGDsWmwyixPja
FA5a7MVKl0thL0TCkzPjJpO/DeZS2zgq0sw7F+gcLGNN7DBupzUKmGVDKIwZ9bAjgeOKkV0UGRBK
13zCHzKB7rnqdUhkN4OFrZaf47157KP+VwNR2hqNfl9z1xg5RuLiwOzByWhtNXxb8q6NusQ6q9+b
KcXhAKyadX1uhMY9PP3ZZGtLPILvPlblBycGJZN1FvBkgoOYrtwtQOnm2BnjfFFNonkcBtO8xulC
fmJLWLY/L9D/oL1epxRWvhxzjEyc/0BGRJGaO6NidHslXZ21O4wBZ0EupmpZcq0MJCZUKwhEtZGk
CAMEQitKGau5c/2SCUqr54f98y911ph/fwdX+YzJzArzK+YPczIxKFTdS2EYlqWBwS1zmCvnc2hO
y6TQGGyHJCR7XzYz4lkCnYEiWyZ4uk6yZnJMsd9mtHaPYKLYDSKr/iLSwrlxbRri7LIEhkpbN37T
W7+cOP8xU9Hwq1qfvrPKqd4Lp1sdZ9w4Vvp9rNBzjRiPWCv3RI9N1rS4XaydCKNxw5E98bmbOUWq
qSIvHHrrj97L39LW/v/ZqgSe/80L94O29hIs98trMmBQ23ff9yvPv/mnRZr3G9J/mwkAi2qXpn5r
kWb8ZqE3tSyGU2gVnsW3fzQsTf3clYSZhxkaMyyrCK4DDZ7813+a2m+6sQ5+8WYgV2RS6u80LH+Q
7fEJyNMZUSA+4du9a6x5BjK4XChi76bFW0LKuQMTHfmpy+jsN3fnw+/r7luV7V99ks7QPXwCGl4/
TJQWFYC1NW3au2uTHyz7s6iQXU1RMvyiJ/pXn8RneAwfs/xRLny/c8a9Ei2tyAWIyXzAelG97sYy
Y5Zyuf/bl7SKHQHV8HEqn/X9B43o3L26XcR+5lzJi/wtUtK3jP/9Jx9jMcjE0OqPzU90LXDbLCnY
cCZv47k0FzHaLYJcpv/g1vGuouiHaEUL/f2gfSzU0sSpQOBnV7YnqQ6EwbVOLlL9bRWsy6Qv/QPm
JQ201+8nJp2xpIfmTWKfTHiy2sN8O8fyHpOLezHiFvrzO/j+LMV3zmX8wka1gg7Re8/qwtK5Zm3W
Yk+pkSIfIc0+wwXYr5X0RXWpVqW48PjajAfVzz/4L15FOAIrvPM8kvR+edltTVWG6uWec6X+OEDK
9i0P3xqYk79Ssb9XApyvkfOOXYH5Llb19y/jMmTDDFBOQH/CYK+kT7rJdDX6+A8u6JtPWU+ub6KS
VWExKjT19oon8VNq5f1YTtWxav/Zrfvmk97tTFNeJjUNcV6QYphDW2YvS00u+uvlpa135ts4wSV6
wdAaSTFCKRoV7+qC8UDH0yT43/dgAuDGdzXCICYDJ8N8bHCIBrcmaH5Qmd1aWOAGEPt+wTqy1B9f
FEYm3FXp63gmKMJ30V6N7sgta1EyUqPXIeI4JfdnQZi7mOW88ej8h5rXalucw6y92so6zArDI6w3
qyPSDAgOE6k4TnQxOkp6ga/nSraTRcZhda7cDk7+NjPKcYgXbbwUThchj1g629c9Ypha8CNzEpUb
Kl46HXosLBzZlOg1Pf0hd/T6YEVZ9DyWxOpTKa195OCAV88Y2k4ZSyp3JGZ43TzQYyeoIzJpSLP6
Hg7VkBfVhkmv6iPuL+YRi4rptYk4aLTe5rvjo3EzZ2Z9MbndiGbWcZN6M5uF+jnDewe6Dt9HYQbp
pYy46Hzsxbb2YnFNL7EOewvBCiW+KMp8bSg80N9G7+1s3Hm2jUpDLmso6iutUJCAcnVLyd5Zwo4P
0EfoaDjY35I4ZZgCrwRseaS2ZUK07oMRKsLRLMmooLfUF5raM+xZEhu6XqkETqHqD3EyWhcy1rLn
2K2Le3uiuNp0hnhCSak/RFy78J2JMqEozWHhO40oPhNHeH1gGDPbjbRNSjsKZY37bkIHR/5Z3uBW
3D9H3BpMWRpxbQ/Zm6rxTAfMCR5KN32T3RR97O2lPkzr7px0XX0xF2uboyXz4vVFppzgP2fLWyCw
5oFDpUffSM8eta3hE4mkq6HcUGHtCyvXNwdapbEhPLzN4+rNxvjySsMgcmcPBXwAXZloGJxXXtFh
B4j/nHtKbG5ZnnITAFHgZWgmc1AicbxzF7w6QHin+bOHc5BfNlMdIvdF/kvLsl6wjWrtYpfSqBSX
GiVWL7STaHxMIqF4G3qmnQtaNE8X36Z4doK1vjy4UPnvaDCVb7qT1EeucWbKis0bGVazR9Xv3dcs
7jsD/9IssEhWcTtBoYN8NklGfF0k9fUWhhiYBET1fh/J3MIAUcS1j92NAqAH6XCH2DkUJs7fwWhy
yi5YIpH4i9U8AxuH5B6YFWrCwa2yF6YPlK1XsY6AxyIrSr2xwPU5kqSQ3vi4tEu+gzbcQ/tQWj3d
ZsKwls2Cfqjx2y6eBh8ze+3z4onui76wtkyF3mNYTFb3aXQYMYoznLOduWAbpyZsMTipGEf0cCl9
yClVAi3nSVhJnD83sV4dZYTxD+0zPcjb7I1c3EM6ZBtHvoi2xY5uDpW5IzVPUFBcYYxGnzouVpcc
ntBgcPoCRqaO7JJG4DIbfczGdsgxKJXJ10p41r7KbUrLdmIvJ1MbHkU3jzswIFjBeQMvwjK5Fb4U
6VuHEspvFKx5Oq3Y4Xr1tR9aJ0w6+bFqdBQO4+chmdNjWdlUTCNhX3AaOzfJwKKk3y03VNPGS0TC
3qrdF1v4TajihZM/uBieX2DMsC0XSlXxIkUflFPe5fg8Zalv9AUvNbui/JAU6FqqIfOuDeJaOoWs
+hzBcziOSOyNDjfUpWV3K6d+3Gnr0S9Mrlsvs5e0U9xrF3jTSyHxVDPGXmNOe6KwZkbGUQ68UQB6
o+fBQ72hFnMdjtBjNla3sIyYVvAAng2gz5WWcYy4Y89JsGC90ey2obdSvFgWG2Xbsn/gHufcLCnm
enrbziFqWerCljG4N5hjtRTCgd5jKsBrOHhtsyvUcgiZPGAT04c6tCc+uqVGvU/x+0BpoE2vCXgO
URUVFj0dpkLwRDdtWlwbAmOjZDJcHkIprrtmDe1rvb4oNMHLRBFmwBxdM2GGcHfSyKOsZlNzPO+6
6OSe+tzVvqoTu9W4viOWumhXKK3Tq8xCVI2yNmOPI5jxFaW3cGy1th3l1AA7Fz2wDIZymr6WwbjY
9ScUTR7a5agKpeq0AQfuBMWxZ+cu1Lbdx5wGd6OII8zFq+oYLUN50w3sPUrM7jF5LPp8LLnnXj1s
jQyUSVyN6ZUR6epnTxv6C6qOhMT1cO3mXbHvbHXcZQkD/aUXK5d9m14bqTE+KlnWXc8y6S+jbHnA
dmxCQYMSzp3BxZqLZu0XL13orDTltVDa6EORPzkNNlb0gN+YEYT13qefWM/37ajGex3C5yaJyybo
VQNAzowMg2Mx3rG5f1asevB1h0Nvnf4+KGlS3GMgVR3bih1HLV00U6omVv4a9cffN1mcBBmU5xls
Sf8mP7fx4+XcrgI48HLYQwYw2x19H1+nKzH5fedlFW2fgs0sI89seEUyrwwQCOaHampUD48wZyUO
tWUbzmPDCFMhjLSkF9v0KgqRqVl9G/VPXamXx6kxymPt9Kqg1YJiwig6BjQ0yARo4hsJbe9ins56
aOr8Lftf6UzRbUNjByBXnmHJZqZjmRynzDOwhcNIdHSPKHvqCgn4YDhGQDrAGLi/gPh+6+YsYdJy
zMuvwkLro6Wxc5C0c9A7zl67Fi0tldq7ZF+f3XXIGHvPvv9Q2Q5uXpmJeR5NvThjfD9pTSoigzbS
eNa6/2bvzHrjRtI1/V/mngUGGdwu5iaZeypTuyz5hpBkm2QE95389edJd5+ZanvgxgHOzQwGqAa6
UOVKKZMZ8X3v+tXXpkbUNGWPuKcmJI3CBXNlvkdvUXnzcCwypddpZX5Iv99XSqFhmG2IDQdjtuXy
/eLgGO4dRxlnYRcGejgvp8ZAWvOO76mFOUhBWPeZ3+2tmrjIqY7edeJoiqwtTWUpxCo9l+IVi/t0
6bmjocliVOaFtHojDDJ7ufB1jT/jzEN0okVrwMZMAdOtYRzSyTH9rRdji0Ihx/EtY6YTFjY5rkZJ
XMe64hfea8hBaMvZGf6N2vd33/51IKbIxSGuiATWX7fAimBqGk16vU/yXB77oc1/lDa9Tauxw82S
r2LJaJVlGW9bokR3GVwmC6FJiKoEYxW6vXcuruLoW2BUs8Wq06YVetRs7p2TpD/upmhUA5XRBptu
qCFKOvC1fXyNbLbpMy430sujR0yG8t12Mf+vME0MO98Q3j1iPY7baJ6I2UpT9fXnGVgUeHbDcdEY
Zf687/zudUdhjUDcNAMHeFP8zFb/28LTLpQg962Z7QGsOXutcTgTtW965DcxM9F4nF5mQmlQIC7M
WDqgIpzDD0+EnSMWEsG/25uvvr9flhXkC1fBOoAR2MMvmIMXUzRMXmW2b3Lx0uOGaTT3y+il70XW
P0QzV/6f34Hr5vHLCxJYZfFKgt2EjIF/3fgQ/jh5DMOwH2oG0oJOXi5rRpOiSMqTIenc+/Pr/R4A
xNMH3XlNDyG48bc4w6Jh2JOuJvjVpwp5xYlZrtO2GChq58HCWRVsdMuz5jr+ePfzCh5pI3V3iTWK
LfJLI6RH3nmnXHLYTXT5/psn4rc9m5oTcmQQvPIN4X355f0gFW10iWlJ9wH79s4x4vJUyfHffQd/
Qyx4FYAKoszxVRMa9ss+2Kc91seiTPcu1mo4fE6NonK7sAYapnxQ09Q5KyZ3mNjh9c8fgPX7Psx8
AHTuXyMlf696mIWWQ5ONBC21I674TKKRMqIo+Jr3zKWYEJ35NjCc4KWQ84sO5vqHUTnjpsNri9cI
22R6PewaDJ5Z79ubuKuY5aRu9gy/iBKQjH2rIxF1ByMio/IfiMv/x6sRTn7/n//j/Ru5GjzuDCyf
3b+gzhxNQCR/sNakRfG9Lbv3/8Of+idW7WOg8a+EE/0EV1Dub96awPuJOuNuId8UsPjvaRDBXzhP
eF7oxCLXlefmf2PVZEhAq+DnuJY80dPl/FewavJMr6DP3w4jilvwuuCI9vCx4777CeX87TS2edxz
8u/MU2EaZVJjD5OusUaBEqF0FlO10dKGipvtoWq2E5mOiKXR3lJWl6E1yfE0r1C7t2dISeIWQAsY
Aqclk/JFcCnr9diKD7RG8XM+oZJIY9f5MiB4OSMP7u4WcmeibVoq8lRLRvhzPPIPw8GdgmpnqISs
8k4VJ8pXFhY35z5rOvvDGNGKnkw08Ki5Xau7GRRi4mdbR71309JfjE4qc8ee4SO3+29qoaigsNqJ
BsfSXEHwbZcZCeCi23ltN6YNQmL3b2wpI0LdHtfJWdspvD8zqldtNZ/tI+ry3A1ti02alJ8ofRbJ
zLicoIwJm1QN7gGXFJoU2KtHV/bWofW6ZGdN6ltWM2enXnp1zdQpediDZe2UlT7NUMp3rvIitedf
sc8oOKMckwDEOPZyAirZuO1NJ4z3ScsJjSyWYzRInoHZMLA31GwErAGwxOsl8WpnszD+Pwgzc85D
4Ewb0fWeOPRBUJcnYiSilyX3vcfKc6Knppst/wC8aBtr1VZOhuRBtnVIoax6HeBsNwaVG6FmlOE9
AKer+6k4ukGZnbrK473sczzwMPMRxo95Hk/ogGI/NOIqwSroLg91EcvU3EXUtu+1QDXdNaRhWd2I
e3RcirXnY6SmpbBWW3+Oor0sc+u1WmxUTEtrLE9B5mVy1cVcwXtpmH72kjZktz5jD2C62vSMfJOx
obQwaNud1avZbA9IMwraYnCLp+I9biGW+eRoJHYcOk/yVoYWQpsLPeTjZjIj4CnQhkM6LPSJRu4G
bTCbji5HFaZXd6Us6xwZBb7fpodaXV3rXujedCxE83Rxoqz1Sak3vCc9oRp2rEPcN2fn2pe8jMvK
S8uLrJea6EtqfaccT6outoWr22fDSO4nJpFVw8tsWbvJYBnmN2GOy9bz0mgbDfOjSe3poUbtuEF1
qm7q3DAPlSP1totq6xiQwrTSzOSb1mBZzOWUHmWfldvRL9EDZ/NyMPGf8wFl1jMl9GSu+KjxReyt
VNIZbFtq2JaF13VHjH3q0KbjR1M22bFJZXyqXa9fL0tOUxDqSlrsw5aYgK1cKt4fA6l/bhRhXBuB
wQqgEkq1k+8OYgCAPgTuUVlBCploZmSDPBoeDgFoP8dYhCcCHDFa7aDKH7vUwHVfpiTDWE4UykaJ
O356dVLObDSraOqqA5WB/XdUGPPapz6X2T0Z93U1gItyexfxgnGtrlnInMfazh60n94sIgIi6U38
RstT6tKZa7bB0YvHhzZA1rHk1hql+SZGKU2dbBL6g3xu63rnz9NZYVlAhdlP26bKus0QLaRnRfLF
ZeO+lqe2a5Fn3zOJjMoqRheoOOkfU4OAxFqIMOiQlcBacwim/llW4Dgqp6SNsVOsyPyR9yZmkE0+
NUXoBcPIs1WR18bn4e6sNm9DIwn6vd9kn4tH7hPq/uBI6TctQg1NhbTmqEsSdArJBElUfCvEfZzU
9wPluIbPL7WUxWXypXrPrqeZ7iOvAlvHOF9VlnxIrdo9llWXhHxgzbYi5pH9O3k1jRbFvjX9SLpc
7GOPFII2JbUCeShxvEYUHJnG7E3LsX7fURu9QgMdHLTyHiK3uR+HztxyTPinUhmjF7ba7b5wrvRr
a/CiYVXZnbooqx9C/PLdzuSD2ppl3V+c2Eke7GkKzs1kPiyN0ZEjQjl2bFmhCnqQhHxLd2qymlTl
USTSPrR0JfIOXfUEptpiGbf58Ur5nsgUSW3C7VBj4deCZhzVPWVga1srX6LHUY/ninCPcKKR+tkz
1LODUHiVGcN7uwSvboxHAn8Sz3Ff4RPLcGlY4xY51KF01S6wVMS7WMuLJeJ6N/rNZ0Gh78ZplnZP
8uFTRS8ID7BmMc2TbDg59WheEmE/9EF1k7XJi6upBLdQQ5ilnFectBug4K8yGNvQlk6or2dpZfh3
fmvv2lRNDxMfHdDBQAA4x6j/VUexeM3oBsRK7fFVMyTgnTecWbc39H0foea6rTPU1qnBirOqhyqt
QxxuSajnzN+BbiyHpOz2XUU3cxrpHUqiNIwDsuhTfBZcZjjXo4DFix0YkyUlfJ90y3dXwZ/hX2ZC
Wu6T/Cp285r6jIvBCOdxKDc4wJIPCkpkOFr9zZTW3Alj9izksC/woQTDwsWqAuDnpnsc5vYC5ZN/
DlNBSdP8qjydbQZ+HyDbUoekHaanYUbWy/q1lQhFrDB2nOUyIT1EpxzV1bpfEnFyUifezoY9r9o+
tt+isq8eEGfRrm40HRZ/X3MyDbld3MXGwJ5fNshRO+61Cj8kVa2OWgshqm3RV/2NhW40TC0L/rI3
kfPbxnNijNfrGTF6iWff8J3LCEH9QtJIcWvG1TCt5ZwROULIneofCmX4h6DVy3Ea7Gc5mdUHSdOU
0Uc5sQ1bxxvtdmWTvULAjSxR9nLPWpuhCz5zY7gTiQfyIsfuoXWKu7EwjLDWdCjPSX8LB/2lbewG
mN0tj1jHvvgtYZ5Tqo+WIbqN4NdbW+jNv3K8yv0IBvOuFtFsRkJHD5SkWRtVDsnORaq28umYD3Mt
+WXb4S2ISbQtTN84092sXyBOxhWRnP4PlzaGde9U1oogl+y99L35ERTSXenef7O1U4X4Pr0XJHXp
2ohcM4Q4UE+Ib83VNJrXCEQiBm0bOmmS1y8RH5haYdlB+OcjplQBP15MSsAmV9+qRn/MpuE9BEEx
fLHbgY71PrlAtTjAaVzZnqoEKEzayCRcqkauKrPJTsAGJWLIXjIjFPFZWNmeIA4dIuJHONYH5YOP
7hlJvp/09/jj/P3iufUXgwgtOlGnpwGuZSuCNEjDAC/ODe7Qb7X2PzmdMzhAN1j3TdQ/p0qc3MIO
dlUAjuyMRroBVueCIOJ03VloSBPHMovQKJV1KZAxhpTQ1DdKtMsq69r5Jofr2I+lmHC+1J9ZTM9T
P2UpvpBqEI8ckO20sXs781duNybZThZxu5W51FxerVG81V5gn1AsO1tSzNKXK1JM7I+f+VewbLYf
88QWH0XmuB8yLfB/LV1MbwZJJobIGBh63nMLmgadHkgvfNvR6xcDIShImW3dRiwqNt/bosExjdZ9
nTN5QFSkQ5yEeSTQcJ+afvS2Oh/ix8BgEBVnBq0wRybeBMsBuOZbGbnurkYNuM67CuoDJeghKkpr
tUxOsOKS3PGpHR0luxV+tmqdlaVCCd5/HToJur5U/arAT06xPeB5E9Xcf7rEA14g5YyqblX5Itvb
HfVRSaNAFs1xEzX2RSXKfk4lfZpZ5fqnNMnLk+pQGGoveJyXZJsNlLWTcyl3pvjos4SBSSFzVXn0
LOImX2W1tY4MacOQVSTYOw1IqYqOjTsXG68mV7bgucuhfVakQoqwNIoKGcOw9sku4ThB+EmS1oDJ
Aup60cnXMaBnjgF/a/q8xfgenoHoyg3qoAqlfn4aXRgBJfx8zaoCKN8ZqM5ir+JOzMpDWcqHgIaQ
Hd6gz6zonwlgxHjsLvddzp5idQ7qyrHAxlV160rOlLtXTnM2mmlArmtYL9g0qWzP8vx56uinpwec
q26mAlYJAo/sEmY/cSC9LUV8js6XZwjFaYuRNgjTMkq/6UasxeQt8CY85VPmrmaTOHx38qNnT2Q3
UBny0kjY1b4ufjD8Ip1N2o1QSxkmhrb4SIfbCSUlMbR9/txIRW865OcWBj3YSLK7Gbp9Sn8NlZ0x
Q1/zyHW+JW+ivrh+9GG2TbwOaEXcJaOe7uvZgwNsXRHOmcfUIwADSWy6FNPcX8B/w7ysaTJsGyha
ac4XUPmjQckRWH9pY5QcBlKIvPHGt71vJfsG7sE3y1/e48rdeaLtb1hzZ94MvR2z5RD5etgshrHL
kh+GX9Pm47bmjWhVtSeX8I7aRQyaCcdjUvshkmVzW1Wst4PV2Du8+GQ/OWJlK3VCw8kFqkxoVP8Z
/SpRsOnyPnn9Z9THH2WpeX5K+77vzl4ZPZOd1CHgLeKvhoGBpkeZjUR4CWPbu1kC/9WvIKKCoNxp
LscVdmRM6Qiv6VE3xY2U1b3CcxcarTLDrl+wC2rsS/BH5ch4ZtzhlRv8lc6nhStBRfy63AT1itii
ZDuT+HhoeIK/zk3y3dYAgXY0zqvEttoGFBw6GaV8/paVikKCNBU5pTsWad9TaWcMeCXEI7kDxf3Y
Wd1+MKb6yvPqnUqNuAkrC/MQMVZwrYCGKZ73AZbVqernsfezw4DX6cBUrdFOJMVOBgXpM/MSn6Dc
3S2F409zgxuSuOjbwO/VXZEa4oeTtv1pSVL3iMW32VvZrI89ptKtM8rmSRaQCn5jvbPDq7MuJAt+
bN6CLg8ovsv4xp5gR3pCTc6gsXg/F1oz7BIlhRrYlgYSBLZd4EEgYrKK7KLYDYUt1/GEUze/QvNA
RvEabMNYFTZNupLCNLdS9sZKsujWRVBACO38gdM6wAXhoRbPeMcYas9FT9Y61ekHp6ELrxmHi8hL
xoo28biLg6/g4+m69j17rfJkWAH1FYxBzbIeNf/5NoDF47sTuxPjHlv/ltBbguMmC/plUtsEh/iB
ufHgXZO2siwfttcQWxL7spmP3ik2GboJBZzLMuU/9MqQO1ZhEBd7Um+DJggSy5Gpz1zV3EIj28Jl
boMTGdv+qqIBZG1FnrPqdR4a6EBWpbBqqPP2muSUkc+nJaF2TaUoPmjNU6fr7tiW9o96wQ4fwNNe
dwtrSS+C030z4Zy6Uw0fY6kx9gSaZI0sGwkrM8SKBKlurWvfOI1S3aVWbqH9zs+x672UftDumK9r
Uul5/Ntp2hbC3FH/OqB7IO2sot/i6iDlP+X31ipNu+9LWd27ZXeeq1mtmjlaL1gMQRnYsyy7CInP
LKBbEn49fBK4I0IzmTiVHTPaJ6TvEw9VOQwt83Hkmxr2V1ep2XeckY5o8L8PH4OnPtBcH3xZ3+EY
mw5pO1trVsgTR/QLAdEFBu1pw6rFkyxoPu+GFn6JLMQLPZPWzp9GYJSFS1d29qGpxAMM9MFX/WYZ
XB1iHi0CFp2l+FJLA9hkHEd/a2XiibPzwZrjmd9o6DbaHdm8/BHVFOtgZ5gEBWOMARFYiygdjwnq
55Uji4+iK4N7FRt8kL6zq+GmEX3Zy7Mv5B09e0QpVMJa26257Vpaf2TTKMKtS8TXLr4pIl889ZRH
yXdf1Jd2sU7ad99tYW2r7L0T+a7v/B/N1X9h+ilcslhU2ObBulZFKFSl1rAFP6qOXpjM0F+T2kg2
NVxdeKXxtUX2W7b4YCWLCuJ1UYAFJGJhbEEOoEp11yQc0GHbN+4UVqhSb/GNWEeDmb4CCqcucBxY
yod6bviXuMkrOM9VYFb1piBxrlknnYcjwj1VBAkgYAldNeUMYjrrt6A4Me2UvbPSi/Bqbui57lHG
LM1OQjYHKyJlm0Oa1dGdz6nWrcpWNE7OaFxDrk5M5N2TAYvYbnO/xTHRGHpsQlskQG0uO8LM8WH1
iFRkIGpMiLxHTlSBOeA2M296YkU/Wj15ukNTErQgFv+gU/678fr/m0KuhGP+GyS+bVP+ol/mX7H4
n3/uP7F4/y/K0q6gPurRfwLu/8y5CsRf/5CLW6gI/zPhiv/7T4G4bf5F3LxHcLJF3qvrOf5/BXT/
lYiCVgZrRyVGljwFEb/2UPRm5yfdkMSHGufw2bwav23ForGSWYBoyYyT5hNtTP1ZCdJ6/kZQ3P0D
1/+7ZBxy4V/xfomaMYCEQtNq2wE66ysf8De8Hyi6djQNf4dcEYXjxRgscc/xvVxy7LlOh+Wsq6/R
Tpborgw/LjO5Gq5hSSV77PNC7APDMPZFEHvtYiAMxIy5U0ekDYMgkswzG9XbUulmsUgUSPvlFKXe
3PO9rEi8Ex35Ox4pvfyUHLBzQoHQ5WemDo5+uw9rStG3TWIHxPzR8fVQG5yjjcJK5Y8j2s2rIfRn
dI83SHJlHUJ1qIfAE8iPiRuGRuvqnWbuZQsVimsKmddh7mfFZZNI5vl9Nldx3zwK1DDG0WfCE8yn
fErfhpiU1e0YeEzW5hDF6Sbv46nhmksM5y0hyrSkFoiRPzmVHfHS9mpknh7vasuj48CL/TG+LKRg
+kTJziJ+GGPT3eLvz2tJbVaO/MBqwczWRmLazkHI678Z4zD1XqdGV8UO2NRdxfjJqbuYE07NSLRe
vBajv9g++jSyB1OMqW6EGQAGN/7Ilzm+Hby53JSYK0GnvbmuVmBV/uvST53BiTxOG0wsBK64y7rj
71ZY2XF9qXq4eIysbajN2N5nri3YARDJjhHKwYbyQD/IdnmTX1Mq/AyF5rZqBl+REuhy1zGR1LKu
7upEWzwwlUeSQp+WoTEH0f3gztMzF6l+NRMavLysSEKbCh8yqbXz3Sgm9UDwOKrSYKrXRWAQi4u5
9tCRL/BG4ASXHvWJ69RrikMaFN1RRrDWQmQPCfqS+2Eip3vlGfRPI8Uh/2l0GT4KIq3nJzyplOYZ
QdB+OFcjaY45fD2xoR90TBKnOXb5yTMzYPNKAsAuacY0joO1NkSyi6cy+HQJSSG1l7b1u8Fw6/d4
4OpnAJnNSzD7XE6dEsYR+zV/ajYL8765RjmMxPu82Fb2pIzKenPxMsUhqQWfKRLKF9fnSyWRPW8Z
J+Q1W3YAIJ9wk9vj9yhq/fcF5HITVKU5Ey0Vd+/Aixu1pM1eJKNc6Wo8DZKYyQwJ1tYeFiQ1LqqO
fRNLfSgD4Z7JjhFvk9X7F+EVRNlYY3cIFDnfcMkBG0bZPrV9Gd/ao0PGr53bJzKnpktGO9U+jyuH
0q5EXFCOqte6SNQbn2i2m6bePvXlku37oiC5gH6ZzwpBWRRGTewd08Ze7mqnG1iqEKTkKW7nVVT5
HhNNl2do14DsDbLNzv7c2PfBYrpIXfhK7LOpiaAO/DQ9Fiy+tz2AyM3Q2OmXqTXxU9rzaJ4rPaTn
LtH1U48k55FiiupoaySZBvlsb6CpCq2Y2506p6S3AqBcHc3FW6ytyJP8zjGD6EBDzbjrFjNemyrw
t009OD+cAemf9Nz5y6Qw5AKEHgpd5WQHRGfslCQf9Im5Gn/SZ0V8sILqNDvmDKRqMxjL/ltfjNbK
1jTomlTwrQqHbU2IFudbWnhbklQpqJnc+gOfXn8y6zHdZhKJlVvI8V6VrL0JVXf7sunt+2ge59ce
Ne6nE4nhnjckup3Kqv8CAyCugtl8zfekW5f5pMjmkWpXSeUite5L/UzLWrbjY+fbYlzrxTxdfSOX
pNstfg56MUWmvaEWQ+Jeb7o7IuGQEA35fE1iGxLs2471Y7ESKBzTjXoeZRYpAI8n7OjDGcn6XQVO
ebFKK34lATLbLU5Qb0nSMIYVJlrz7KbaPAedDi4GzN39PA09FwUtzjdleZWpZtNtVvcV0Sx8UY99
H6MkA2DOw2jsGJq1iI9VyUpD1i/C4t4uzn0NVOTZHDWgrSfDddTRqqV4dGfItdDEfhS2tTt/Jmqc
2FUNv0kZeJXat8hwP2AqIfWUPnKXBJuoLq2vipX9kLVOtqvpMXwSjWofYq/zLhZYIN3XNbZc2knq
57boA6BmbzkPDKbvVdlDEaP/fMjSEjSRb493U4wjKdggfnOo4xr1buGMRyPOh13UCnoGu8Y+kjdR
bP20rl9GVKl3k8P+geFx2dnplNxzs1VvbtCXH35XeD/mVHcQLR2RqEEQfwP9UFeTMzgeGt0RneBp
nlpnjfetA2jk5wwDo2VTEFqNK7PNhvcKqWMWDtZo4zNfDHW81lS/0A/ZbUqvKg++k6ekFLtK/yik
qLc0L9Vf/Lhw3Y0s4/zDjmN/V9RTdO5F5J8Gv0AuNy3NIQl8IHGN5nK2uN9A87rs0kkTMbuft2ct
5m7T04xK+baB4rMz4MKkBivPPDbZoei/0GOBB6ICV4Y6JORv1dpjf1/FrX+zGMH83bT7rL/qnLmu
cUrEp2zsjKckcdw3dGocPRpyh5nbUIT+jR1lv8sSUeNn+iWO+MK+UFFWcCzhm9B+NouVihx/53UA
dDwTY4oiMjBQbRJBHqKv9N+1udDlltrvqM7KsxEXzqMPEL4S5mTfjF0gOQZn645yJTPE53u+foDH
OrPFbiEtd5iL9Bp4aJ2R1qpDbKETItG8vCtjy372/G7YTJ4BhFyXzs5wFSAm3SAbH/ZnzSLero3S
rg5wKe09OWryE3d/1hENVi3rfhyCR+EgSCjq1tqaSSOeMIUkkl21knc6qvF5W8MU3GcxsWmoh8tw
NO0bPyJZPnRzaaKiAJ6V7nQMOsvfiNSovyNAtjrEl8DQUVd7e4ivKmyzdg6LaG7vqiWr6K+u6j3u
G2s/kcgW4uk2wnFcgmUXicb7wixgPU12oBBkYsH84edG/5aT+LmNdPXq1Jm3MVRwT75vq/j9zI65
A7MJws0RLEV1Cr1q1RgHKijaNKRZqiEh3KiXz7Rqcqx2JEkdrX6irYLrjfrPmEdTsk4p7dxFzKZb
QWPsqSdAQcFqN55a2/XC/IESor/YcV+zdDcvtN7ktwOCkSqMoKp23HfFdkBkCULAWmakwttbZAzc
esKbuBW89I0BzQVtVoDp9Uw7SaUiGGxNCJ8nCFI8OFksQp7s7A4DPBqFRk7KWXlmyfg6tDOd6Xp8
cJsmWY2LPR5ccy5uQUAgRzPbbXg4Ag9YdUlAP7W10ybHCsIbhumJSbUglcYcHwczi59NXWbP0mIG
lIgVJHnidX1b6S44LdplWomd6ECYHRqW2FQ2OouSGwy4OjogYwMpmmJbHVWHvAMqT6Q9I2ZQ7tk7
4/a7jR2nDZDWd7NApoCr+SYa8ItPBOEcnQzm2DVa+wxAO1+CGhA40Ckqs7iejkkxLpuYwf91AWFX
0n2KXYTIvZVeihTAM7PlMdee+EpMrQXGQhJ+HSGlWHm5+0oaunWYCdpfDWNCQUJPSEJlL+9NQiCh
Z9z7FWBiQATDOlsEYRs1zFDZFePOpFwq1GjNJ1aEU5qJfJPRLsvHYm+JqZUhW3K/tjOGGyNLCf5I
7XPryDfRQohOQ0fGnNbZWmsfHDLPeGPyER4iB5pAm1WtSg9LF4y5Dffnb5O4mI8QHrfJLK0Xuyky
HfpTmYemWzRbQepxuBjTguSxt9dLObP/y3znAd6sllTZb7NhTYCeCCJyDC1B5Hi3k5vosHILfSbP
VL8bVP5ZV6VN3rXuvsKKcgQ8N89JnqUk9I8yXPyGa65N0kNaef52brslrFrc/bPsx1VVdvGlMDJu
dq3mW1prsjVlopt06XL2hKrpACJRePx5Nfx9LXUtBB9whmSh/V5LmURAF2nvpwdFyy4j3ERyaLP4
nNIOuVSP0izYSJmlCq5sAin+/OK/mvUwkFouRSkkLjuU4/4azYCKDBZmqdKDmMiKXRR9sUQDJDgP
Av3w55f6VW3KS5Gzxf+u26/v/epcTVFhuVNC0Mc1R6rY8B2ZieiY4/L7n1/nN53z9YWkJ68tbSbJ
Wr9W+OhynlHBePGhr8CsMQPJg9v/zG1NOwJnNOGjQ5DAyM8yf6+uMmROFWJfjCi5LtdwesXm54/0
340M/b8Xko7GkQDuPyg5qfR6L37Rcf78M//EjgCO/kLB64KkX63AKNf/V0Y6Yn7y08HsbTq9TM49
EJX/zBwI/jJNk39kkZfhEJfxNx2n/AudPU3vRKc7mElRwf8Siv6nkHR5bRX7FxknhVeUEvGXTeMF
vtfrU/83WKcCXye7dybnBp5KALnm0BhjQhiXU7t6pgSDmj4A85h4l1VqV2dyqY0wo/DtWxuhIALB
yC0Se8xrJUCy1GDljL7u50JyxoZuKF9CJlfzTQk7ln1JF1nflO1iflN2PJE22OupX5mO8K4RyMNg
71IDgxIaMw8tZB0MwxEyuxnPDafkJuk0lyEOGPiK2SVxk69qKPqI3ovZuDF7kgyx0vrEjqpisdZg
vF+H3mo2FszLQQ4TK9lMlep31zEBcX+2MQY+X5oN6A/UgHST9Ewd6nhg0PT2RtM3h6HMFRBsWkz3
Q23sLNXTAmMFxBBO9i4xsg7iNy6vPxXqji+T09IP09soT+bpJgkE6/hVYiEEFA0y63VPgwyLlmc3
VB5g0AAtg0FouTgiMOUVnzzvsrn04i61UueIgau9I3RWuaeReIpP3hECyzAaRc3T4tIf2jWyNeTJ
a+JJU8VC3LocCcPcNX6VkFk7WeOZ5B8ST7Mr5yQEVSIIhPIBW49Mks7eK7aMsibNV1dD750AgArY
+pA6FGEBAiW6VzBNdFOS23wQOWKpgbk7wNTawbS6ga8PsW94XrWu8EO9DbYlHtp2nu6gt43pW1B4
lfoRoHL4QXskW8fFKiibFo+YSsTW7VKvJITWi7zXirTT694ZDDeEweqji9yGN6rREa2YWa8OKdyf
vWkyfS9E2WzMFLFclOjxtqUHY3U1oPBYQn6u50pTJQv2c/SVLkmwNZctEaJ6dy1jE2k1PXRuL4k4
NDJrnV5bhigu6uKj73eeDKXNux1ayo/2IDWwJpk9OwdKaZstY277XlpV9ml1tbC5ZMkCWzX1FeDx
Ix+KnpA0NIZtIEj7QSIj7ThjpkAaspdF/zVRcujCpZTOncE76DAfVDEV59I8YTPNtwiVjd1gS4Su
vNwZeK3aiUVM9wVR1Veu21e3UkQeNIGPc1VTDnW6asygioAI1752i8Mwms4lxcoHy95l8sb11XIs
GHMhSEwWnz5552dEP2simuqz+OImLYNvL90b0/Pa12TS0dekSYJtSRTcDtpSbnSti2MvvOpZtcuF
IGbn/vpk3wI0mmvPtBHF1uK8KKgfQnC60Lcrh5UWZpd3oDJ/lGI2b0tHx69xlS6nppbjTTngKmkz
SJk5deOdUoPeRSlWeGRbWHExlO7IGg4eY2mAa+K+uSHW6GWxzNvCVkiOERPd6GVwuO1rY4+TcPzi
1KS2rRSFSEjLbOuNtHCwln5eSu7HzLQfXAIvN6Jo7R/Gf7B3JttxI9mW/ZW3ag4tGAztoCZweMue
dHYxwaKCEvrW0H99bVChfCFFlDJjnoNUZkqkwx0OGK7de84+WNsLslj6eJctaXfEIPw7Sdcemmxa
a4HWz43nZ4NtPtRynGJUS0P1u+nO0RlxSqTTwG6tz6gtANUhJeY1au1IX8zYUDVik+kBto06IqwM
4/7GxdMG6T2ddrKM3MNk2bD8wJK6Pvj9dNdZkeBC77vkQnhxf2afx+SL83NWU3PHZY1AyZjhzGPB
t7LQO2iwrvDqwQo7ua0GxxEmkfs+2WV86+VuAi+kKt+JXvGCXCdRAUshtIXtXJkwnHUBBzW974rW
PaLMn4KMq/tBANct2InNBlt4GW7GjlmfnopgnizUv47T4DLNB1b2Xpe/VXmEnTzuEfuPwkyDSbet
VwxAXiDxBt9XE0op02nHZ0Qf1IAyra6MvM6UPzjT7/CJ0SAasvsaISSgeG+gTuex2k+mIV8MxLY3
i0i8mwFw6u1cWtVO5Oj9DQbHF9hw9Qf2W0tGU6fNml1VqWirqkZ/c0k1Dsypr+7BRwANmNlIbOK0
13yTTclXpsn6oRxK51Ua3aIFC5fWdmHJ2cRYZWwfaN4YlKQOHd0RCYzjDvaV0RDXwx0p2WkJ4zFq
6Oq5oxWfKq+tbxvBQLlr9IEz68Xzl2RuuwcLBWaKLygke0Cf84bJJPqacGpsX4DbOi7tPPcb02i+
kDYht5SsJJZZRnWFZJXcLNm0l0tZjXe5o21p3nhXDTLnxEfaG4dg7bTsKtYFAVFGk/6WqwHuH4Hk
V07tIv0ehaI/RXTCvQme+jC4dMyqKUzoiIQmQDhQjjftUGfPBb2T58gt21vkBuFTnYXJRT81iFiZ
GDyK1py3sV6l+5nx4zacu4ZmX6niwOTT0hhhK9ody3wZ0PU6/aNJMszsJ6YqA43GzMa2TBiNeqzf
Nkwh5NZxw+pUjhr6rSIb5wsrnYsMWyJsPLcyJeexG1/MCd2ANSBqRsTL7hld7nISibB/N3h9bVOF
ZXIbdfHINFb3nufFQklrLjzoXWJeVsSpSnY0F+1LQML1mcSBFvyt1TIKj0I3MQN3nC77pmp3tPD7
8r82p/8o8tYg/Int2P+/OL7+Mry9/1gbf/uV77WxoDYmyIbkIGgrH/is7/lB7Hz+txg2KIZX/Brr
swW8S1CRf5+vWvyTZbv4QimfXQtv3j8ohpnn/lQM28xWOQxTVoyF7LR/svrFnTkNZLPLKydUDjBL
02KVFDgLrCUHnB/DLEH7UJ3YiDbCr0SDBnVBGjsSdr7vDdVcws3ujRcrXrLrysnb+KJB5ouJpG4w
fPTcXE9yMIeXLsMD3kUzjNF6NqaNN7gDXPQuRVthxyV0i3EW9z1c6ddyCIebpfXCCSxmuT73l9bB
ZEQvb5cg/zw4oPgR/mTwMZx67va2x1v06zidMmKOKlZoDNXTrTnPjr2LJ+aNB7aeSx9MWQrapafD
56OQyt4bWm03SWQNBSOXYroJoZoiSMHDpAeESjCVA2OSOcdqbk1KKtFTaCJk4V+lQgK8skdnhntW
Mx8jSCFpUBTzxLCUN1hdmOECkAZ7TCHvDNRqd56ZRvdLmg03TU7rIkVpFIwxVO1NSAzPPh1b51B4
edlsQNKQWJFMIHiw82SsNGaL0+NKZsYjhsbOWWomkHrVNYdQWEm/L0IDXdyeFgQxmU6b6IseTGnR
lvomK93pmiS2ohQbln7taCpRAW+powbVd2qbbllm4IpzLZ+eVZ2bSt4PEFf9lj0UbSErCYfpOmsG
0wsJak9aj64LGtFdzcCOYEPJ7DnCZhCnIfXRrO14GgvwCpbqJNU+pYHTXSrCoeIgYnDrVAeo8iIE
34Q4LGhMNawXDgTShQYio7ApBQqSFTaI01PX9X2tX4O8TzuJz0upYVyA/IwGXrmXiI2MsbxOST6X
7Ttw3q5AepItSx7e/bcb8J9kfLPgeb+MTLv+Mv7P4a2o6b+1NH2+raLH9//7f/74zT/WPUf/ZCOk
+HB1rrqRP7QkjvHJQuEBFp8mGj2E1fL5vR9gfZJs05E24Db/A0/4nUFofCIsnB/HLCrYwv+z0LSf
e1yoSnghSt11SXWxmP7YDUA9NqED4PLL1g2xXChVDTt6+tNT4G+0JHzEP7ccINpxEI8lf8Uw8l8/
KUmAz2i150EJZ1zU+JOjliB2BmfDqLTb/vpQPBr+ciiT0+JYpu7oYAN+/DwVpKomjUgTnoak85M8
YcdkoE0EQIesO0q6Q4HmmfgDy4SijSTi14f/y+lEMQfMEQWQEJbEqvvj4fHwuNZoG4xMyvFsFM6z
y1zn14dYX+JPNlxAZRzCorvk0UcCqfcTa65ttbnXQ9EcLDGeJ0s+sfusNr2BVRAO/JdfH4wY7r8e
zqQrSU/KRG/m6Ws76U/tIlAlDI3Y8xzQJgD5zQoBn8TTilNmhcUpxxlnfnBMzKjpYJpINMF4zz1Y
J0W2ck8UAnLfMSLhwaugeYBlAEbKUA0eis0Pdor64KgYjYCpUkBXaVMPv1VayM9GOu6jQXVMJl3U
O22nG08IUOtVQNIXATYeeR03PfsQMmIDgAzT00yn5JIN5hj50nBaqtjGK84245pnoPYVuR2oDMKI
dBOrA6ttWzS/BhPJfx/RSu8JB/KjwguDFcECGd5qdkO/LEcmT1foY4edLIqvppPfV4n5O42VO+I3
C1orbnGq9em3iHE8h0htsip4TfJbliCrl2afNSsZqxSBpdLxC7vt5uhA560hgNKRoLthGgRcjNVo
X0+YYZji2uGJZ9qTQ3LZKY0T6APKWd1Ywxf2BR5QLpUEs0hTpERNdO5sbKm9m210b4gCB1gOdptw
gDCfh9tUn+IrujCbPkaoGroYcS00Rxmxrlo3E9QyRx66mhRPY1I53rlxgEDGFF8bw02cy1pPU0zf
taCBU05taz+apaM9x9nQ3gBi53XcaTLOlcjoFLVJf6CKBCjetl3hGyQXXoRF015VBAURgEBqGSMX
LpGiSW+bCuZ2OpZiO8y9sRuSXH8yK6JegOVM6FsTo3/tEx1H6kafxaW2ONE5idlAlglQl5C5ZhA3
9ioFSoR3XEAGXRJJ0d7VC5udolWXIX7pVwaC3dnE7nJAWSquxCTtQ1FyLaDPTHZ9V077klznmC0+
bcYEW0LqyAkAQ+Ld6bBr9iAI26sl0qrbFWZlqH6+QgVUNxuP9KNdOxK7UtlWBIzMJmVVTFaybz2z
v2B4CcJzie3bxFG7MJRVwdzeEcgGInQHWYx90HqehgjaXbjWmeMdCTuP9M7YzAwpQB+8NBdMhjI/
iQe203003mnhKPaGJK1Y6IBBZrwKR6tWZBl/xBoTpVXdFPMadtxHNJt9Dan7nQyb+U2tucg5N83l
EKXaRRfZBsQXD6lvrkGbSwuChJgkO0GjNxwt+ohd9hDoYFwiizms4/k0rfnMbtaVJBuCEYzCcLyY
aHdsnDXR2UbVBoyNlOciKzQfeCu6iLAnA3pNg5Z2Pp5Qk4jLyZMuqcS2B4W8Stkngl2wnfhNhvLZ
WzOmo4606WTNnTYG+Rt280vNzaOHrNJNXzicaZwTp86sGLqvCdY42rsgXFOtG1esuO70SlMNFogm
zIOyWd4Ji8abHevZ7LthNBxDLaIxpOl3OEZ23ZqjnWooUyqvHvcLHCum+3bz2ArNKXylRi2o1zzu
non+m1ozuqs1rVtNO7h78mxZtbcpRYYQrXQGddtrtXxj3XaPyZr9TdoM88qBpnMcIxX3LcLWr8M8
6xAIrdnhlXDzSxakhYmWR11sWK/tmjVOIqfmj+ymN/maRK70+JJN/D7mAYATnEalH0WEROSFKK9V
4R7zwXjMCmRJRijwBDDBBa5G54NOcxCuSegRkejhmo2+EJLu9Ib51uvErqS9JPvdRJANbY97jyXB
vknWrHXPJtECoGJ7kG6SBdW4jC/VNEqafi1H1pn6z4SpcwPhOpnWrq+WPwvAV2zIF/NOLqnNLJYZ
g8iLVPmVlcu9s6bD24zIuU/s6Z0Ng3aTrSnyijy/jAH+kwVP7TB7CDw2TZuvlAki4lImdNt8TaXv
F/LpyX4ZG1xOpGoXytUOyGdtVPHO746QERHcUOKCZk28d1PXOedqEvsSn9W2NciTc4Y5ORAsjsHA
9uIDgkSwQVNvHazOsm7sRMBe0qLoN9faghEiZ3qOOf1DPD0KVq4A4a+74yTlZ0m4GFg2gX5J6zLj
wWzsrQ0X6rlDYvrbNED8s8lIe1alDAArgkJI67a97kXd4ZpLufJAORzMDCsEFAot4OH5tcyUQUu0
JV0oCtURtth4HFLJmvENAYacfgWCGSsc7ONR/9+R37+Dt0haDH+qiv4CG1+L/NOXVn2Zf6zwP37t
e4UvP3nM7uDHmszVPmAr/6ryLap8FjTHoCDF9EBx/L3IF0z2aECsQCM4QzRG/rfP4UIuX1nC/AtK
dP2f9TnYGfxUxWGVA+sEVAicuWNyO/xYxRlNyyMO98OB2Dx0T2Uruy2D7Da7AAEKSlVHNPIQWQqh
tJ7E/XFIyu4ursnh22e4HjJ8PAPGXQQwqHTCHghYj+DZqKeIjgNktztEXDo2nFJCQaQlukzaCO5S
oO7AdRyeJ6O0Xrjt33JBwcFLnQfuz4cuq5Y71Xrnqo5wKJVsCPyKzBBCeQSyBeYWy1VPU6bEN+cy
Z8K/53d1p7945JbbiEcT474sx+ykWgY3FYzWb3qH0aahil98uoaFhtlFE+I+hI8K30PzviqjxTZZ
VxKhxlAgZYsGegU+mkAU4QPG6WVUHmRV0vU+TlS2oFwlMv0z33+y0WAUo/0UQ3u0UPC4e+p1r9qk
RX9c8ERtQMTwi8oalYH5enUY2YVXeM9DujTRpsxd/YWs4OXKrgdvYxnk1RQ60BrobgwfNXh2i0DA
7mMbn3cq6bzNmFSy9+POa7GVJgkN/lGxwWlTlxoYlKr22vfELKM5Y/8P6U9ctq7y9P1oifxpznKM
a0PUi5cW6nfiZxOyOp4a8XTj1rn2dYlHbzPJJjwRnxa/ayyW1zWO4P3H+1Pru+LKbsES8OfRwFJV
+h+hQY6NiHint32573uiZSqXOBsAl9pWkWq6LRfiLH2nSwweW6IncanviHC6tGmWx4cwFwR12wpB
5C62HGxocpE4fVKaRuBSquy0mNVxaE2eklBIWCqTyHghgMW1d6KeXYzDGQFXfVdwLeBcP6W9UgFH
x7OtlJUAsQPGw0Qrf2o1mT/EdTu/NHWsLl0s2+d0GZD3oEqzAwpReSqtProIGzN+TonQ9HFXWBds
WRN4mClutKyjeh/w5m/SxdK21mKoco94GNW11TD2A/9irxSK5XUpx3nvmsrb57khv442OAyE0EVR
+UIuEz0gI02ynZfqXXyd5RWv5UH03tkVdmmDWSSSpcQf2sqBrBhl6j4kI4+QuzHbSB4hwdLp4VVh
FwlEn2h096LzxK7NY0l0tZvtC3fSKj9jKJAj4koKd58JXT10lflidTnGVkt/ph82w3QcmnV2huN7
2TKZuyoiotY2CnHKjuguSCsOM37UO8ihyLDGNte7LY7JvLpV9gIdVJNYIOYZDXViilMflYz2MdVv
CyxRq5++2xpwA09oTbOcweUoN2NuyUcmyGwSixlZXdiCQhkn+pumYn5bGmUybEBaZruyGybiV7s1
eQNS6KYflYaLXKqrHqXhzeQS+Vdqo3XLJA1SQjwgkdUdAtHYuuUwTV3No0TwmqQPxkl3XoZFS65C
Ici2bdOUJk51bGe++qVejR+w60eM0BUcgjmVNgGL/M7b0njc9FoKEO9Avkvz0GAZS7fjIOJtHw8w
fghfXh5R7+rQhZv4emCTcFr0unpClDzvjcaBA4sSuoIMBNofkwV4QPJx8g7bZFwC2OxLdHIjC4Xw
+3zUg8G254sxpFMaT4t69vj88kgXdUqPZB46KrCXqD31yD7Z/xKmTR+QStwvqGz4/E2PMSeGibxx
yrrdtLkRn23sMwu7bOaLRlukF0OXZoQctSuwNzWAPki7JtbTGyYCcaNyM84F6D69gV87G8eKvcB1
BVb8jGaOxb83CKPyxinFQ13mHfFD7tLSoGV27zDcpD5kMTfsgVVJ2X34+rGyNFkXfvWmIjvlFXeo
wXgbysN6F9WAzh+mhTWqHQs3sDWdZRUAO7pzTEBIZyu73E8EJq1wXcPkdhiNe2GtB2JiOgUoRnkn
+UBu0aiPTKfiUfPKa5728zXW72oOqmrptqrHOkXoknXx33LpP+uJ0sr8ZblUtV38P5u3tsqTn4RS
VDv86veSyfpkwlh08JGvTVB77ZX90Rh1kTwZa7dUByG3ygzpSv5RM0n7Ew8fgfjP1aXBr/Fb32dD
8hM/KhBeSY+qe1Ve/YPZEM3Cn2smwQSa8AgEh67QAeT+WDM56yy/zVVKMpsLT154q01oUdEaNja0
ILO7odYreGtODNUC1y3hWAYpXew/ueg2xoiTdMeiX2Tbyqqi5qDllYDyUg9loft6LNV7kZA1SEaX
SVLzSry2csD9Jk50NE90FaBXSEoxwa5xhE7LQppTshTY/y890kZfyzVjrdaXsN2CeALlSiuFLMeY
rR0WJ3FN3QHppioj2/Z7okTqvUHuYEusnbb+igxxWmRpMt8aTec9UTlw4JG1KvE75U73EZCOpyIR
032LL/oYZmTBsemanJYEgDKrMNW1lYtR2VHvytUFRCXCz30Rl2DSSyzgm9pEGAQ8GbtetqK7/Rrc
F5p/I2oPupDiTO1rvTkG8PCq0vqDHGL5uIzudFtKGNtK6qiF8M+K68ho+PxoH8On1M556QZ0LSoK
L4XsVqPTeSfTkDNQmgjSE6bkr/Q8dOJYZcuPmZOoLorKst7miN+jNcIboH/Kux3hpdzqMmK2Hsb0
8npJ5AtP9IlPbWYc081k/ZqnOp8d/C883H7U5bVtgu0oYye+lpmWXqK3Fn47JtNVGibDUVYeCGhY
RquafT2fOPSJtyimAhcE1zV/8+0LzfUowzIO/fvJ6NdvmEbYdMtXqtQLKGQ0ZSOSUMHkjoZogKEj
S+60wuAjVDjCASoPMX+6Ks+XjZX3nJcx1dZsZaIjEZ3MiGmQzjjRCgMvLNhCa4fgmSevKXd5sVAs
MFH6GofI/Xx9KL2nOR/vu0VZuxn3mrmBYAgQkJX2zmEAZuL8aLRNLQrjXJpcgKsrkqu24ELPwLaE
OzyTvNISGvxJlBfvLV4vok5nHhmzx6UV3A1cDUar+GY92TlyS7ElccqL3rzKHacDwxQpLj6N8JYg
HAxuPWckVRr97BhtcRCI63hsuAkdb+ILrmqglWBYIkWdltYotkvgAckm83hmbQcuUbQY3JaXVe1R
mnykcmiEWEokI5L3nSw9kQdFRoKA5BkYAqhi3uOHgqzGaTI5ZIlrJuLBzXUyM2l97devyJUY8wsL
s44rFC+GViLZw5T1tkjIk/08DN62NkX9Cv8gfPq4hBPN4fxmZEZU682+SjleQ3uY7kfZc0pG4MK3
E26x24JcArKIU/pxhm16WAY9TlxHOLPc1LnLBdNjNLjIS5u//rglKCGTPQwZTt6Mq2PPoFEe4eQ2
r4sD372xakKz7d4WZ3OsQhJw9AFrnYLR7qcNHP68dbg57WpGJEPPF9SJNQ50VQs+jk6QRaImvtBG
n/kpBklcYBpkbjSEQLAg7pjiPBjk9s4g6g2fcYI8EhdBsiZJm5dLs4aPdsnMK1SA5aAf4coCleKo
WN7iMI0cUkJQEPKEX7xAz2vnYBMlgSWWyE2rmbRAIoVqcUZkfF45tdG4W4g7ibeQ17jDKG14Q4tk
xSoMFGH3s5pQraa9t01mYkMkqrD7Dwq8W2ZEXZDTyutgyzePWUY5kRJaetYZqZw7kiM4g4AS72su
dNCVOAtfMz1sDh5N2X3YxcbZkVzzIJLHcOfGabs8KFjC5mGCTH6UCx94ytYQDc0z+KKIqxTnUAe7
cIoqB9qmLIs8PhUh0YmpDqO/N40MZv/It5QnofmmEoOlWYQz1xSFNxf4bC98ra0Cq6yPHnf4VApx
bvqZcAQLb2DAmEUSr4otETuM6rztRxTwyI7cxgXciOsE9+e5KOhQ0uSF8r8dvPXKgdxTzShOW17e
oNn0HmXo25LY4urG2HZGm+o9wTIS6YWJ2uqAIFBvdh/XvGkgDtroHZ8Zcs96/feOjTU0Gbwni607
n1Nfl71hFE2HjtbKJnxVivWtVZ0bsF9Zr0dvJnKkblzvCRMoX+S3JS1VIimC2iFiFKab2/bH1FUN
IjtmK+22Zi9/a9rcXaTZ08vsR06vzKfdxx1XDK75NJbdhBm3sdp497GyVlUsbExRbvMkEvAtT2MU
zdmzNUrWidxcVykxkEFrxp315iF23RKvWtyJuDc2OOHey3jyjm1drw+DRl8fzpi+MW9hTrkeF4uF
LKd+6DcuW2BY8zE+5fjGmOP5wPIjCZEmRIYSwo9gPgnSVxfvoihVh2PLCSdo+gwa8rslzb+kesJu
fYMpKXriUQrnu2OvdIK5y12T9RNrLfckyAqWGAJURsNKN2jI7PeqLJ6qSLQnRCO9Pvoz+ifqENme
DdPF/Ls+iIAj5udkjmoYer17K0pHD7l3B4nlle1MI4DJW7qsLhQqUXixUfyYOI2Fva8Mf2s6Y6sZ
VYOSgRCmlhRq3cE5TIZJIQptPHTdfFRxX4NY9OgN3+qxWRH62D2XTb+rGU/sNJont4T3+mkBFxLh
j/4823mt8Zyo8Kof0fgWrKproohpszeTyGrIYqppcdjGAg1TsdvDEW2mm7oyioMQDTm8iVlDfDQz
uctKY/AAqpIU3UNPsUACg3xzxnmAw8noYjfb0KIOHpdlu4kggRCR4MQerHhzuXGnzjmp1OMxR1QG
yhMNuFgxikdTDBgB0cPdJEvmnhwj5OoVRFjbsYvS2E1rtlL1ZKBCdfoLgFv6lSMjHei+Zk1v0LvT
x9kpHs0Uathl3ijzrsnge2qdGl3ygFtv5w5yII2h9T7HLvtYNWIxW7jItg24w8BlowrKMPUO+tAM
wTx1kPFc0mFIkU7X8BiVXrltnM5XnC/7Pe3ccreQqcVzPNG3UTI+eivGOMMmv3fC8TeCcjZWkjqf
8XDN97E1l4EAdraTmUM7r7PaOwVVgvKntLfWVEy/p71x1mAPIxZV6spN4uUOnAB52U5f7CoYYvvQ
G5gReom5jRp1bryeiWprUxltVdFUV90SskQBFdtATa63EXXDqS9acTJUq8F2qNQx83rzspKYKjlp
Je2Iho2hTTdoahp3qwHhgwdka8zwi+zWbFLmm+5JWzJxw0NgpuQDp4Mm3T7mEPDuIhhfspTlwdBU
u3fXJ4ScwcFOEeRUgBb4yZJZe1UIBQL68R46ZuuuT2C+QgzQ7zP6apfVnHePiOm1y7mokXVqBGPg
5KN2/dwNOSOzEOXNqZvKBn9XV72kqxELxzWhVVzfRnY22tA9QHbUrnW7gTJNGxgPqkkUGKy2tMoK
5MKO86ZlxcukrS0SAReRnXmrdhpIYyjazoh6d+n6vU52/cZyM8aNmDCChVE2wOS4Ow6l9V7Hkbk1
IDZsRK2vYeGwimf03m9hC+EmQM81vVARb6muWyrBRC+DmXyObcdU/xw2rCis/G2xZZ5KRyMxHNRJ
+BzAlM6BMhjvWCNkyku0v4wta0m2T89C4racu87S72FD5gILYt7O1OJws9L7JBQYPERarA6ERQ3R
O4t/tItTowkWsoRQ4Q/Q8qI4RCJQRTLcd3assTC1iX1wMfE/aYxAyIC1Q8Om7STiAGYSO5C42Tpk
+l0livsiQW3/BNsvPy4wMHwIjKRjL91Cb0bn/6YO8lB0ao9jNLlc4iQmmdopYdg/QI7qi8T7HXR6
dBk1xTXtI/W8YnUv0Ehf2VkJdJVq4KHoDXqLo7JbH2hk2J2yppkBbtp1rx+LjJ7fSWvEYoDjBWG6
I2qxb8ZtKjQqJ0hyEjkYGYtUs2gdfGbClfsaNjmLepimYz2zfM/gB2h0twtjsRTGirUxcijWfqQ0
faSxjmlFvqJb56m7sqttSJeuRN82hlZx0egtf89EdAEEYxWdy9VjeO3W6qlB0fNTbZWjWtO8BpNn
U9LU+XzSxTLdzwa5StSiOblhgFJw91Of/WnH/zeCn7862oQFtMZyYNIj5RTOTzKcwYsSTTKzBfM6
0Fr35qlXYLIz5uMtMYANgQoFLoJJNW8oGuf7pmOX2cTswpJqau8LRID/5h39pPSEoITJZxXjSRNJ
FQvoj7t5zWq0pWfFp2/O2MC3ET7ddzQTnhSbcziOxJGxGTSIh4fHI4/1QGVYjtCu9wL3KlB2Va/V
MyXpr9+Y/Ls3tvq7sP3R/FwVrT8IbJxBx+rcNvGhtpGdUyRQNeN6H5FDTjzPpCofsPa45nGuKDjg
lFQqOw2mMdz35gD8Jh5G7wlNNvscJDpUNKJjA6IllL+RuVB4JRFRL3mIV9lv11166ZEfFGjwuigq
nHaCxkZL5/3bdoKR9XTfL+v+rZxxzsRhAtuH2cV0uz6B35ISM2K5KLp+PjxVatdfn46/eEsFYxkT
lKqBPIcGzE96NBQqOY6SJD2EFYi4oKiY0jwv5tKrF3NelgYAqkcdW5XMqm0fcHOy//Ub+JtL13TR
3CFPJuWJd7FKvP4keBpjW1SL0UUHa/IQeIalipKg90RoXAuMuBHblLDeJzKJIyj34VLSyVThdVR2
4uzqvbhGwcJ+5Nfv6m9OCyNECaTKpiP2FxJUKfuQBrUZHUptDfaaqBu3a1KQRy1PIhpTFmrmvlgo
q7Uhql9/ffSPa/DPmjNOBoe31/+weUO4/eM5KWcnA6OAJteaczbRqWhmht6qcYuULySeLcjPcnTl
OXNC7SjWjVtpgiKBSNPUxo1pz7RpfXKhovjQrb2XuolItcXHzO63lDyif/2Gjb/MO4VNgrdpC/oG
pk2m7o9vOBZak8yDo+1lTAo9nruljE9uv251yol7gIXfuwRCPmgPpbHQPJmKmIt7BkL1MHk291wk
IRptrOUj9tTkf3LL8eeEqy4iE4AtpTTwnfkj+Ea8BiNRjocqogO2SeC2RttoIAl2mQuObhkZzRu8
lageXDYE7x8f9r+D+383uAcP8stO9E37hS3VD0P7b7/yLzuC/YmLg1wTaAs8GNbF5o8OtDDMT5iy
XRfho+fq/NS/OtCm/YkdB5hnslu/D/S/S3PFJ4KDuD25T/Bz27r3TzrQ0vhJ6qlDWCYGzDK47THr
6qtF4s9LUab6JRt7L7lNM48aA3KgPhFjGWX2jRfWpnln2k2r9kjr4BEQEkRPHNphYsNYw9Q6XTcf
EnYHO5+voGp18j7+pnO3uPAzfWPTOljb0dkhWmAn33Z5o7+TDs48xXcUVt5NK2IXRVEvKnYFVWxk
7rCvPJM5X9ykpyItxVcZEUbleywGnzWDx89ku9HJyczGr6qIG6tDLYlZLNxHS7UE0sv1Gxok1bAp
pd33fkP7JvNBjTDdXqSpPTq69tnFE0FaBjsJprUOlkUYPcBvU3orZnJ0Bqv/bWRnsjV1mno+kX7x
feu4GS6sappvUWyGHvbUsWi3suYT+26/dO5WNXkdeHqMR4MpYzR8sCxG+3MyDt2jQq6TXlvkhQR0
0p2bpNXRcs64ZekRANneEDe2Jgt4kwfYWaef9eBYXVcGfBPzSzgTs6chvgSSRCTog2PK0PNVNcMd
J71zOCZ2GF8s40Q5niTC2tvmpB+jUg5bj7QPho5UzOQOUguzIcZ1/Ty3E/tU7GVq4xLYfdJUybBB
szC+gd9eXIAHo9MDjje5JMCAwT51QCwvQWop1X5wOV87bI2ID1uurI1BguMUkE87BQl15VbpFAxY
v+OvTpub5Cgm2UElZr8bI2kH1jo87avYuWsWkx5FST0ZGHNX3WV20Z7wFqL/KhpxRxTVCPGksE+h
Cc/Pb1vLfh8xlgcTN801SJOFydxcFTHWLHJdSVEutfoSTyV7Vr3sdac+ocUa3ZqQPeYZoGnYOkDM
gPRX35pZE1fHBean6euS5kXpQyBfK3KCWi6ZFUOE82m3uC6GDgGvPCCkNJF3vSJtxCdt2Xko6hIu
iaORE/SUt4ODqrfCxTrHHlJ3SMS0/MmYWKerEFGqU1qFrXeJjjN+LxpnrkkFdDLHz9250C4Hi1qK
ttxUXZNXmlwOJYw/OyzHN6NYcaOZGvvtTNrefJyiObZAIRslpLnc1mMSbUgKpv9gAq7vgCPhyEZT
2h1g0zi7MkqSWwSPAsR6MzCKrtqw4M4OXbbesp7B3+KpQWJZh1Sml8uSgLYxIJRvqphvM6hJhxYb
vdTaxU+10otu7ZKG26ZlT+pcTUsxXsO40vdQJvogBmA4c8WZGoIGzIRBrjkJhK4qH3CvhHnMpkS3
Kb5yd3wxElXtOxh8qFR1dU8OTbrcscn/HV5+yT2Fex+fEi4/67qrpFp2XRMX3S7q5+plClfBpssu
/bwsrlHtzbBuS9JWcAL5azpNd2AlmhHOeVN1NCybx3OCcMLe53psjEikidCWVd1+xU/4aPW2eykT
Ml8fhswY6sOYxYJRPnmEgVtr4kIq0CkLTug7k8odxKPppcU2jVjNrF4vQQg06X6ZpHsikmHOMAlq
03Q5ibG6cCizl4AjZXvXDdU2F1FIADbfVbWL6iUNjMWUdxqAPyTgfZwHtpcaF0yoiQF3U8owLVlb
7GY8iXO94DWnJ2nwPWdmlH5uGyd9Q/GhPco2H14V9Lp221amyb1mTgMqg0XSlba17thGEUMX9tlq
i087ai/4AZPttLY2H5mm1jM9MJcy7wQGwDIKiCCOVet+SuAELQ5kNhuD+FWiqO02wpk+1MOBYBNZ
bcOuGJFGMqxhzlKVdY+juAzzs5hRmTMEeqaOw+L/rdPvlf+PvTNZjtzItu2vXLtzyNA31+xNED0j
2DdJ5gTGbIS+dTjgwNe/5UzplZR1q/Q0r4lMSiUZZDTA8bP3Xtu0j344B/c+LUnbdGSHM9oZpvWI
tSGKCOtATMM0suIHVQ9NItybioLcKa6HoLauZypyrzmO044S9q3z2o/qFWWDBd3o5xxirDypmKgm
cxSxJCgtr4mbWTfrYokHaKPg6YnmqvTeUlMysFxz6SpajrUDl42VJ5XNaXLFMm0Ob9yw/K108T/z
1F/MU8z1FhPQv453PrYSZX/7Xv5UZPfbF/42VUUMVS5HWY+E0u8ok9+nKtP9BYB66HDcxUD0Ifn/
7oX0folchKwQxR0Vn7K632V916YYTxsFfIczvKkzNX9D1ieIxdD0h7MMkBWL3g0TGIvFcgIx4s9D
VWSKZkyS3jhTujndM/9RTe8O3qmuVipkOym26Fv2g1P504HE8rqzpiWCqBdi3qL362nhDsilhs8e
2kZ4pIp98mJ2Og3t6RZGeGL5Ow46D2nn4O0FlZ/QMs+6FtlBlnczygnGHd2CpgtTLTwCxB9dMv21
NkG7cFbj3q3sx7Gh2ajrqFdbnbS+oeVSPDEMsb0McBAtcqi+mQbTRug884H51enIbePMvF+iZXwo
CBYc+hm0d+wUsn7Ii1XS7BSSEgjYd8U4G0rAE3S0FFWjLgt+yVOdKi6WxQpJdUgiQN/S2YDTWH08
a6Z5M/jQrFiBQiuclCJMFajeyQAMNMtxZRe1Mzu6Yzqv9y7mEB65ij90JpkkB4faNRiRc5Ooelso
FohpyOWjzDDjs99N9iNL/g1vmHYXNtZA/LScY+zdGwIIILsb+G7rSKVZ4BkBEyesjqSl/Ei6VO4p
O8WfpRqSWBtPcCYuq/Wx95p+Oy/ZC4xk+3muPf+k3GB6a6zWjjOIKltzcdrkBkugbe6qFjd7tNHR
EPM8NYmzPmL6LEu5y+ErGl+xXFikb9nJGOte+qJg+GgA2mxMr0XNIOcOkXLk/vfQO014E6UoDLs5
7B0F9QyT3aFm0X0keqwOYPhh0jLLwAGrm/HBCEaY4Utu1NlIT4hwJqrscu8SlAMeKYvo7c4oV3o5
ximqK8x6bnlj0LTVGWxvFNaoAzesdSBbU1S5kWEPaWnT9cAoTiKIWDxCjW6uaP0e/eGttRPvYVi7
OS8Z1tvcQD4YQCEW831COBnEI10+sF+DlWajfZQwVqyUcnfD+BCR+V38ZwoYhPloTAsDPlv5oqoj
dMMaUNUefFZIDhXnYeuZ6nrO2R31+14kDf79yrQ+oYyp+xkieo3JjkL6vZ1bRbspjZRxlBhksjEw
cGrBdjJestIjbmCvQb1wv6gVLEnCi3ET9d+8Ne25T0NceGiqzIC9E3h9h/rSZS8J6d/6xigW29oA
IKLgYZr9ac9wMwPpZ5BsgClSbw7jOTu2TWWASUOs2cyhXB6HJKPY2jEG9anMK5h4wJCcz33mwmZM
6/S2p8bx1u/zULt+OlrkLXB0/AAMHKbQQYHe3CkoCcd8YW71xdC8MDOxCaeJGpiduyD3YyGysNAW
RXLKQiQv2sENRhMxBszGI3FxtM2RNQnSHC/5Cqa+8JxxQZzU4RFTjA+EiZu7PuzSQwAsOrMm7zYq
pvQpqTp17iqyI3FvpOuP9c9/boh/dUP0kLj/3Q3xJR/SvMnf/7higBivv+gfJjfb9fkjm1QouC29
bfzd5Ob84gcBawIcZl6oEwL/b8Xg0AXLrZN3ten4vm2xR/j9bqj9b6wqMJX55AY+/G9/424YWD9v
n4l0atIC35KfQlMV/nw3hHtCBGtJrWMYLg167tRy6Nca79os/SWfwQMj/y5NiBBM3D97NiXUalfr
xCxAYWy22EgjrSJ7Ab3Cu4EUwl2mVeZB681tg3ocW4jQfTI+JciP4WaR/bvpgH3PKVQZ0md0wObF
Hn18T/WMwWSyjeGbR03Uuc3oLHZh0rw3Zq+XdLbw3p3O5y+xJ8VW5LfGdwoS4IiTrVPfdYc2hOec
yfAma4PdQGFimKriDPK3w9E+Jc3T7LhQm+CnU1kkRxtQl521xpPheki+KySGXRdyOgmI4MSiznt3
G9iOurEGVW2HMgs/V2UV2mcxTiFPSwsY1VJzeik6S26gH3LTZpnDuI2H39tbPeefRJRf3HptzumM
a8ALV3frYS17hTTc7DwrcbdG4HtYrZz5xba5kWBUs1I4BRh5SC13d0m0msFBaZsgRwfjbRTQISVN
J89cFLJtmReUoPbr1AcvncghTgW+4kiyghelAqNI0ImSSNvxSGWN9i2NRezRDZZrT0MfkgLrXO14
q+buzU3d8AK5w3oi5qWfZWIWaYyVx3qKSrZU2BLRjkhRa88DxSr4epwKj8qgDU3CcSgHCEaBfcrB
s1vvQm9C0QiziK2oMfT4U2YKxc8W5mT84PpfK6vgdU0gP4GqByDOgSartfHDWUpU5Qa7FQkJbIre
WOP8Y9rPNx/nwHFyUXGqLOU08eFTDMHWyQ2jXfRiSQM1dgi18BZpc5INOlfLs1N+oLGF+5oaIw6W
2u7RKVT5gwvwlHyxEus5apga4qXGMEhoGX2j4CaojYY8KcRo2GmP5YqFhxMkPwD+FqaOIOUGzMoi
wShI/isBQkPJyNaDaF5sQ1bGAGkCHP43yaRtQ2JMzPQ0dhO74bQtxm+Ifxw2y5X/dunlYqXREn07
VEXBgZhysYn+TfzR/A9oFXx75etfPlw5isdINTyDw6z4k7VHufowNimV8bKsYgQmrfvLXQMTBqEd
27wDaOpfPh6RAlfkocnAK4bKy3sT+hDPbzFjspyHEkmRQR53ljvb4KmHwXLfzUV7dlzir2ffHLq3
nv0Otb+eGo5pXnju/YftqnT02gaJZBC7hESKAyJJmzNTp+LXWuowvKDz+J8omF2Ml4+fEsa8TI/V
QlUda04CrbHX+bzLDNuxbqKBrs4YsD0+J+Fjl9tAx+/Xx3GmF3LfVvolZUbVz4mu+L0Zl6g9s8Vv
zwtJHwGTX4tYPzyCtLfkgOG0pS+qcYcFc8UVimbQ4ejWprXstVL667pq32DhG/o9RYNgG6eeEdaH
Vk56W2BRUU0za6nQA8px3o6RvR7F6s8PpjavTqRI3hzeac4GILBFK3DW1ET4XPo+x1Bu2s4LF47z
BqReYTP2yLpJMSQOgl2nGSTnIlqiF15MtqBkvayHIlsYDOAGdm/Yg0WyDwpbPcJed8CmhPV+JXe2
MadUGxlG8bUwKN9mZ4Xzsooq9Rj6Rr0JbBhMsT1wNifb2xoX33QNfrta99mvLcu3zTgPFWV7UUMX
Jk/ZBEUBEsVxtqLgaw+wBYJV09IqT+KfdYRNwdMpBWR3chr9/C4qS14G4m4XH/QSWQ67nm9ny3N3
7gSyFNOLQ7cz7fO0YA1udwL677C7DjPoydwx7hurax6gMdKZQCKlADRZZvZz1K7B3piH5bsb1M5V
Moz5sZhC61sFiv0lTKUK9iaXwAs+qPy706v5SXreQmSiqXfs3JINs+4zou/wgi9abEmgU1JeRbgc
F4sFMwvf6mKphhq4SDUU9NU0FBGb+M62kWJiZ67EGaYD9pgJ3p2L+zqB7FsW4jxSiIUpAxnzJNeh
vAZA79EDOYOiopfY9jd5sgYXL+05Ow31d0KCmbuD5ztVsVp6fKqjCm+q2XjAQQV6kaMq5x0W7MK6
VCiI/T0rp+w0mdFhnHy1XzEKbUVfdtczB5C4NGRy10wQrkiRxrSgdfLBappXJ52Jy4+RWNPDJHPn
0pUsc56TzmlfaJEcHqvZvcu8qccHoOWrVBCNI+r42FBEHlcSs/ttDy3kmAdVt8MMZL6m9qzA+YRP
K4nyT5LTwKFVXjscvLlpdfSZyfM4DSralc58pDUYF3Vn3wmRtpi3u4zkLnww3KBrtVmSfjTvRda2
OwVAFXwzDEuCHAM4smnEIEQSpjG3WZLNn5NO1dXGcqVX7M1ayvq49BWJYMNy6YV1+hYaszk+YUUP
33Kbgz23QvrXZMHGrKbJ7jT5Du9qbL6fFbf3M8BJeTPa5ud5CPvrTqwQm61ZdT55lgRID7nx7USt
z+MSgdhcVGHdU0o+/jq5avi8RGnbv6vRrKZ7NtAJ4i9culNalQ0exuHVXtbkPsusZFv6JabU0FKX
abRIqDD4TzhXrqRwjFuoCP4Ow2S6YPGpv1cjoLIeWvQu8Rb7HjPR9MaCO9mmbOPuoi7ybpWcQfKV
DSyq2ERyvwGFWF7jSbWbbSZN494tWxoAwEHveLoCaBZA3jtRN59zOcILb7vnBIrQVWkOLyO3xB1W
HG9LL+CbZaenYi7ExVg895XSDSpDgpKeLIu2gl1CkfKZKlTOhGErr2UwHEM5s7wIgMZnJhRWnHud
Yg2fjfT+BCG4iMx1KgrQbDly8zMwyfNWIU96qensppXP+pQUbhCnlV/Hg926VLOM5dYHA7K1uon3
gd2hRCg/4k4RJes2JVEdNz638D3LIxPHnt059xDgfRyq4PfagRJJ5J+p5ffJxk25KuxT43RNsNWL
O5k++2bP5gFoIh4gheuooS01Guv6EcoieMOC8WNvIyJslU2V+q4zlUFO0ff6eBFZdkcPN85Cx1ye
TAKw54VAwifKe7lA+Wl7zRVowitI39R2rIHcjyb8zEZm/KftdmenXnssdnU1bZZGzDvZNgSvMhpf
r6RbSEiPvrkdEv9EchPLWZkuzxj8E598nHzJZPZaJDXNDJ4VMlBAiXieOiDugVDslHrhXPldrY7K
THFcR1m496XP6zByoEfXqU2YrmEgfdyDZebxSahHwOMKnomLM4TBK4tYNAV1dehmN3zpIn7xqVPD
Y1K0wR4QZVLsuB3OR+rBqSDUJ+IwQfNRg4UnBD4gmJaMto4lFefWXVyHQMsiz2pwqZe3beXs+Rp1
HdQqCzcB15tvRS/9X8Mqm3d56XvrkZ5ymmJATR4jWGe7So9WHUDxuJqWHqQDTYgbuAH+jqqCblc0
E2lMOmCu544qugSDns4w6pb3gL65op5uVtIwzjP3t/J6bConm8CuKzoFRwLPovTaB1mr1H+o6KrF
jGhEQ0wejrGgmd0vJXy6dB/5DUfvyWQWLH2rJOWiHgkrqwupfLFbZBmpTSHC5F4wBmjGJb3jzeKk
BHqnpsWzCuUA0eGNtG37sCYzIOE6zfZ9KZeLJzzvhtocKrCjvjcQ1zx5RfXqeFa4KQ5hk6s7yxvF
UzbXV/3cn7twVds+snsQB634Cr3OPExjP1xx6k8OQxq+MKjN+wCxbwoG976YgOwDVSzLcl+oOq2u
RLbO1j6P1nXR3kWIk23VULBb2/76IB2z+6LKugLREdkAdZGtqthpJE+Ik6yXUg5G/XWZlIBdu6y3
tA0O+Q6eqyepJumeOrk0CGNDLt3EPtT0BBinRNH2mznBA+Uunzpc2dmZ9ukguTiN+T7OUXet2NHE
OWXp8oR1J+F1Lhb4MWWRBQ/Rhyk4xx4cDXM8lE1y12rnsI43DtgwvG7+tGpfsesMYRrcpTD27rj7
nWil1x7kP5zk/xcLmz74/mFNDOmI4BeLbO0AwIr5s4OkZFhKfGG2WF700QnTLGOiZJmVnv79A3HM
/+cHInrCHYHNuP0zgSscGOZ7SoWOVYbFn3NqXe9Y/jKr8TLoQIAOn6W44qg34YL7Y7fzVf1P+p1m
EcwobfNfjazvWhL74v/89z8/Ojm6MIp8sgQwunQI748Wg85YcPUvipqoorOf/HkOt3DvF0aJaji2
yuBR/TFgHjRmupv+wqZjYdf46XfHWwFdKoJOhVXw5999LjyDZe7QHoXV8d2nOUWcwq9AvKgQnKBc
S2dHJndpz2Oq3TYmBbCcAZo0qI5IY9bTv38tfjJc8KLjs0BmcAgfgl37+edJo1kurJSHYzDA4J8d
1g9eTuZjXYi4RYP1V2Yz758yhqZOLHo2iodJGtJjPfTHp7/K2KZ6pmiPTY3sPGac1wR34/fSGJET
7VZ+zSrTdW/SKZTOaRiwlS4bYRlZfV14BbGHD5+f3zfucFsPOvJHLXR3NdhW9DJlZEGmsuWd5K6N
7hSrffHNxJ0escVxx/XR9nUOsFeYUnNJlGnsCu+99aZ5fBR4ScR+HSk4EhvKgBz3M5QdKuJRvzml
pwmZrdxJdS6B28RTHRCSm6tFfNOtpL+G69Q8OlHKMW7sBX8fW1n3ZhKsUdAAVGDoG6bJqdoykvvV
EFIQiee0eAhhUhwX/uJw6xIW8g8D0Q21E1ZI2EwvQD4CLR8v+n/Wm3+13nRMm/fjv9b7nr43zXch
vn//037zx1f9tt8MqcPUTl8d0tWa3W+7zcj8hUO6E+jkLGYo/vmP3ab/C0ZXQIN87jXYRF9xfrNP
Oe4v6H/aWBUR79U64N9R+rD1/nR1CW2uazQCkCTFigX65M8froD1i5HNXnMyppILzGEKkrSYGGxn
ytnGmioO9LfAni+jdrrXol+2lna/EzINjn3t5nHiJaLe2V7AdqvHMa+0d97XLvo09QGqzQPCfeqr
V+QYSLELy+H3SHvwbe3Gl5E3bzA1uzt491TCdXj2HWJkXt6kW187+i3t7ce3LgkMmiZLJgfr/xop
sadCllheExINKHBSuMSkyPSK+iTRfchS+XspgmBrjpO5mYo8vaUBNDw2S1492ZlDDGESLksw7jft
a2bJ/mBPxnoFvIrwAqc4/wvOEiIN6iPeUGM7YGZexueSBMlFFav5IOfB3jZVcD9JK7qmWqjfhjVU
JNDdGOydErZcIBm/8h6Ee2EOByKEzXHO6efRKYy2a4PTQB56D8V6iVc5WbdNEF2lTUmZkyrvAInB
3SYoGlvLHO4qzDc0SZP8GDRffu5dc2OurnuJqE84SbEax8RYrSuXks2rSjTdDpQkZhm8E/os016T
MiRyQkU0Z/p5lk/ss0hGYFG/pEntHVxCq3u7dzy+q1jvu8kW10FuJKQBuO3ppMtSSk5mc4HHKyjF
/VpCkpiJKDFYt2prdORlXJ2ckURoiJl+NutcHKzOKY6S9cYBbTt5mcK83aPv+N84xJXLNXeT4jr1
MLhVH6EdpcjvhJwItnkWhkeyBcO+921IfhjWWZd6+L91CojUT/SF5p/513Reov1qNuzN+wTLPJ8b
bH/LLKrLUnTPmbSKZ/xIy7vhk0GLm9Uzr8GnTOfQYF3bYuYjJBVxru5AoMXAVyD76SRTojNNjk43
VcSciAuz/TYct+eM15b3qu3B+OJOu7W5L53dPvdVDBsXY0ZuGXVwlIbM6TMW2ulMeoeo1apTV5g7
9sVHEGvVJ6dMp7Psj6BWrzNb5M6KTbNGBLlsF0fOprKBRTgzevuWHGqwFVadx8pe6zvD8I7kBMo4
k01/Pfj2e/sxSfYfU2XHfOnnQ6BX5YfECC3jJH4MotXoEMWCADY30dfVJf+5SxPG11UPskLaYf2V
VgnmW/oZ4iYc5bPXKecOzHA2SPrQgyc3EcWOrmVyLVUTXc0te6w4SgSJmA6TF8lQoy7mDUpleuxc
tNpnm5VKSUcZtBRKwxsYv8EVuMVQGHgYweYgqvo87/UEIAcYPwfaHYBGE0BGP48bszPSm55lQPDJ
BNvXE8/3Fuu+QSlPvhVJL5g9KfzjCofg5xruzpTtI+9cjxNZVFMCpVfcJYQ5jPOxOUbFFxYEi3EM
m8lsT17LhimGZknnwwQzWu+mMoasGcrlC71XjBpWwITQAlhMT1bGGTZuemIhzRi43zjXjeXBThRu
K0pjg2Y70T+AIG3hNt01XslDrlXKkEhfBolRLJ4QBUTFNtCciSRz7eMRxxJTGTw7wUgDUa1w4onG
Vjr6wsVu6RFHm3XGM2lCz4TZQTI5DVRA1Dtr/Fsoamrv6Ri2yeaFZJnHc7zxCcg+VTM6zEBD2fBR
embSSxzNh4IIyHUTuf2pzCM+98pLtl5JOeHGliCiYStkBzB94aGlduGusavLmuIQjgfLay8q07hK
jnX7dh5d1mGgbbWLKidLJRuJoavw7auQMJ1nNIhInNy5ftF8thuInRl7k4TVI3uzYufbYrXYHuKM
942muQkyqgpC9kA3o99Pb14BMCIGZHFesP3HVU+5Wqnc9DAOpO/pMZSVGddsqL72S/+Fe9RwwwgG
cgd//SafcuRw2+zNR+SPZE+jZfjsUQ9372KN4ubQVIDjAnHbjqGB/r2YV1NjJl9XHDl3S2JtReCn
Jy6dyZHAmvlaBixA4P+FbxNyRhuPid0dC5LX54Cu1Gvm1jAmL1huu3kpPmds5K+o3phukAH2o9G4
sRpNKt1HJwNwU0wUiBRLst5hkSt2EMMOArDXM2eX8bRAhyFP06wHmOMsWQprnjerwIc448O4RSsF
Ij4oOzyT0+3IdzvethvY+s88PsZ814ttiyVKCkTqDi8cNQdrVu7cIkoPULbCPZWArFctum64NK7u
q0M8lnuhF3XvU2iP11g5rO+TtNu9N2K6o6LHOvqidz5RU9GBLGrTbUfSe1/kXbcbGhotS3PuXySf
w2vSA8Md65joEgYQFtEKiwvMLOIY7BpuWMKxVbAr/0hVwmd0tfyy0LjzKaFC4yZh6c03ET6TAEyq
WIagONvaMW+Ewi25yfnk33lFoA4ckob3MGjAvfrl1lHreD8IkpixW4f+qabfDgdutp4trDlfZmAk
MUtSc1dC/zzB8PmUDI0PfKOG9NkEAYS0xdmBDBtCbAXGK1quuXPhEV17eW6eHUNwtubuD3wUyCnH
rcwtaPkZnw1WeCEaYyqAZxDnjoy5jcXEam7TQ5rbgCBZ8rhJbbi0dWgHPuGOH73TCCBE8flQQ2Tb
wv713m2F3qPgGaxxYBZcCYahhADbTCT3gkeHvGXKLS+taZh6Ej6VTvf/me//f0g9XA90ouBfz/fP
43v2p9H+xxf8no4w6STzgILDzsQx90En/G28t3SPAyV8ET7gj3gEHrrffXz2L1jrAguf0T/m+kCX
m5mONtt57IE5dfwNz8KHJeEPmxk8CpHjEOWDYeGSw3B+Wlm0fZtn7RIu15S3kwLehKQpl33tE4Or
a9c5lUpppEKKB0F4rvhmLUt+UEwwFLc2w3HoUfDsrlV3BbnO3QffJlsW767mk88I1VYqT/CTO/id
UMDq2kfuwqu1kPZlpJ/CyH3O4KjW3VHWuO5hTU9a9a8S4zaqXaz6mKoGAIJ4C9oQYx5tLvI4c8xX
0ykNJN7XUxIomnijIOynRxbfpvtoNMwZO5R4SFdpMQ98wgPiIbj8GTdNHpaLXqd732ubzzzBPlx+
Q+2itMxVfgPIJzv0gb1qWd1Pnpoa+teKH/vIL9XSoimNL1Qt5E9h4Q5EUuusYMbDsa2G/rTiat9n
bSLfI8tEBRfQKeIce8bGZ+zfRC2LxWATqTWwm6uC2ISHU4pgCgWF80ws/Wz/aFcoIMvdZGlJx4Ka
Ww2mwN61PLJhktQxALop0n3idp4dHGxiFfIw/ahwsMw0sfR1qJz6Uj34lZkP1x3xAU4/MaKaXU8/
Vm7/OfH/1YmfNQuH4H99Rfj0XYz/9b+6mn585e+upuCXgDMieUAo91wZtHXpt0tDSDuBh42X6F1E
ThDf0z8uDeYvvmNaZhAGfGpDTtZ/vEKAJvWJCvsEIHS46u9cIfyQB/nTXpEtApcgkqRw+Lla/Jyp
TRcXVb9Is5OowTK0YeMxxdmdODvAXbYMgzgLSnhXD6zS8Hqk8PNylVOfheBRZoOBHJfIYD/A3Hwk
s2Jw4K2il5yj2YG4tMZPaw0FEbTHEqqVFaVFFoHeO+xlIROtL9DLF7PnqIB2lp6/nSISB3B41LFP
3Cve2hLbzJIOfKLD9JmSMrLgkzckm8gviJ3PL9aHFsRpZHlecQNu+JUwJ0yGuR21epRqHWn8kJRg
wc+7kXa7aQPsuX/wOPVc+BLC9oMZoEm1xn2edIXYZrSLHAeU0+t1XppYCfQsDKTTudAaF0EmZ48J
IbtjVqdBPlr1b471Quzs2id0r9Uy8mroXxmowMc087w95ihCMoL/DR3GOtMT99wyC+nZeLoO3QXA
BVKNQZXUNkV9TKEvuONjiZvgjqIUWPwfwl77IfIBGyTEXIXGuuXwE8UEnzjDa2XQR/nd8jMzEglE
TbdlgLBpIeQ043ySZdkdGQsvgdYbLZndpiwgx629ELbZBrgnN643u3FTpat7GRHwoKE0hB1C0Dpx
Uo9HTovjsysW5CAK66ydMdnDxi0WBNFBQK6NZk9eSLAcR2TTXOunUiupZTK+JA3jdTQPz0u50D+M
H/ozRPjlysoQhwBdZpw+AJpbo7elqjh9EC5sChSbtrqGTdHfVB/CbgSQNaC4rfVvUyn8u9KB2m1Q
kvGWDIl9v/RtsfNYNF2ovv0+fsjH8CR9Kuzz9G5Fw71SEYNV4cO+0MpzpTXoykJIlg0rVssZX1mw
NNiogvKUfcjX84eUrT5kbfY/4jODrvw1LybrHtHeOxdp7zyW9FNuocNL9CvR+5sRXu4II64ervES
fZ4Jp9wYHcxXeza/u039OZjnVmxqLNhgq9HhK63Ic/+wxLYelvANC6F8Wg0JMHdKqp0PoR1u5Ye4
b34I/YmPNZfhdZ4/Y+5qza21yLwjZ9RTd1ZqtwCnenvnBWxS8kZM5v2kfQWldhh0PWbHjYI4fD9h
QACA+7aK6A1GLUkvJ8KcaHLXjvwcYLsbIMUdqOpGoda2BlBDTwS7v5u2TIDdavPDoG0QXgUJ4Dar
XNhymEY2Rebbx5RrzgPfAZ+gIzJ2g/mZ9PR8UkzegM59ckAbmYrZvhYfRowwgVq1kUP3Vn8YNQbt
2RhMsQc7n5BXxM8xaGfH8uHx0Edeie2D03cGokpbQeyVzcVRJhaea+zKxRlRuqC2SOCzi5XZetRc
O8kucNrslNG0ueu7ES5tYBgo6374iYaLxYvH9dyYgXFMR5EdSoj6dCjYxt5LgORE5jLvG91Gmqqq
fFU48LZ10c/nMA/2Li78WIPoUAfJKMRAUrx7onPlrvNLvGnMFptwKuG0g9O9KkoHjzaCwmGiRGEz
WXV6PU8eSAtZrOsTYpd38nDcXePeMF7mFBtDdZYmCcO6ooGJhvI23HEgqfdFd/YX9coCwt+2g7BP
ak3WncffOlceSz+rcvo89lxDkRvAFW5uPV1Dfyp9+L5+MPT3TjQ4T2yb2Rn4JN0yz6JUbunWhbVR
0jLWVGX5thakEuikoxfDtYqYCwQuz7DAkSIzBeYgGvaE00A7rdNNtabLrzJj75VNQQC8OHUrEpud
xKApvrr0BmypMmBHkvnUfbS2KU9JvVQEmnQxSSU/c2PhHD9W07FZe4rKNZlhhWo9z/6GlsDxK7A6
pwIjF4gLvRDRfkqtxzTww6Nj1OY5JzG5GZqwOFAaCJF7BZMIAi+2uMHuaLVYOP0Z09Gm++pkLoG1
SeBWnvzZVTscxebZHwHLMMyHe9GZ9kUGVnRWTZBjx6keEn+Fjy/S4ECEk8aEZMh/ZdEnNY+GXt+6
49o7W1O1jRy7P/WRVRM3TMt+a+odGjU0RqtsoDF8RK+zLs1vcpPFZQnmabOsZbT1sP1fLWOf7GfZ
n1Vd99SpKfENM5HapHUHP6Wq8Mg5DhOmdLPTsLIHxbBxSr3hWx/R2iDL+QtjvtyZ1mLtpOR2Yw3Z
KRxEemQWdrZ1Et5MVvIwCtphnNqGHS4n734G2LgfDHGTLsWDNIVxP2fFneJ5vUoUe9fBrG7SoF73
yi+pqVfUopmwU4S/91YkdheAHN2Wkxw3Ax7NZ6AliOqS5/Whl3nqX63FuEDSAJ/UskegAjhmyKVS
fjSdhew03D1IwX4TruYuS6Jufawp7DReoYSrZZvjmlu3RBu1i69syJuo0qqI5QYIcMux8/JHLxj8
YrtOK6OMYJ91M5X4aDdYhZ2YSAF2OdPCZba09I/EZDf6WxsWd7btQNR9cjqpPtWtqa6CsbDOsm/E
oV8Mto9THSgWBks5XdEIM3PprxqeA7RDqkVMwk81V8ywNPz3pQgL8tWyuMKSBp+XOb5+CFeZX9Vm
LfApejtqoOb9Yofpt96WxkGMMJrFEvZ78jDW3hnGAk5dw+W17B2eoHLBfsrSIn0hVdRtg6KGlUxv
KENH7bjHfFjJNJqrJ+MZFyWQZt9ZZ92h65yHTtbZbrQHzmyxvcgojLlzmXuPlXpC4jRj0SwCiSW2
xKu7CHCk0IfEJE8fNpUqK42T0fe+JkybtMFx3IxuLc/wx007rn2+L70ekF5Ij9E2c6S/LQl4vAmo
YgSbC7O4D7OhfwAYNkOx9Jd806KXHkSeqD2MFf+4WpnCpVMCBIvNZQiQOpFXPlXgA7aJiKxLXYS1
F1e8+K+rk7t71KSDMyayj3PkoEW7Uhy+Pk/IEDsT5lqNFTJy6k8d9s837uJjYGUC6qH4oMKd3Nw1
P1F+U2w4JtKgnEonLPfd4jZYTMvRpIFzHF+5eK87hyfpjKX7C8vrkg+2Z9YxryhmjKrECsA+ucx2
8yiLJR6kZ2/GEUl5Q1d2fdv0ApuXX2ZyN3rZdefN3T6a6/Eyy8A7+VnYLcT6Q+9eVIMsWWQ31cHV
++6IFw3+hsCwUzXu8k0lYfY5YuZ+JlkUnBOXXa9eqQcA5hjNtklqpdF1bXrwBZfgdawd8YksPeHX
1HNZadLUaivPPA3Y7giJkQp7czp3mjd4gBCznYDrQGVH1xUVJd9t8qIAOnPrnetpfpXPhrVbkPNe
J3TBBb2qDpK90SPJbFlkIsGMNbapBlwCPh5n5/kzRbggUHbAB6IDniK589Q0nddgmm8Wkc4PAhkg
pvILe5BXskwnjvS+sEXvIY+07t7KWwDxndUhttsTxaitAnOXjP2O/lZ/b09m8M1ubHXBvr/ehP3a
PXa6/nvD9bz4FW+9ePq/7J1Zc9pIEMe/iivvUEJISHpIqja+EhM7u0n2ygslgwJjhAQ6OPzp9zc6
bCQO2xnVlmtr9WYLWk2rp6enj3/Tkev/Ne5o/pjKujvnip6NwRUlmtqVNh8sLiz0ta8txj2mriSr
05U2p5/6HiTv1j0R6I5lzM83gdXB92cysGkOqEGm3HOKaZ4FF6ve3LwEXzj4uNYospsDgfgN4KPu
RUuLzpP54o4ZkRFg8bLI6k6WW2EklqDNUHEXWqRuYgAFmc1IwGAiS7UYbcKM3Kx+aypLuUJZ1DXN
yrsEPooPnhUOFMVfk6wOjIkwlITJ4rBlEq5G9HtRMTaXxWPLrI5sJUvK/o8IPisiyOg9QnVHzv8A
MZB8rgQF8+88BAWJ/JlAM/U42stA32M/ExPvuEXq/rGDt4wJMrS1Q9dLCYoiwwVFyt/QJGKKJfv3
AFWTscGXHPxrNVuaTbwSlAfCkrphcO6XYYEt6KZBuuoIc7BY3aSz0Tj2zyb+7ZY09lRLyd7gSuix
9oBa6DFad/3ZfM0DbKaPTGy6UB1XLG+EczopUH0OFmZlpT+VZ4FaYVK332XrMQ1Tq4G/0Arf8cED
71Do4280WUpIL4TW2xBU0MmTf4/v1mN7SNzOTrRLba7HrXvq+8yNCK4IxYLqOyJSatPSSU3VRHOs
y0E01i43dpB6gomUYvYpjQARMPpab37/0WcI3yAiPqht+hSkhYNvm0VycacL8yrGZQCnN+RowHS9
RUAmLWCyqd2NzOS9vuy12ANXy65Dza8/W0ymjErQx8votMfeY4VnMMG+LnobPX4fpPpVRKnX75u1
n/b9wSIllUB4cXVBIsrvzvoWnbRn5rqHFexMzdV3RpYB69wiOfCepuEI1FEZFDVa1vy+f5c4k9bX
FW0fRnDeXY4HDv2gCRUM68Elk3jJzv+3rEYR/pTzi84za/Bb6kWbLx54rUlcBtzl3awW8Fv4cx86
TqgYgfpEHJIM4Q5yU8ZUxvExGr6biCQdeW/fAAtAvSKFc106e+RF9Y8PlH1xu2WZbSwUs6IJAGZX
ngrZEtIhMRz/hbk8j3+m8guGYRok8j2MRR2MCvtVscUHZFCj8CgD+kTBNAQvj+rBfTJwyOB0iIV2
6SzKrvyB/74M3BHbyplgnI8YJtu7C00v9LY+Rwg1EltCsNo01xKM7ji5EKg121YEDr5M37VowzE6
uRS2l/2x9XD8Jb9YEWq/wMvWqBwW3AVAg61KTQodoMy6NsAbsmuYqyYFVKHLUnFwz3Ih5HmAV6QK
MC6n9SpJQbfboIeCoVm8aalc27pAdkJWbFBrjbchL4wGD3xFUqDfWyY8laRgGCRaAJ3Pqh6zt12T
gtO2UAXW3quVgmkbKLCaFKy20elgHUk3ZRfO3LYu0NHBYL4eMdys0T5bMa9LF4gp6rmC5l7jg616
yTaptW2gZcEwLK6aXbCstg3MIXaBCll5vTq7oBu4taq6oKELsjRn61du6wJ2gTtEBYzHjfR16QIV
1jup2wPuQm2fedwpOWxxMJIOQeEO1K2j0+YxPVog2JWz67VZR0omnNyPU1gRRtsmeE5xRbFJoPEV
XTCxjpyHwAXNhfACx/EZG8mDJ346Ef4o88GFF+9z1Q99oHRLdu8Xfqf0KTgAP5yksw9Klzx/du54
yL/fVVQl2wa3bpbb4vbXix+4++i9TJX//CC8yI2GEzqncd83BZs37gw//hffvXVn7rZTiAeD2Xvk
5O2bCp9btuAJwvG0RlcCFyvTjcR9WB1sRo8B/ps64akbxG5cUpKvkagxBluV8qnrix9hVEOqyX1v
ZdrAK0TuKCy5lFwD1caiUadM+8kwEcO0cmQgicCKVSV+5vnuyo28kpJk2wb3u/x77wn2wR85pnfl
Meck/HFCwCWd3VYBgugua0ALL5C6GFXVO3egVSVz6YWgGlUpc5DGKVWl/AGJC1HSydS7m2EAqhL+
OHInFQUEQk0iHSnTZZBcEIrqisw3YmXSwUi4NSsiEaIaYDpcVV8eFZq4vqoM93dtU6+jN7Be+nCW
DqebksVML6RbXv7j55fipzAV8Y6YHU5/6rSvGXVQsR7k15vYXq5dxkm4wajkUIqDTrkmXuG1G8fu
cJLGXpJUdBoYTKMJkYjhRIzdKuJ67rGpat+1kK2INdxRnYhOAwuGiTFANADqPa/YJnrDtIaoh2lU
J90I42GQ1GwIfdS2U6rOzy+cG+82cmvek65TwtQE6aVb3bc43slMjaqK3Hirkw8usxnB66wsTOg7
DRhASf/Ki2JvU/KaLU1KYBsifu2txbCyjREnlyGxJiTzN5AnJaWCbxmCVyb95LDfw3nJZ3lTN9kD
djGHdSAVG3BJPk9EVeJ5sEFVLJ+nPh5J9VRDHMNpwMgeHmqhKOlf6faON/7SrR0TiiiUqki+TMKR
d/Ix3tnbrF6Gl6nI/dcMm3rf1GmJTt2AL5E/YFcRS/BrRf6P9tor015XT5VFwkH1lR7qH1Jk9w8v
mrGzlcZJWis5+KgBQ7i3s6HAa1Vk+k+XfScYU3Bf5TuLY6sK+sm2DFXmRTwMg1hUec8zEcq8Hy4p
Ocr1vkjTQ6ZmN/5UZuP2fa0aXJOfGPqeG737BwAA//8=</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4AF9115B-5F9B-4896-80C6-725086075D52}">
          <cx:tx>
            <cx:txData>
              <cx:f>_xlchart.v5.10</cx:f>
              <cx:v>Sum of Sales</cx:v>
            </cx:txData>
          </cx:tx>
          <cx:dataId val="0"/>
          <cx:layoutPr>
            <cx:geography cultureLanguage="en-GB" cultureRegion="IN" attribution="Powered by Bing">
              <cx:geoCache provider="{E9337A44-BEBE-4D9F-B70C-5C5E7DAFC167}">
                <cx:binary>1Htpb9XItvZfQXy+pmsejk5f6bX3lJ2BkIQcmi9WCMEu2+Wyy+Xx19+1A3STDR3U6qNX6gixyfZQ
VWt81rMW/76f/nVfPdz5F5Ot6u5f99OvL/MQmn/98kt3nz/Yu+6VNffede5TeHXv7C/u0ydz//DL
R383mjr7hSDMfrnP73x4mF7+77/hbdmDO3P3d8G4+k3/4Oerh66vQvfMtR9eenH30Zp6ZbrgzX3A
v778z12Xw4rB1S9fPNTBhPlmbh5+ffnkvpcvfjl+23crv6hgc6H/CM8y+YphTLlUUj/+yJcvKldn
Xy5HmKBXnAumEMPo8IO/rn1xZ+H5P/b0Py/e1iY8fHxxHe7CQ/f1th9t8XGDdx8/+oeug1M+fj77
qicnhDv/38sX966vw0G2GYj515dHa5vOJZ9vSNzhmG+vH+Xyy1Pt/O+/j74ASR19840Cj8X6s0vf
6S+5q8wn52tz95xw/pr+qHxFOBNCY/2onoN+nugP61cCSyIxw58V/HXtz/r7Y09/W3/PvOpIf8k/
U38XD+OL35wvv0rwR6b917THyCtNNWGUks/ao0+1J/krAVe4wOyz8sTXtT9r7+uO/rbu/vRFR5q7
+O0f6Xn/Md29qzvz3wyc7JWgWnMq0GfV6KeqU/qVpERzrunvqv0ctL8Ezq9b+tu6+/1w373pSHn/
OflHKu/mYbp7Np38NZ+j+BUTVDGFPye044ip9SsK/qilJJ8Vq5763ON2vhP1n+fjHye7H7/lSGE3
7/6RCttUzpuP/8UkR9QrDp6ExZcUpo99jbxiSlJG1I997cuG/rbS/uw9R2rbnP0j1Xb5UNfdXA13
/1WAwtArpQGfqM9R8BFAfgtQpHylqFLgbl/i6JG7fburv63AZ192pMXLfyZIeZ0b9zVg/RcACoLy
ADxPf6Odb7WnyCu4QsH35A+z3GE3f1trP3zJkbZe7/6RPndSVaZ25r+Y3sDfMGFYUfEFMh7HSv0K
MyUoV/x33PItLvm6o7+ttT990ZHmTv6Z0fLc3Ocmu/vvIkolmdRSfUlzEAmf+BoHRIk01Olfrh8V
A1939Lc196cvOtLc+T8DTz7PFHwL3J7c+ReJFKpfcQQ8CqN/RMJvtQewEh28kuovfsm+RunP9cAR
gfHn2/oxnjx6/MlJ/j+xI3/OnPxOQK3uwt36kbn6hjx5/upX1uXo0RffCuiJXX4V68nHX18SKQTI
+XdG7PCSL09+lvpVDvTQi5Ouuqs//uDBh7su/PoykhhiKiJYUKEFURqB540PXy8pzRjSWGqhJH/5
onY+5ECskVfwxCHUKiwYEgQuda5/vASvYxxhKB4xfP31hJeumjOoUo9+f1H39tKZOnS/vgR4+/JF
8/m+w/k4U/BDEQOrYrAvKglcv7+7ApoQbsf/0/qs91Zrt4tkV8fFnLtrXZJg1pnSdm0IfzfaYTiv
osbERd+8qzIenaBRXhDXV2Vil7xcNR2zb/Rg68uqR7c8RZmJm6otNo6NarX0ET3xWFYJmyO5KeZp
jFUnL5pqKGMy4ctiGv2dpvZcjNU5jcZtGpp0FTzXST9aHldDr+LBm0896s2FBTkmrWzquK9dG6NI
LfHEyRgbtJw6jS4F7mis/XjnpnGKeenXM5vL2AfzqauKcmVpNq+lUxeSTtvRyCZpsvqTLuvzEQ9X
6cTzmJl+w0h53s/LJSvmU5TBXb6I4ik3d3MT3Mq1yz0P5b4a8L2T4l07dxtXpVXibU7/k7ZsZ7wS
8Yg6vXZdusR1pC5woO/KobqTaMEblI1XyJfnBwkE26sVK6tPRVNHSZeFYkOr2a2oHcu4z2QeD+Nw
k9HxStWTSBQR2Ymv9P2YlnqLc7bLsvm07Ik7WQAvJNHYgWAQShg3e5L3JJnK6Ubk89XYsHc5LffZ
VN35trhzC7+QOfUiFqxbMzjQyICCDPMlq0BXMw2bVjdtHLFyv7A+jaeQ27gmWRETB4IiuU/jlPsQ
a4LytSl1SPpocKehMfM6iw6yzO1dj+cxRvNSxmF0c3JYq2FwQ9Qul2OHLgMZt32+nGKV2SQa0Gkj
XZQMZf6JVnAbx+a8LKdTAsrZKadFXBg4oWPz7ZKGNK6CqFZG02hVdrDQYFSxyjVbzjwv9m5ebj1r
0zjn041FfDXN9ZjUuQ+r1Jm7ehj1uiLTvXLL6UAykxS5NxdlK9+ZCX1QLX2tR4MTMeLNTMJu4b3f
tdNws7R8Z0wTwFDpLrOgowipKinDEOK+X06Fm/P1OII+NcV0ryVYwrSEELfE0rjp0G2d4XtNxxDb
yddxyKo9lsNN6/sbNlWfLCrmBAkXVr2dbmiK87g0odlUxOn1IqI8wdiY5FHuuBYXWrN3rq2LjWD8
ouFMbsLhOThnnE8STJGKd0b6eScmMMcITxcNiZr3RRrpRBb5vPJROryhAsyumrI0mVvGk1mHYdfK
edi3jg8nnRXqZBqi6HWZz9W6XRr7uo6aeYPyatjbvO0SElUUmhHd+3nw4gyrssnAapxp2cqXeVOs
tG3pSpbLeJdK56M4a0gltgVr69uyTm/tFIl+tbBOm9gSk0x5esHq8r2n85CUU7WecjEnCzWrJsx+
3bIpxysvhChiM/lsr1woYiHbiyrKL2vH3HqM2K2LcJZ0Pefroed3Uz37+7omPXhlka8r0cZKzkXc
LFpsrLH9iswuvcSBhzirwfyXgtw77Jq4a20T5wNKxETwhkoHepvBBfoFzLBNMVpNhKnXDMl+OxEw
urmU72QkLnrSjifp4D9Foz9lotx/k3S+xPVv4zjkj6MoronUCtosREgu8eH6N1HcFIL1xVi6HRui
MqZ9G5JUTReGt+dLikX8/GqQeb5bTUNCo5xBV0eJQ075ZjXNxr4Ws6x3Gbj6qsblnlQ0jwWFgP78
SoBYj1eiUGlIWAwBo/aYvb5ZaZRyokXauB0J5Z1OIRoewnGBxzmhXdy5E/gX2jy/JtQ336+pIPNT
wNGHz6eny2itc9Wl9W4OPF/zbrhxEzh2RNlujHiVHM5bVcup7yC6Pb80Bbr++7W14EhKzLFkB3l8
c96mzMalmFW966ynq8JZdTmnIj+Ei9PCFeUO6el+7KZhU47DsC+GDvxW1zT2+XyfixTMdTntswGy
LuU7rW2UFL1fEzWejgLCtxKkSUoGtuqK81r4jeXD1WSzW8RzuxITu+hVFSWTc3rLuWt+y6C3lzAF
4eH5k/7AhCg0BMmBk0OckCMTIpXR1hFW73LSbZhDl0gvl3bx7U8kyn8kUYbpAVopBqZ0JFE9YjXB
RbBVXbGTbpouZ2zYGlUQhGuhi1WnyvOQYfumGuZLGZB9k2eQQ9mSfWoHiMsHqFKUACAwmU6zqEtj
PfY3kRYX1A/bXEG4542xSZblYttOZHqXcTJvbUaa9WRmc9oj313V5XQ7eUj7PTFsH4yy61EEd8pq
8yk1XMR1WYEWJ+W2U1R8St1yq7J+s4QOkndDd/nMd3lemySzSxrTZjotZVQlpF8u5dzSmBB4t1bR
e8/LOZEYMNbzCvtBhAGOBmg2jJQkXB0pbJGRa1lE690y4kc4MUFk4w0RcTTS3fNrAcL+zgs4gjyl
lJSak8P1b7zAk9nIis31jpfDFevM3rqfBcxHT3qKe7UUQHSww9+aqKM1TN6WoUKo3jk9NJvOTCRh
6XJ/iPRmofM2+HRfErbTEbkYU52vZV3toyn9T1cUH5QY6pjYwceqKuhuKCCJ5xqiUzPbc4yzT4sY
6VqmptxVVCxxwekY92jpzioj1oNq3qoAX4tOZSdsNnNSccAt0GYPSavbZkM8yWOqW7LtpybEiJhP
vAYTbE15PkzlvuTZnChRAEDFI6Bf3CR1nZtkQOHK1SRfM7qc/kQnP/BY0IWGRj7EYcY4eaqUmjRh
crOtd7iCQmHIrUlgBgAQfFTCmXOQgAG4tapmdWG5aJK08yhesH0dCrDltKzXkaj7zZguYxwEdqs+
R+/GoqErheQSl4O4SHspkj7lF7kmxYp7iESNG91KFvMtIuP90qHYSHM9UUCHuoUD+2jaljm6nQGI
xU2aN1tajVvdjFcZF31ceLBP1kDg68Qwxjpixcqmld4Svtzqxg/nzwvpB07yhXvBVEP1diSjMWtl
Fcah3o2qXgHEmWI5wnYY6uO0yX6iEYyhNX/sJwqyMIQ1jIn6zidbRmdKWF/vPOnqNRadW6m02KeQ
qTQG/SwOTHKZoUAaCISpogAEmFXnogQA2LtUxK7WTWLs0K61WGxsqi7E9aw+dCU+iwb1utK2S3IN
aH+qHV3Rpru3xXI1VfOplYdkDGaW0fIuHQ8odSRJsaDztq9XxeRIAnB1PYRCbQKo9LG8XNhEV4bD
jdqXexEFeKIZh02T9iGulpCfTGq6fCyC0npyqzGUbl/3440JUEiqMuuTpYVSjy/jjQ8ZimemY02H
G1LiyzYye0oBrWHZr0xdzqvDPyIL36TDwSCbfthg5rv1wY26iV84Od6I7FBA8DICf2qipGoBLaG0
OJ/aUq1kA3f7iL9rCw4uFtL2TPPp3oewGnsQcFGZc0OhZtETQHFWsXdFPlyNlImEOr4baruPhmK/
2LaNfQYOHEK1h6J4a1PILCYbwDDBO8QYzivM3+fdWO9LzC+GblhR4ufkUBhNizfbsfXuVAGyrwJ7
R7z5WT4WP3BvwDrQbYZhAbAodJQnq5kWLWHc7jo539fdcNUhyHsDlFkpB7c+4K/HUtsFjTdBA9J7
9Pk6D5t57Ma4LeCx1tJVGepirUu9UoOnclWFrE0IUfVaT/28q3AXQYFW2jbOmFm3dZXdt1Glzxuv
89WSQV4MS67PaojlySLpBYkgxhRhvh0owC3kaZMIZPpkykIZVwqQdQaFIeTDnDpQSAYwWxb9TRgg
gnoSrryCklT31fnQ91eM92brKjGtjS/pqh2XU5uPN0Vq1criaIm5m+9FtzQb34QrCdXBrjTiYoAk
AkVmf0PFdHlA80F+za9fOK3Lz6nnMzVz75rZmyz/MtH1+6//e+Ms/HmcIPrjy8NA2B+/AbX6eZLs
2bu2D+5AT3XHNx128/u7YDNfdndgtZ788h3F9pVSOiLRPg+m/cnFJwzbEz7xCVHGIPP+Ob92REt+
Ju0embnDc1/oNSFeaUmpgCE0INgwkGVf6TUYXHrFIb8jpSmHMacD/PvCrwEnB/WLBEKVqAOL9pVc
wwpGagCXAksOQ08aJp/+EsH2FH8eVoTaRQtMoZDQVJFjv8KFr/FY8geF09DrNWlYA8ANNYNZbjnv
m/KORZ53mxoopJmtAgECakoil6IPWe0Z8AeOANba65zP/arUUd3uRm2r7rzitonm2JUTbz7wMkDQ
XUVCACJJMikZfpCQsPurCsr/6k4p3qT31NJWXGTCtA2NLTYdbIU13NvXOUZhrFdZxX3ZxG7k1p5h
gJaw5cxaPJ8Ca1EXn6JucPDMNyr9YvrfVq8wIvhNHmNCIxhh0jAkeOjzgriOsJiEXNXnIlcP6ejq
ot0FC6F0V7Gh83K3AB1mxmQxDQzHVSg1JN08v/xjWv4DC8L6UkIHEqaoFAVNwWaeQpuloKoTSJiP
BS5paZLgKId6VmsSAYnppzEDssjnIWNA8rBoaerLEXIvQHPMDkhvH0Red2XsXEs9vtBctXDt+U0+
hRbQHYWZEuCCNT2Mch3M8ukegXiMgGyj0UcR+QGRVbbITLabSrFAUVz7IMT7kqM0QM/ld3f7uW4O
6zLNJCEcCnD1HT/c9LMDLo6qj9kMNifiATVV9y5nKamzeCxMb17XKYzDAgDOHQG49fzyT4vxw7Gh
CAYSnGioBsj3xTgfTISmnH6MZCVbmvARCX4HjhSFE7dAmXBhIuzwOS3bub8uO4SWPIYp2AqE8vxO
niZI2AknQK9wrgQXIA16pIAgDBBywFDdp3qpud+6trEpUJip7fS8nZWfQCvPL/n94ZUETkcAsgNq
HmDiU53nMk+rYkb+IxMjePlmxmLB5Yb7se/Y2qiUife+B6m3gG+lFO8dAtZNrwfjUDP+xBDwUSQD
AWjoEzw6KoVwelwBZnopuG5C9CE3XtpoB1TwwSHs5HIYpu3Hgi0MwGQ3kyaeNKGwK25Q3l/bRgCV
WUfY19fa5tbXq5Y7T67sYOruw/MyO8TTb3xZQpEE1QliwJ5ADIcm9lOZ9WOqPGqX6cPkgZhFMepL
BMJC00g58PeeDtF1Q8r24DRARh8+TJP1f1VYGAsJU2II5lYYZRDanm5DtaQLcyfch7riEcTwAqIX
FD7DjMLMT2nKIe530Hop72zBa4iovrEeA7sdFRFgqzaHaHuI/HMOT9VmqYZTNpWNsz8JK/jYxvBB
SBJYQ0B/AP3EUX6a6Fg3ul7ohy4lIrLrInRN1V+2SzBNnYztDOgsiaQd4JqbW+tmwOHLHF2PTZOe
dNpXRQZdoAVBSZC3AJHjGtpfKbQBOIqqK2F1ttiEUD1BSCRRMeN6jxZdwVtLk44AjJ/X/1FRBJFK
YJgX0gLBULqAqa9DIP2GPADLrNuhHpr3kjte8KRBioMppmmvtU8wEBkQ2tP5c/SsegbX+sdw0uBU
waVpDFS0m36kP3dodhzFCaANQNga6jV6CCRHZlFOZWfT3DXvGw9e1K5pVyp2TnBO51Pa9TOIQ6dD
tdzafJpnGfe5H9sc6noyiqusXdJo5y2DksFHfSculBEHgDCxwUJRW/b8oB7X0QM8nwcJ3F7ji3K5
XSpRQrmGquqQtAxIHxTkgOeELylgVSjQ7TSB7igvZvjoFpQFtWp4R7uNkP1Bd+WUGQAY7ePyWmUR
MBbKTcA6xw7AA+zcRPUBG4SG2/Ju6kQNTIYePB6uGXVLOPO+TH1cVdYT6PJkqZ12GYPk+lut6pTd
DmjAYGRSZYAzhrZ2AFGet43jEA7SlwdmVQGTJaB3emQaNJ2h5aKb6j3QEp3P4okg2XTx6ApXnQBp
PkKgeH7F42hEJMQiAhQ5oFLI3ccrAgXS5aOl42906Q/GOPbsEP5IJ0tI3mJouXifFnQBIxxJH7rs
HLh9CXb6/DYOcPZJVKTQx4bqDprI0IZmgJKfOsVCh74FytLeWlbbQOPgeh49uDZvIRrlZVfjtYd2
jLkcgJKCiNPk3GXQAg5kcNAbkWM1xIFk7WmVKgH8i6/UHHcjFsNVUBEyScuXyZ2CEaE8LhBLTROz
VOCDs+cI7NANOaCLk7Qow8HzB8bpawL5vpljWno6DdvnT3wc1xSFBAVwA059mJmAmuDpiUuR5vXY
dvLt0NcIQCz3QCuekmE52C0DkMV2OR4nMNup1BQ+svCIbCPRHEyaQjuFpNfpJA4mTVqzWL8zDaGH
ENkCEYU3bTU0ndkufC7B69LRHjA1npUF75S4BTf6yZGe0j0SIDvENYBChxlV6BEcG1ONQp4WU6Pv
UUHAbhjwz9E1ESWHxOYpEM67YVTAOSTIMk9kLH0Fdga8CsJdEmg9ybfFiPro+if7+gzQ/0i6HKAh
cMIayqZHuAYTC0+FjRB4qzR5t/ULtIG7NeHTAaP2iJHefeqWGmBO4rqsGTsd23TJgWQJPAvYnkIp
A1MPWeJK4BfpGWFTXaBLm/Isc7u5HQEpXKSTKfE0JymBQPRb17a2zda+gPZBu7ZVv5CQIIdEZ1fK
c2SqMzphR8Wl/hzlS6GGiL5Oa4vb6bzM8kFDIdUPwmAdowIA/K5dhDR2VUVFA+5ZVQMHH5QRPAZd
VztK+Mgqp8BNBXT0xHuifd6flI/SHHNLwLV1NM1gHONAIgBHjihVXUCLEcSNoebq5QXtqkMiigpy
AB8NpEzQG2oUXkxcdsFiGBLooJljVqKRVdHHzgDL6BPRBgHrowkar9e6yOBviLcjyHdpVevTjWwH
2p5IFJWCrBvlYElbTgUd9ghs2GRJNdkOLLWa2qqo3lLXF5peiDlo1pwUAkVk2EOby0OQnw0F2hI6
HHNH21Ve9lYDn1VMktY2LvKgXJpEvctGZOMWpnI5udQwICDHddYCn9/e8FkPi7tBaD7EuRSXiIgL
F7rRiRvTAOefrcDOAWRuct9iXCQWq85/miVpO7XnYhrJe8ynOagLZse0eVNrXZRkXdRdhKq4QUhM
IYEBGkBY69rNoNvVOJHFzzAJMjVuSFowd66Smc3peFbqLnRLDCBlNPs60spDtjQ56rYMAVP7QSBb
zvkqZWlT17GVtfXv6rZVUR/DVM4hEIPfH7TWAkrKxJmyRkJJWOeVIH2S8h6D5i1jKShorsMBP3w2
jcoAG/G+llUp0NZrqJMaGGFBwuLYd5mTsA1SliQey2jQwGV6p66bWkcV9J95xuM8y8ZrPhug3mYz
plvDBroziC4n1k/DrveZu5JeQHNI8/xCGuhlJC0b/E0KRr1jGXddDN6Xfyh8U73LkHGrSeO0goYF
DVsM00jJSGp+qhr03pXgjvXYiDMxmmYlWQ4zHi2K/KaQE1sXzvSvl6IKaA2WG9ZqRrQCixX2Pm/6
a4JZc+pZlJ3aoQvQL2VTAuVJthtcr2EMY1RvZJO3gPYa8xHGNtJVlTcZMLd1veKpbvdqIXYzpzVg
gxrmFuDVaq4TVtRyA6NH3YmK5vyDn1y/BTScfmx1WW3LCVdLPOuCb/ICueuGCbLEVYbaLo6oy96O
06LuqqjmQA/39mZUxKwRCWgPk1i5iV0U0TMW+LLxoasfukKmb1DEDVSxgeqP2GZsiCVu8NVAitxs
mrmO1riz4aobWDg5hIJVN0/9nnYeaF1uR5WkUqe5emcGoucTwKX9fUdYgdeub4JPMmPzOQYSUz2o
wKVdRWnk91YDSF0xHIo300DLhAOCO+VdwC3073N3h4quOZskQ6edwAcLTfkhs2bDuJ98P50jWQ4n
yrpob0qaE2ilmOojHkdax8uiYGQkANv029i040MbRVNCDF7uuq5wBHBmA6TSsnRguXnVVDAS4ny/
apaxnPaiz9osRrgxFzOWEIhtMyXDSCu6hwZR1ez91PoNaXpyyis7xQXlt3yc71GfwrgGBvcZuj6s
rGyRibPJDnLFZ0fXTIb6osmZ/21uoIldIAA9WRf3MN1Tlok0GW/iqKfsDvCKiymp6i1McUF7E9nw
ZsJ1+abL51DClE3I3rb53L7zU2NJ3E79lKTYN0VcwP4gDyuRluB4U74kbFLjpSZdDr37ZSjuCtvA
AEyG7C1MVrdx0wz4jXZMnTTEq6T3KN0zU7O7TonprFiwH+LGsR4WTUOc9lGbzFmfnQkVORNXuNR3
PoLRhZVqm7aIedG1l2IU5QYCvRCJNovcBezyS6jeAPGPuX9LXN1sh37C26IZxJ2n6duxWIq3S2sX
tW0bNsdFa7OHGQSyzYPs+7XjaL4OXvM0hmmm+RSXGTQG82E4Ebpsti307nCcwZDRW10H/YFC0/im
8Kn7MCzD8tCDga8G6cg5A7i5RZApVu3UhmsLrbSYj/VwFvmufL8gV0MLDadQr/cLu8hnxCCXTRCR
UGFUBFm7FDvoD6ZJ09XFtoRpqLdQ8VPY/0D2GNV0Uwja/VY1aXupYcpqh+dKX1vroVPUFe16khBy
46K25qJmKOx9z8bLukv9jVeK3dNygOBA2nm4YLMF52np+Br6ov3p5OV4Ykbo/cWuV/U2FZat8lYA
7wbzWfpkiXx6lqa5f7MQlb9VELd/axcVbiDhZztwNnm+4ChAZSvMptIpPzNjhWkSrK5WaplhiAIB
Q7FZsshdlqXKL7PJNW0C9QLa+LFof2tCzzJohywwWKZZfwrlaxlnkXUwmbdoCzHbTmsqS7XDbsqS
oVnYazVkdJv3PvoYpQSYibOZs8XoZLYTtPRWsm+sUmclp4MMawT/d7SCRphu0rMxarJL3ePqIoJO
+G0V/B08k8VdMPi2s4Bgil4WF5MugJTjDTZ77Rryvo/SfkyqfETnUAD2bw0Zhnabw3wOS3SO5SlL
nVcbjWytYWBLNSs3dQwahNAHWSm9WBkXC7R3YkvT+sJFAHRP56iVIGuBxuDPWj2M1QZPHo8nNWvt
azqx6I2stYHGzORzt86hsXpVZGawa1/BENypNaUzq8jXHHiyNMXRVg5dt1zBnIvv8+0BeqCVbidX
uRKk5sbs0OFWwlcJloBcEm77dDgvq77oEtrj7GaUC4wROlSJMyBxUrwaMUDE0wAVd7jlJl+UhzgC
PRwOszMoq6HY3A1ByD0nE6qLG2jwp2SI56lFut8TCHboRLF8mLdtNdd+lQ8d7691lJUF1GVZpX0M
03EZzLtGTE/XhkItBbOPrHrjZmgbbUdB5yJBsiXobNTFVCfEt0ieywrC6Qpok2Xl6sXsCxisTeB/
W5f7EM1TV7yu5kjohYL4azTZFQzM2PJQuzeEQ+M8sEKF1SwKUZG47jsH/qCWrk16PBO7Zriv8rPD
UJ2Ibd1MS/J/xJ3ZctbIlravSB1KzTqVvsEDHsDYBZxkYKCUmsdUSrr6/xFm9wbX3xA7+qDroAjs
D0tK5bDWu553eZuWvkncet0eyNrBhZrc89tjZnxzU+YkShRm8+XCzaC6DkFkqxDhsBjEZZkNHfSC
9sM1ccyyvg8mZ7q1/HgJ07qQ3piEXukO6bpmwZPorOHrHBOauEO3Oue2lcI9ZrNyIE0J4ZTVptO4
CxQmCVXwbrW8NiQw09GaVyk76cQHWtvKl/wLm1AfBUfVVV3iZ71Y4mNZhyJUx85ZWt+/EdYc6Mci
amp5UfSR9zmb50/bprLHTHWfsrjzi4Q0oX4wJiyOMpLD2ebwsNkkguEB8me7rlanuh1cmN5ZDXHa
9d3WJeBfdpfUtV8/DE0VHIYhWBMd5R776zzVX6ZMbqewraqkzxZ505WcK6lYRtMfNg4b7z4elfsQ
klYOh3yO5M7CMmESVBLzFVSwfNv1zRgdxzDM3oxt0z7ofpyyo16o+l4GTZ2FiVUv8WXdFv3Bafrq
VPbSf2hKWxzjSbXXpfStG6dcPMqbwZy22WinZUxadHAciQlPwxhui+NUiR1yCB/seO7hakXQ3qIq
memyGwyw0mjsJe3LrEi9YJy7BDJAoiwik+nLMeDhjit05MMmsWRKZ6z6c2Gp+TCwKA3wQDnccspz
+OdBCWRbEF9wC/Idp05+0juLrZtOPRV5Jj7BtS2npRTxubXj+hR2YXFvFfaQznWgPthN/VgV6AMZ
idspdGTxsTXO1Ca+27YfXVsOV9px5ZLIYSmiNEebu5Kdw0Nntjx5+TKnkee4dwVpydVsRP6lVG74
qZSZ+FAK17yZReMe/K5vL901W5/asHLKfU9busQt7P4mkNIlbmVz3Ceh98UraxKxtan3U3txxud2
jqwcHDTPOaFqUpbLxm/yNh2HfIHzrTZ48z40hUjdin0kCay88G+qbnSelVLUox1wcCD6KlRRWvJz
0yYImBNq7fzLOtBOeCCFn6uBWKvMruqunf7qyNpUWnaua3/i4DUDlEpk5gtrKoPD1BXWRd77zmNQ
eOoktrnUSb5a3Z3vL8WzhiTieCDzPLVaOk3SSt99M/rRcN2tm6hgDghp3iyj7p5h+pc8Hb2BwDaf
q+XLNK2sFRYleZrufNf7CgnNN+Nino9NMbtXiLOwuyZfNoJ5xMRvuAhmeQJ1nq69lfwtsQhHpkMl
e8uH5a5Rgu1t9p+msao+ht28pCUC4qGyrd6+1SYUDxNZXnySEzFcEkxGVWdDUHXF7teY49IrVRDK
xYSewzZa7a2rjLAggnZ9ZoXd7o5DN1N36seOSZSClqvCK+dTBt/Rx3WZFiVBGsA/aeycyrXPHWJq
t5Hbh2bUTXnntMKMB7IKWbKlxUG7wfULnVXr2bKdovHuAu3KKClFn7ufK8REq0lnK1oKeaIxR7nY
N6VqgzZOybYXrwP8VfWo05AD118PSnBuVYlG4/fWQzOvsi6v10gi6UAfk4B199VMIdtNFsT/WJ8G
3fX5hywrvTY7GJZKOLN9u24zJPPSt8F0yojVmkuttFX/PfaQn/5RlWVeN0e/X0X5IG3HCudzZxX5
1ByG1bPs4r6grMx78Kx2zHWBvt2YZab4weN/qy34LsZxLJr1EHdq8T/4pLjqoV+YrZ+sLkA/mKoY
mcFyhFy6a2yANpmwzz5OJsw63MKvmSftJTijtm+st16Aa3/UnVGWSprIrJtFZisLE3BEsB1PT1oh
KERvJgLK5dYuYnv1Up2Nui/PW247vC2OPAjXZzfSzVwffHCLtbl2NY+3JXRwcZwxDdCja/ngTgCX
wTFAvszdK1vrHlr74OYTMQ65Q9afui7CoKAsjBqlX2U3jiJrAMGK2TFXwPJxirxzPoX1unYn5c2O
2+cQdIOujHfMmsXLq2NnjNfGaAdNG73ZCP2io7SqQCKEzjLudCK8PvaO4bq53nlwhvqpi3T1aG0t
EBWMvh0lnmbtwGWp+qvdlERZ1ETUUB7bYAR2mQenCZdkc/rpLWVkvX6vvVzFYEH3Pprphdvr/E1r
SzctnUDfFGJd62Pn1tPlNMf22YUjeCjixYSXPSFcmLhNt3qQWqZszsNkO+m0RJ2B1bPn8mu32bJk
a/VqmQSco/owudv6bswtsxAgWNWRCJQMURad75+HwJvqA1jM8mxtclm7RGSmF++iMi/9A22Nmi8D
nOAAvjSTGjSbBV9mD4VQR8KJYbzQCnbza2Ytu+JCRO006Vaq7ET1fpbWqdYUcR6108dNKm2vbY/e
ao8XYmzDj9VceQiWoXSyNkVQzOF+1nAdb2tIdNB829fTh3EzQ8bL6WSt0kbE/UyAJJxrDw4+vs3I
vOvE64nDb5ZOewvuhzI8hmUAw5mNLQUO7VNyi+bbrl7hk1Y9HqLGj/sktCZ1pprFiwmXzErcJeov
+t3NlGoEs+etmAfmhozfastueU5goUB0YMW87IMXyyg+Fro136xiDwrKosveWGzD4yeSS6PehkU9
7FGX6+QXRDDB1eCFfv7MFgl06s5e8a41rrxZaiv7mg2CkY/MtlxM1K9QRrYtX5Iut81jtPj63gyV
4hGAG6gfhHXLbhrWlLBKP34nkA/DQ1y05lIgWuQH42b5X7Bp0CV+OXoXjVcUaW8G/6GXWXuanMb+
EAyjSOJw2Q5qqDbqNuO2JlTF11tIGyc/OHqcKfVXDWWTOJ/j+TILhpZtvtmWMckkxGNk4kolZiAb
TrsmXJ2TQ4uTMLFdcJNDNmMSQKOhCpYnUxdKnbjZ2BMUNOt44+pOv8kcAb9u+1mHWWyquvdmCSfM
N1PDU9ZlEH7yBhVluEOUd9dbe8Q70q0DJ4a1rnkC3RhTMi37XB040AuDLDSb+61GAUi2oOuCYzkD
2R9cu86PW7/wb6Dcx8tssevuMLvd32ZUzdGR45KayV8/huwW8/UyNUN3qPo5ejf6w6S5nO/3JAQ5
KlDttDduJZ3rSFVl+Bxbcq2TQcj42rKU87xWeXm1WN1479ZjkYo8cj5TK9XNsRnDeE1zfyzQm/Fe
rQdt1mJMqiGa5FGrPKrYfwe3wvTgrP5pCoz/ZAG6LrcoVyXIuNfWa1J1tfiYx022JnUnhttWxqN9
DI2/khTEDrWuXtp+faxFod6X/jKYlHOTqI74/KDcoY/2cQvujGuQoV2nlbcRhDy2tkFkyayrj+5Y
tx+GqW0TWoyhPU4smyjOZqZ8NXzMLGNnxFaLlVpEHjeDpug7ort8ajJtXQ4Fi/ow5GV4N+mpvZr8
ngrgEJZv0AXCC0va0ROKcR4yDbLguXM297h49vhuHlbnshzbHRSdI7NHa3Z96ccNEk84jtHF6Kom
OGwxtpqkzuPl3PjOXL2DocoPA+IWpqPR89Le9fWR8EVcN2urTnVhxAcl1+VDLCeBu0LbADV+eayj
Sv4NFGUfPN+bHiPC/bPwpHhus7n8YPNP/MRaGDgKQR+oxEZwolZ+7uaJVRfpz23dTvedtlesFlNr
C9bBdh9nVklEI7z6zHkA+KmjEeo59K9R0aw3pneGvwrEjkO0kKj0WDlxNCrRPllR5T0UyvXq1EPV
v+y6RvhtUpiqdN0vq0b9H45lhx40PHNAlfV8oMhGbfsDGW1bd+8Gb2w9HwJb9ezyI100ekCmHiqO
EviyFnVPrQEEu73z1nXHWIxDBc85uK0N3XFpawXuewlTvE6PMl+M/8VvvLa8KNqonrxUeoM9WYCe
vmcGNq8yDj6FdQ2aU8QiD+zDPPViI2yM7BVWuwwGe7nU64KKmQRwbifPa0z0KWianR/qu7JaKvYx
n4rhgTivqVFJ1yDLjn3vZe18uZSE8cVpWSHkWDRwrJ5PnVt17Te7t9ZwPGCkrcLsOHZmLZVKtjwr
QbewoAmKG8zBnjJIVmSb3b+d3WgihcndJRiGpzYyci4OZvMj8j4KyflS3BZFO+r2MJogCsTR7lw9
9s+63GaxJvwULI6paT1CsmTrFDvDhYRyK+IUxXp/Ei/I7Lg6q2yZw/4vbWWb4ye5jHCxJTi/w2C5
tqaRhPm6WEdZBelix1E4n35fnvsVrqNqiMHBpnS4c1S70/cVcoBUFk22yppvddvtBY059zvSHtdv
BsrdY6g8PaTTbC+Wk6ocHHv8ww38Wnveb8BzA9Ap3MpUCSkK/VoczP2VynSWh1/LlxuomSfMv7qM
K2ac1VIX+0Ol1Pm1UurBQUeUSSmC+tS6adP06pI91aqtLRoHm4VyoRCmLttLtZPl6h1y+E484Dhb
qeJKtewwhBOIHb4Yuh4kx1IC4FEs/v6lti/H8nMVFyGeXkMNjRxwJTe8lf3Cp3Ll7sXgNauD8VRa
4eCeumiY3TFdIWsoDP/+bUKf/lLJ59FiQaMi4YjI9j3IuF9HcyK9Divdro8uOxL64zT0FOG3asvb
L5MdlWSB64Q7+Sl0mp0kqq1WULpegrrK1uNWB2LKTlhltXmE5xsYDnQTlzq9O29wF01uxRTjPVN1
fGvUACYXucOkIJqE3eKC+SRt/gaNKhgKCiUMxTSFBNupj0JH9XB3b/C3l/HJgEbKz78fhF9nFK83
oL8WpM9uDMRm8dqhJ8zmBWvQW+/nOmzhKF5AQEdFy1ymMLjM9j8BFDsg8e8K9/dLYrOwHZvAjCrl
a0TVLlpgu24J349aMENIYCcmFJQU4+MVndf6R2kstNQkqFxqnxfVLBvgLs/byRgzLNV0H+L3kQXZ
rxeBTYAuzO8QSPkUwR6IxLQ0ID0/Xhsce8NQLlXUQBXAG+yvIyuX/UWQ6u3bWbwWFGdtjhzuxCcn
3J7KAN3tT3SuF7v/ePgdlwGnEDSB/Cd7Cjg3Ui5BFSSNCiqZYPsBw5cGn8QtdTdvWI+9GoIuwgXu
xAXg/dDn/ZVdaXfxkw4uzLoestrybojWQ5egE338C6Uq+8JI7QWHMoT3/+oV1Ta8q9ugpnMq8oW5
82ZhE4tGRRPjv8Dv4o04iIxP3D70Si5tEtR2Ld649iDiAwlcLNJimTSOXDyb/VYkqpkHCpLZUs4s
hnkbzFoli+UXXnGKHaG9h6CaVg/hYhHa6HMXGyUkpJvMSLMURfUqDbfKbBsAMFOx4xBaCVpRIIrg
NMdhhuRUW8v23gStkz9pr8rIRb3JEekKyduuCQ6TMT7EuWPKNCMbvWCTnA59a+M+kHFj22dhhHJO
eAsjZR+7sq29x9Wfs9J6jDmIl/cLZMR0Y41TY72j9BLqrz6O5+FxC+esaSlOtUKNb+Nlq8qzzOHA
TxvlrLpN4rJ1HZWGqCl99CxqZNSvyqFKvhyYKmv/LdaTMShslRlFQZLR9H50gJj0sWTLGmnqlkqx
VZZnBBa0QfVNRY2LAyRdhBsN3s3mtjNTmhrZ2CnM4/YU2Mem8bouvNSxzFX1pvGXElyjmDOcUW+M
L7M8P0mK+9p/Jxsy78td28qiE3MlcBGh521XG6oxyk1MecULiFmUHAjZL002WgozTF7D5SCGkqGv
h7nLtf+htTTywCWTw1gyNcTZkNi6g0+LsWi7mEDvKicM+WN6+aKV5xXfozmVt5f529Hrnzfdxw62
2mBAX7oQi2WFYboWfqnDM1yKqKvEx2ENQQS7kfM4metzqHxe5EqXx7TwVexnd6vpTBfe46wnUjuF
pWs53WWp1zia7wIqpXmc9HG809vhgMW4fAozKa2N3LUaGSlr7dmyb9i1e+VfW64cwuqNyPtcVPdF
YUgrjxAZZsyO/wJEXGe/pXUmbnWOdqbWvD/YKNZDdGgmytrNBydDa+iJe6uYtDuL+j4dIIYZWSfS
OSdIikqx/xDuH7gr6ft4jwM9NfL0aadQVoNTocw+Ym41lfzRjmqyHpo63Ld8b56yKExjM7VMgA21
JjhP8VDzue7lURXFdoavL/aAgbNklFytUgKZqSEf4r2IzlOO/5eoln2cGy8uCN0sbQ28CquhIOd9
o1YQw2YOeQ6TlppIrGGf5pHytcUb9HSvn6ai0XnDeFlqa6m8bZ5YbqIi3G855013lEaYWVzB5Vv9
s7SWfYIFg7W/eTQuvobtbR+aeRZ8lCM26g33MNMflGf88TzD4Lr9M9YExdd8yJPgofQ9GbupZ2JQ
+aQLoZzs44/ZI7dxj73DwtofDgH0+2BoZs2Q/qABY3/bqSPHHf3yxrXzwXr4MdTWy8f/Ncgvn4Op
pkNJ6FBADFPRoNk/41Xq8uGcN+7KQ/fORsNq1HbyfvsBVDlr48R/eVHtRmhOnDytkCSX6CcrIbko
qYAFd3GtW0ZpduqKjzhdLLgrgHA5x0lprzsemNU+mEtKqG33JLvfR7ClCwxP2L88k3JyaFbsm01g
xAWpys4x2y+v9mV6UJ+vGJ+A/Jk//LDaH34JVsU8zQTiDoGEpwK+uLbU0tTjZuWUjqB4lLsP78tE
2vSquUsecv8pIh8QhohtQ5fZNU5qv/WXAbU2s/GXtnJbLzxatt+UxSUBebh058z2Hf61ydFt5jcv
iFU3Gt5vPgMmPYsga5g+COv1/vDDDBZ4N8Lo7T/Qmfc/vJl+OYxIY+/Lod78/f4bHWTKPOoqq7L8
1GRgaA+qd0XmXpTjGorp2n2ZK3kxxlN4/jHkKPADt7O8sFicAC0XL7q85JyfBfVr+5HIrYjmQ9db
E55we8wkF/cLhUZNnaLDBVKh3hPmv9BIYYu4AY/H+crXylUHuDJLgsVlvXLjsVraiwkTfl2nVexV
9ZzIMSOLAxPSfF6h2vMHQaNf3da95v8rTFzwybeNgGHrcT1VtzPKO2G9GQquLhT52lPQyAUkTq7b
PvepLgR79uaS78IhDarS0bGqOWLr42I1KBYk9hxVy0cYr4L9BuKuLcuLH8YbpCA1FCetKsjgL6s3
0hT5oisUw3F2v6+Zvo0qRn2kLC+3J1dFrZke4QeUCS4o3uyPvsTZyBDhn99Knoh2C6N/DDZ7x7gm
pBS+J5ZunzWQ/fsUf3GaRGNp+NdCO/vzTjltkUAumeB8vs8xjVh4ZzfU85iuQU1MN4Z8DeobFymG
TwTo9Ezq2dcj3oMXHH0TfgW6pxsAPucyk/3Gz9heTAqSPA6EsPe9kgQJhg7Ys66hTJt0qkC4/WtU
sH09TZ7JsStlZTSxVbqBRK25HUnkGWaKvfvg6dzdoWpH04iluS8qFCJkh7XiKT8awjNpXRmc2nS8
id1it3MAB7L9hKV0A2RpgP9VHhdZwGCdAtP51XgA8haBBx0FCvzJy2hRRSGIs5qXv1nexlNR3dyP
jdqX+5ijjQsm38tIFhNluVs3t3PwRLLtWoZvy00b62EgmCYh3SjkBJ/Yb5lflqEjy3ouPHt/BhA9
i83/B5BXUTXgwuCjrek+BfGqevFM35ygug2CvlupGDoo8dbfwCHFIpEQYrfyk7HCKYTXtxLh8IR3
w5TTezvriyyD5ltdtbwzIbFN/zWe87kHNpXgiRB84KJ1nFrONpZPm6cdr000pwNVlUmIlpgyDH1o
Dc0sr4vYSWe+SF0G/zcevuXw40le3mXfwfr4sF7uDozK70TnD+Q0pr7OrCP63xdvPtb7JyAHGDNZ
fOdGfWFbfIIC5/5B6WqfT8A47y6wvJIdSzkjWpS327SK7kgZcxd7uKv9Oz+m7A+U1A/3b43EAcGn
fTu1snRYVky7iXAGO7rXKsxMSw+rBpTRWzcZO5emb/ZVnlnbXgsacdTxh0dYNl0CXjK/PRun1i0O
j/3Oy+8UZPxyIX+IOdKQy3jZLxlbkxcbgHLRING/LV82LCiP/Sf3kdhtO1bV7wjuOASD5x3qrO5b
GjmB01oP+kXHmAx+x/kqd7I9jFPewjXCudpvS39fcFZbco6A7XxnNTtnN2QeqIftczKUm1Pmia9G
tKajKqodp30ZEBwz+6ZXRsHO4HqjsIpr5bhVGP3BIvAqoUeQY39gBqOCo9T8w4CjpoDgtOycB9W2
AXcdZtnCajAt22xvefsKolHavrrmvN/v/fe59C7//JTY7pdHnKEy/9If+bUjBYiwtcwYAvW/bI0F
TO8+/vA31e3vL/XKasRqssHguBZwP/8P9rT+J2eOicqekoho/jVH7JI+M2nfSc+7o6vlPuPjQO3i
lM4L3nBLsZp18mNz/P29/Coh+LbN/IkEilQQui7z3Pn1XuTsOhhdiuxh182CT7kv9ngcRTl0j1tL
6Pyncf7nBQHkEQ6CKHawYcSvHBilGmxR1bZ891JmzUpO/MvwO0z+Y2X//gHFbnD494vdnxCXi00v
KCdyBMa9VxdcqsLLmqkK3v3YMQxUFJNoBVXy/dPijRH8ZSe34a020EuHWjf7fv7dVGCNm8d59Ic7
+nWmc0ekUlHM4QWLiDL72kC4xrZlwtXt32Hb3xeVIa5jjS+aykN/yqM55xUgR66szNjlcCC0sNR+
I0jUvd7SuSezP/kwiz5HOYA1reRgLvk460OK25x2GG6fmhfnX/eyzf7+IV6/Rl6cZ7u27/IrFYSI
XktPnLv95CzWfKvGct+Ztu+BUDf6jX67WpH2aFb7O/vt/+96vs2L3P+ji9krG0u4EI04ka1vfxx7
S6agVeyWnbWFJKfB7H92PcxRIkJZZONmqXKO/7ouXGA60cx5wXGzGw0Ikve3EZYV66IZ+/3A+P0F
f91/0GdjGz2TFYhz30PRfKVnggos+UDp5YJuC0Ppp9QPQvdTQK+4Py7Bf16KV4cEHUQemX74+tlq
6dSrzoLs4iUUmX3UEeaRQ9eKH2bh/6ibw//UhOHnHgz/q5YP/3fdHP7Hfqn0D2HX/+8J/o92qf/+
FS8/94B4+Vc/mjmgMf4X4hH9TXeb9d5l+l/NHPhdQt5/MUdYCJ793VKH7v9Tt1SBi2j/NUP48pnD
/93QwaUFhMsPDCObVqe0sBL/SUOHV/5SwAtaBNDJdT84aL3jePuK/ekUm5C8ul7r5bYxLlZrQy02
aV0EhrQMzfw2sPz1qljmpjzadjl9nFpvfiy9cSFaipv+r59G7/5lO/+5c4J4vad+34/o/UeRxd6b
/+2VkJ/uxmvWroyVnm+dvhG3Wbk1NCMMW5CyZZ7I92fj6Y/h3Fl5MtTR1KeEEBQjkSNCj6Q+bL7G
02Tf8TMUaEVViUe23Uic18CX3wRqyPKHatD35l0/n0v7HQfhfgwS99n0L3p1xzlwHOH6dIvel2X0
nNuqx9kjTjlN4dr6WKQXURzyEAprCwOK82tpu2d6ba30eZzb6ataxlGkudX5B2Dolgi8VjaRNp3P
EALaQt2XGrYZxGY8sK/GT6Pqr1E4fbq+jFZwkw9qrs+/fw//fA0UueyQFxHsXX6/P/RPryFcLRCa
rhpvMUDHT20WCSfxSoep0TV6uTfLED90UlQffn/Z16cDICwbdshvAGIu8r/9tn66LLhl5nVj1tw2
0SZu0W/0LRYyFDGpnn5/pX0b/vmt7VeKKX/s0RAVgOjVPOsa4v8euvsWw5D3GQF/qGjTG61OUnbq
aPdIC6lrr1GbInCa+k+T5nUww1NiXKUTHIEjvVReX57jI6eog2cg7EsfyzxNPEt+iUh1RlQcjyAo
bbLavPqzqXqDHaRsw28wbOjB8eq9WQIotNQ1BXx5gcfrEW7ZcQ8qWtdvnTV3B9sCfE99TCDDBb+w
Z9N/OOTEP18UoQLbBocchSuqsb++KDvQfuP70roRWtafc9CNLBEWrZI8qpG4kq+MystnJCTcPltP
qk1ZOU8BYcK/p3Db2nRVWQgEUMzfchK0r7PfqfAPPUSJwF6/ZJf+DliFAfooTSCS/XqXwRDlNmqL
e0M31k7G0WGK1Xbeqw/xaZq1Jj3s7bdzvfqabh8qTAfRnEdn6M6V1+EQr/r6XUdXGtqeVSb7yxR1
e7mOlPY7v+8ecWpEB0n+mOq2KHIKiW5hElmMza3prBGUB+ojy0RcJDBn2FgdmsxdQPRX75wiu89w
aCxJpWntSh+u95NTW+4hoGNvIvLVYW/w9LYltomKN5Xyo4/Shh9WNNd+s1GAj1NjKzgK5nx+aUUD
eI6hMdpBGN86bMXypRtxw2iSV5LlegpPcuz1JV1OnPe9on/PWYaWyBO6XcvnmHITEG3TW590jZOr
60YgFSw9l6KPq6/53AWse7cuH/JYLmEyQy9cDXLQ6co4wJM48R3E+nKEmuhPQixiPlYE8lhGDNJ8
OjtKHuvRHeBy4zslqb0dEBmmC44ah9bFWFahS8Lqw1Lb6toZ4u7Bh4k867iwHNLXevscBe1wHO2l
2E5zGWUnC6zjMwUc8zcm3M5PsczSk67JnDk7LVPRsjiMOa7ZrKPT0EpF2y63vmj4KCmZN7QMNB6u
pKD5oQWZZzAXt/6yJd5UydSdrKYGGSyP2R68vzWu8A45sklFyzk04ZM7mXg8L264vAlA2CpJytFP
dZ3gB8Bu8VVJRf/Kj6Oxlh1fiwe28vaLs9bF5A7QtFp39u1UTrhawSP77YyBd5I4IXPMcIVTtQ82
XR0ui9V1dUoJhxLlirNj4XXhrjk0khaqSGcoDEf6IGR2OlSTkHeqtwO8beUaGnVYlyqe3gTj5DKj
jGzFaFLNWXii03Ih72aWTpClfdRBngmXNg6npsqHOAH7APo7LvDxqSXRyiFSJIoJdmeJnqpiOpKc
TBVW9XGURAUnv6GFZxptPjtm45T4ymo1WBWGuTUb7+ExUSLaLI/+tvQc5vbBbp0J+2eko1sfD4q8
atxwCv0ibZax39aLkZL1gF0iUyFi0jhv/SkexiY/rVVQrxf2ONZd6jsgaGkI0VCdB0pJtE8MPOcv
q6s3cSA0L2n+Wta2dQegb+HHm5rmr6Ku4/rSHeKpOpbIFO82PbnYu4A5xbUyagwb7B2Oms5ymLvm
gcPYvYKtccqT7riDYztV2XaMxLKBxBRrZ27qCAfn0WKpDHiDhb4a6NpVHTLpZvoQknd09HcciU8a
ejJt38Cc4gCCf8LdQFFd9ZfCzml2ngNypthnaSSdt7mkw7ws4bLM0MVU3UzhpS5SyQYKV2zWtS0r
7yQ6iYctVHHYHQVNVdpLlQuTHcvYU7Q74HOJiAHomD4ZKeRicrBjiHkaqkKMrei7rCPnVmz0YsmT
aKYV6vu1Mo6+DbqYltkNCveNrxuOpAzTPf8gBuN2T5RARfORYnajrnrKQstpNP6WX0NhTO+9wvE/
+4sEyY0Ekxc5GKf1cQy2nJtHr8KR7oKfpMBJx5wS4MfKGCKLIivmh9EPzHM3KNqPhiaTx4juT7iE
IsnP8auWInAzzOIW94PrvR0nX7wXE4x7YgLqzOlE6Ww5UnAo8osBEwlmrjAbnbvcCuOnxu73yVkU
/XgOq1GN98vqTVFq94Z3o0zDjbW4/sQ1J1j8BN7F7K7ZJYcD7TGX9pKCt3TuiwFf5zta/8Xe5eIV
Rt9My7QHn2pd7um4SBu+1tRcum23DTzdqacNa2K4P/x+64b9ifsCbbz1/Ian0D16caLKttzSuJxZ
Ol2Vlfnbhgopth1NVJDxPfZUZ2rUXS+8FdrO7ZTN64bB0De1pSBXc1v3GFVQq9zjisq7bxosppQn
YgMB09/j5KmpnwD34yt0iTxKKDKWzAv02c+mgUJPlqFY37nTYo/XGWFucd12ZMsPEafFeWxscdvH
Wf+R7iB0F0eAzJ2rNspifU37F6jJdQh77DXIIefOYVh389j6paxK/37RI2BxTyun8i8T1Nl4gWGn
/psiyr6H5H2lDuQBkcsvZ/h/7J3XktxGGqVfZV8ACnhzi/LV3rN5g2g2SXgPZCby6fdDU9JQnBlN
zF5uzJ0kqlnVVQDyN+d8Z8nGfQdi58Uwk3pfyy5lfujymFsGmd3n+O4vcEUU3tazB5vpbuW5HEeZ
HT0TZiBSuPcNt4k2Eic6uU1r9d9qHsjLObS4pHZ4LblGCg+J/x7Rv9hxyMj+whpm298kUTUJTlpH
mJTeffF5iDCyGwtl+llH02B9xVi9jEDmgNrj27T5q1RtrXZcSQ9+6vha5MZAMohYQYjpSi0BcnYB
cDIMxqNbI6s7arna7HFEjfrQVWXbwqxW7qUxIRnfZX1Ti4uUbXu2Cb2xzh6pRMavJgQFvPZBPoq4
hKiJUFmKsOcUWPqHCotZ/slqtROKWFOBLU/d5BgRfxkW1F2G1iE9G0knv2SpaQg2nKNfnnJmGHdq
NBJ9GGYkhLtcz1ykuT0Vzq0qK0IUar9brWKdMP0rl0QGtQGoKcedxNkGFCJs8tXTEtQ8O8ax2lnK
UcNWVFhCDxqhCm/VVWmwXRJk8JBKMWa9IN61Hots4FrjpIueudbr8baJ4I/vZ9ay7HjqDIudml9Z
4rMMj8tSBE8eXjK5ldA1XMy+FVKjPhkjPDEpV/Suyx2+TRqHRV3mDnjVy2DoMucWX2Tln1DU4HjI
lTLSq3IwOrmtRwwmMdXYPF1VVcL7H9ia7ccsLDPAC6Z5IieA+37x/SAH+ZIFP5C6/9Uk5f9jLua/
naTYVIHU3/9+lHJTVm9ZWzPf+xmK+fFDv09SIqYlqB8Dz3aAfDmwm/8xSTGd39Z5IlkB9FWoCPmj
3ycpTrD+yQchiTn1P6Yozm++5a34O97Z+nPhfzNF8by1YfypobTW0DdGAJHFO7Ccj3nNz63rwHFK
lInVn11cJ1vHrfZTJigV6ym887Ima1kGpwai/jHT3q4cWPk8oSEpvla04MAtFPZe3WyoUfLkgErE
GR7Zx1YXPGPz4nbym+EzkTHBq6f95pxZaXUxyYK5ssHFCpQgr8+2Ssq9X0ZiO4miuSxYprevDWLi
K7HMnT7Ui3UAxy82qUYzta+FHKJXwYw5POKc5Xae+sX/JKSaw9sFIcEWflJ2Wdjt5O4cAOHNJkq7
MH8Tk5F9mmHx1Md2aLl5kJuX/uWEFwgppsFSANuSWeaZimuZh468rjK4osE+5BTurttx5Ndl6DEE
m6BZCjc5TthHBrWrmZ8b9blh34LprLfZz3lwbYIa8b6t8YHHScXniWVrqSm4WXBGptzOQgTWxsoI
q3iXshqlprqDycyuqxk9DYQDrSPBPvMAKin25waWRBMCtdko/C8QRLJQ96619VA96k3pI0HDQ5d2
dsYqL8T6oouvOkFO7pV461k3b0Xa5uyLbTQSB/ysyXAd1NMaItQMtyZyphj5vhNL4Q40GFlzygxD
HCBB2A/UCHMeO6OJQd1q5B2aQG/vR93yFnRFuZPVXG2WFeCStyML9rAuLwcjdw6IuWqqimk+lI3o
kZY3LQBfUc2nEO1+MGflvq4b8nX8LL1ByoLHL6sU6vG03EIFceICscxx1FFyh4apfkkaY+rikqcp
h6XoqJL9J2R66Z2T9uOtzERwV+G4e6XdUNsUzsqZh6q643po94to8+dqVMktyS3LC3ZthNZynvEn
4oHFuZ4HZLeUyTOeDudIuolxA2ZeTSw9jWgvEBRfJn5SHQAD5vSrwVAuz10fUswiGX/qwYI8QCIp
LdggKM0RgfSOAsM4BGpD9I0+NYPt+3E0jfUOH+B0gowyMCYp02ena52LSAdMqazOk49wR8clDrsh
KdAADtV3S7o+OqlAeyomeKrZlXYLdYVV5i3MuOA0SO+x6IPtWMyuE7uOCi4xLKUp8Ty6ajCbzeJm
TlMbKTXLZ9eNMM0UC9/1jH7lDoZO8zyMqjmIJOi+SDt7sfpB0KiF4Zlvut4tlK6bZezCK42g/i7x
x+zcsOF9TC1Hf5odXdf7CPrPe9EO5oUBZgr7aO8EZ2Ta0R5Z7jcR9cnR8sx+l6kSyHwSFMRbhfMn
0y+ql6XU+Ysjp5xlfB+WL73RRFtZcoeBJsdHzm5tFwVy2uedfwElzt/UYV4disFZbjiHvbNUY4TM
Z8HlFfOzxo1VoBfTnkYD64Gpvm0Adq3GH4VQKMWtIyxY6kwncADkkzFuXaNfKILnbiMTma2fy4SS
oMqwzJkb8HvyjJMavcri2c8uPe7NZAxPuR4eis4IviqvBSGE79sEQSOdwNvYnS4eg6FwL2o8KJcm
+JfYL8ZkC1rlFLljcLUwc+DWmMcHXYXV1hvM9t2fMSt2Ure3ThLpL+t0D4q6USmaGNldYHVwcdsT
B+T3le0yH+mXrdZReoVOfX6dmKAg30VAQQeJy8+yNCJczNxwNd/w5+Tf1j5pM4r+0p4TuaNvURAW
ZucTc4786BiBHcZKyuXSVt0ag+VTs00T4UQURZl5bfXKYChhYS3FVNnelcVIrd5NFrlNs7KApecM
vaskZwic1Ugjj/SkChsdK06849J5EFMSfillTZc957PtIP8g9AlWyHLvGkl42YrGe5s9COuRnww+
AvqVlDSbjrpNrSbB5RtmY2xL17wKQDs+wnwYrwOKeWwgsyO3loOYJx7z7ERgiyD7bLHCS7YZGPHz
seQS9QAimOodpHxzb0l/OaVGQleXjekmLRJ0T2UXHabeVZS2ZB5FTBneESN531vD/Zp3vQ2KGbgS
mUw1Xq+o2PXU79zkRnklVRZeRU5ZXtLlEIJU6Hd0yizwzaqNXaWeWnN4UGgzNqE1YJVcm00Ud9k+
tyzvYOY6uuutoSWcwc7QLlIvH1Mju65KJkP4V5Pt0AzWCx5091Cknrnnfn8vdBPeQziVm6yvoJ8E
Fk+QbOjOsiiBfgyJV115LfMsb2zEVduY6RGX6erNq/3p4DLLuuPKrbeNGcnbfGmHr7RfBmK1zqoo
e9zwOfUT98w7XLa2BEPaeh1gIJqjGjKc4e0r8plOVoMrzGTItV1GM4dfA1EBK1F7mGY1b91ZTa/2
MDDKCklpEkH5eRqtLwUuo43meLwUsk7n2B9lduuGPaFmY1tuVZ3ZVO5q/G5hZ9rB2ZgfCojDO8Gs
jrFMWO7dsA23DjiQh1xY47VvBtMB8VPPu8iHG5FiptgVSA3T2LXrEJdbZpzkfDHkbrbxGvllMN3q
c6/kvE9RRHxFvWntFgynwOzDz1lYfRvKfDw5uOPoCcsSVC7/lHhBFLO3948in8yTWVTuVuQW3kpw
MJca9/d7hHKDZ2dmHCavMWIXR9EdmjnnbI8FAKup6FFkp91u7qvo6LjtuA8UlZeB0OTApkJc5DUB
dnGlun47WYaxJa9tInumpe8jGvCd3g+loVs95nNqbeYl849SMCrJvSvtyg47KVwfs4vsfWt5773Z
3c14j2DXNpAnCn3gEW3EC7Y54ncWxsdQeHJAsvglTByZZntN2MJdAJktGvuDlvUcAwqSWzNr7kNg
COei1SkjDUwGPYuK2M8bVixZdh51laInJzmwNoz7aFTyUPkzDLSlSElBqu+MsrldhjwjDw0YlW5x
9PvVQl7hbG2xM1eHcera7aS7ZovLLEQNNFuHRjiah3Dg3BiTYqwSGcHj5OLZ1UXSbiLP+tYnvrHz
8NDFBIbVsZ13HgdZyTSpceY7aVvRe463eBcw7kIsbZC7JhrWgwKXBBEHsfBma2NiJD+peoiORYPZ
OM11eK6n5Q583GeE/k8fDcL/eql/mVP9U1sEeJX+49/3Utff5P95Ba70l17qxw/93kuRFhB6KC2C
0LXgQmDO/LOXCqLfAt+0Icyx1UTK5bPc+WMr7ZHZygqbhipga+Wv1HZolh8ZnuZv5LjSlFlkbawG
6P8qx/OX/RIO7LVjY8297qcRdP2yVLWE3wvTTNsTBBMUoWWTejfOILtrrCvh9qeP5l/snFfh0E+d
28drsUQnBorgUjQw6xbpp6WjGNmWIc9rTgFm4WstFuu6mJ3oeeETuOx7He3+/vV+2Uqtr8du2wZP
DRgyYpj419cbDKIVutDk9WqoKcgRO46wQrHwnJTrnNi4+s7OUaGFBSe3H//+xX9Z7K4v7plIRaKQ
b28F0f/1xXvDHFWLZPikh2n6Wlc1tK0Kf/rlYml1T5JixJDQ/E+/8r/4iD0+LZadDLixMnDZ/PwR
T+NUDDIM6tNQW+q2rLLpK1xXRk5RPlCTmMt//YL09qs0j1eMiPX7FZrN0F/h7+ExlBlJexFQf2yX
bIrwQzvGZ5T//uvff6y/6hZcbiDT8UOEcCwa/jl+axktU6fJSrJsSdqJZz9h+Kx1Tw0XSpflHzgF
Cw96464iOeu+F17zzD4qoOZgh9SsqLvgflpsQhwHHqUg+rpsvLRUpD4tdvgfrgIEqXzif7noAw9m
N/e+y7fJzc685OdvpKkhXhf1NB/Zmqbuo1HbXnIxppWJWaHtSY/pU0ueofwtVYrxgGk79+Byb2CO
P4LE9f1zPsI/riEBvaVAI/048yuuJajrYJN1aF2DJa2zM9hc5oUfk/vahpgEucljRTPbI42DMeTM
7xdbh/vOo/KlRjCG3RyY7QVBIOremsinSVg6VrFGKuF9CYXTLXhbtBLsB3qG1Cxc1K3PU8LfIrgr
OXdMYbwUVRahTESpzSWX0EGy2RnRNLSxDavX+sZVqhhgkjdaqKvJjYR7R4amvGzI/QRo5rHHFQQM
s5lYHwQsV7lPlRjVrSEndRuVPVxFlfTd61zY3aseTOfk4xdgni5E9xrWjrg1GXOQo9RrHl8KQMyu
sAbvDWIelfxQsfSoRdK9Omtlb/SG9ehNROayi2GBEjHyPDVLpF59QAEz8bIWE5Mx8dT97A78pl3p
4smgt4Lm1+TJsw0miOVqKL23jw4i1ILPbXCtRyqk5Z6BbPQsUeS/+ewo7vOU5NbekZ6zX9qcNUik
2CLEIy6Q+x/Xalak7A0yJ2fFkZdq/FoVLYIb1+OXtRco0YdRAnWnFsSVThJsktcnVOh9PWGDj8J5
R2WRvWTwl57DjufpdmKKw3xncblOROO7b+0Ydq9ZCmYk7evoMlqGdR4McCkmQHCN5yrJrnIBFl4M
9H307F2rbueZndtW+EicN9zd3atS7PQ2P1YkguyBNAYJ6AAXKpiYw3/ld5XgHOIwbYfjx+fvqskD
uRe6QIcCaCKhkY2bHsL/9cf/A5WEEdxiFjw3dHY0+F3vsmASW5lG0Z5RORdwtt4ePpax7gh4NEku
oJGY3UaMEghzr8LoHmGNNcAkR5LIgKAKzeJ6guvI7pmBjq0eOr8xKaeTViViz4JyiRPKY+Ibq9wy
T9KaAsF8AqAZxSBLSOOwmHMhtz2I+uQeZoLHzAqUXBc3GWvjSxtt+is6DflVQDYUG1mMOr+Vi2HL
l5GPP2N90wh0DQDEY22WbWxg3AFYh1Icn67H5zw+dk6SrfGOCMubaMFQXW2AqasTpiF3D33IufYA
MW+EkMckWtTFlLYkMOOs2mRdQiOEY4+lFmtMDPjWp5GObdthro0n1E83hp9N95KVRBpPifA+TxhB
XK4vLEkbxpvqQoCmPtKIpDVdqt1CgGv1dTjM6Ve2E9a1D0nj3OSZf92ZTbSm07rLJfOzmi9cGeBv
NHjGQ9Pp6WtEEKLcAutL8y0Xd3R2E3zIW0BgkLrRBCXPToPvdGsZ7hN5HzSdQ//WWJAniwo157GX
Do9sK3C46CA9cUktpTd+zSz+ZS1x1T3HHNeynZBPyFgl4ZTWQ35AFtK9etYUPddLBqIqIPnLw50m
1L0m8vdZQf667lyre13GlZeA1/1NsUB7LjyfB2Zrl48FpKuXYsD6jhXagy1v4o/KEZqewi4CMxdF
CUAsGbaPPuQTnRfNFhW/m+4tpw69M/t3M3rRY2d9rgfD0CeN9Dg8ORBJHLmxulHtnQGv99m3HeeL
ToXn7yCAnf9B5xzGIjuh2XkMsqz/fyF0YjYOALiHZbDNhTx5zmyQ+wZnafMzqrOxmxs124o0UNcm
GOKvzE53sXtIgpXr/c7sbALD/QLYlP+/48QanjCl2ohWQpkPTMe6pN3rsM2r2E7L2QXdUxqXdZXP
fHQ1ow4Nl/3TEoTtMXeb8IZwcHNbcFcdaPKHkhVpMr7iraYW6SYvvHRYlG9KS/C14mkddkQIujws
cEEP10M4LifWYOE1aHSOBUiHAD0qnx1dVUSXXoKLOS59zUXTz1wpI3vULeaH9VKa0ybbpllrXROo
wbO0/xj6FxF/j6DnPfgTIXGj5KvZVAxEoAHNDB3jIMT3l3cu/yErGy5B5aTRpV8R0LpNbaRjFVzD
44IAsN4ILx3pNj0/vITxSkQLcHMUKxwm9QYZqbqFi8K95Mm+OgQL53g78MJOot03vRQ88D8egUE2
szjEO7Ne+tKssltitOh75066l4x5TTboHvu9gXHf18Zh/BtbzsDJbxMg/kZcpELz4a2bNi+v2KP1
LfvdCkI0FcNCi3L48bYsIoeqQ58VVBKJsS4xApDYF301DEfWFep2EtS+NfClncXsdTnb0vYblBxL
7aorDIxMvcwhal+l3XfZje0J3nVed/yuUmheshnyJbhH91WNnBY+dsAae27alxBZQlNgt02V65/n
EojvhnHQ8pAYrffqZxYP1mUwikvZDQqS/b+ktLosXFlVM+t4qFrDPHdzZnwHXRHh0JUIdXjPVDkf
4gNbSS6LsBo4yftosh4dYAIdrkuFeGYAQ0pfrvL1E4WUA/PbWzjW5y5E3lkPPKoekvUbLQog0nqu
VwkF3NRrbL10DZOtTViz3ogedleFXmI+W8YC6ofPidLyAeyLMT8IHxsZuZgyS7PwvirxHHNUdXBa
gXGl/YK0psyN1IJKSrWcHkiMYRpvUW5UJhyIHIt+uUmqOt9iToKv4cNIhbpHDRLYmXkuwVdds5cR
aFgzAqSgWG8V2I9zVejuiq+/v29DniylyIxPyojyswGMFH1QxtFDvMQxZf0PuzYw9tUsPX6P3meU
BmwMgSpgxjHZoGi/S0Me6c5AiLBlpsjjtAWRSimGv1iASbuorPsGcH0bU4aweGFZhgGYimTy6/I7
VltvH4o2OUa6Zek79QR9s3aTG54K35uh/25Uy02kXHniuqYwgLh6E02deePVi9gKs97441If1ewR
0QBG8kEBuNsXHKLbos9gPeL5cRlPXyl7bu74tjmXG1WdOfnqA5MkAxAbabhh7e8Ibr6aUVDHDh/V
jbl06VPHXuh1aG3nuhX1ql5LTQpI1R+qqMJvKcBsWfdUflC8AFN99/zEOzsOELQ1Uz4qQHc2wLaS
8GgU+pvX+3whLnwexFkedlGsMOvwlIpAdBuDE3iMl1msT5AMLRG0dEIkA0RzF3NvGyf8NH13NZYV
F2md8bTJfTaDGy0SvvtEVahnlpKgtI2g7P4PrfjadfylKwnpowK8KOxQGUH82vZr4PQRJ1537LyP
ol/g8o0Zv6r7v2/X/qn7CYkxZFBh4RXCxfWrlwiu/TQX7dQdqwbmKQLzwHrs2U/BOFJWe+GvIM7z
x+Pw71/3n1p/XheJtofxBZYTneJfuy5a8sopWtUdVVH5b5MBV6UeFSIqSTQa89i6We59P+NZ3Iu1
yv37V19Fub98uqjU6Yq5wXkTv+atLESzVhKc7hFoBQ0IUGn7MVyfusWHRm1KiWtn4jnQlqyVN7k7
PNw/3sL/Jnb/aWLnUVX99G39k5Hk9lvTjEsF5jj/qwLixw/+MbVzf6OQR63EEIUJDv/059QuNH8j
Hw6aDW48HzTVGgr5x9TO/o3/hJXE/EM48efUzmHWZwEDWG1SNL2rbuKP9NPbH5fOj4jX9Fv7+7//
7N74cYP+5RILXGzqAV5TNyAybpVh/DxWALE36rozF8YKa2DxbIH0gH0qyb1dtTg7SEog6us6H+q9
nPw+ipnSDCdKf8vcI8iXxSYDrxtt+nGqPNI2PN+IEVDO2yF679h73UjfJ5ltsSDa5WzLMKwx54QK
NY502OSNar8ir89wKI13gV462KVIA2zidZB+rzssVrTLcF54al9bPBsodbR+SmzDocEFdLwbIrMr
dihV+gdga6o5mkSYh9jozeANFaffUB62cH1b30GsxIKg5PmqEuK/m2Me6PybQWD6u4TucIVIOfhE
TkQxo9OI3MusrpKC5mKkL8QEASds9lJ7h2HVu2UeU10IJypu8jabroQcjYOVFBqcKMuAuJ2E2iGb
JIUhQC3JJqpMN4qtC0MUH7wiuhG2m11ixqLynKdw4GO2DHxu8bye0Y2fzjsIbe4RMywQDEJuYjd3
LSzrUX0L8sWHxKjrO1NXLbTdcECmjesM1GrZnFG8dFSTOtmUMgv2pM+bRNaE9VWDxhsiSOCz6iVl
VaPh9cwXuqzpcm7dTyOarQdrHJvwEA7o67bE5aUcKnj3D7BpnWdVlfaeEUt4qLu0gN6ok+QKHl++
XRwTyQaM+SvPE+N94FNB7PyPY289ALG9NDuXMzEQt8Qd0AhJtz+4nJruPK+A6/UoZak5v677+6eh
dtSNGPHeRpy/yEVBe30cyevhTI5UdWaslVA1F82dtx7ipWu/MDoA5LQe8Mt61Dfrob+sxz+OqPoo
qQjM1po2ZVkU98laLsxr4ZCsJUTqt4eSENZd7Urme7PZbpOPsiNaK5CCrIb9vFYlkZTvMDWNfftR
uGRrDcNFzsBtrWvGtcLRVeTsrNCT2xKXztZvvLuWq40ggegClC7YubVaYorxSRO0A3GBKipb6ylv
rawAf+I3nqm2rJlEhWqtwLBzoFZcqzKv6rorqsXoHIRjvy3W6m2wwJJXHxWd6LluPso8KCb2oUPq
HM90vdvioyCEq+whhuZsXtZ6UaQ5zOeD79YLlWSYVCrfj5ElqTE9S7tUnMWP+lP+qEYXwovmB5se
Rj54pNVSs3p9mVnPlsu1sDO9Ir+ArxjcTSFy+hflamo5JMSVs2+idRoF1nzh9QWkB2w7LxEjIpzl
THnEZsDSPxAn0BreJxUR83uS7epdqtDyoC8sTO1CFG6NQTyghXXlA+DEmbI/TQ0GHSUTgOIV8Pag
my2E8ibQSBwAlC2dH+mtGKGMbLnM0vSVxOG02hSZlfP9GG1NVSbbBdQJzNA0Y76o1hJbEtu1rYom
DHcUsiiGj8RBua9z28jpPSgjq/QZHeiIoW+10kQBXzPVjJuknHCINIBlTgWFOOKxzGTg89iUM05h
s3eQrdrTgOjGxtf2Y0vxv5P6P5zUDmYOtlH/frf2+E29jT8v1n7/iT9Eis5vsAfQUVsRoImAMu/P
I9oy/d/w0rH4wS73cXz/eUQ7Ptsz/KGYeSHosRaiYv19sWZ7v4VsMDiascCzoiIM/L84oi0cUH8t
Axn7e66NFZLp/6qLtH/1bk3I0fq2ZdLYA2oVhhtAEVneP2CtSIiRFhkWesS6Le8DGV6NzBA/+aLo
H7oW3IU5jOd5IYakDwPNwxqM6wJbJTmI1akI/8V4o5wG1ea3Zs9ML8GA5Hl2itI3AEhy57p5adeo
iyCWnOCsYUKIXG22T2OFcJ2dQKlbNOTlxLMp7HgAkEMiIEarGGUjQdoEn5aFu9c6NcGRdHIY+ieg
ghM3DE64yjpnkfJxzKEenHZBZrrjPqtcuztPbpoTO1JA3jJXl/TC0ikHB2udg3ZBjYRbhcWNbq0W
2YGbKA4tO1i8E+cJMdRAhvKgeEwWAxsLR3gpiJNrvfataBKypP0CsbO2R1T3O1yFpvA34Yjb5QFx
WtGRklC54wE8BEBl09HjZvaj7CIpLNSYEvPLuBdmUQhIDcUSbsO2ONZpy3y7ySemFhDqjgXk8Z1k
8/q6QKeNQyfNjvmYP6QVcQ1IpgvwWE17LGz5TL6ZcyhQh8YWYbVHDEKZpilOsxcCSpDBLyI/MQ66
whyI7WWeX8a0xidSjXSZCh1oIyL05qn/PqlEMrmSr9Bdxo3dR5tSOWCly2e8uGA5I6s4k3H0Jc3b
Yeck5fygw3nE62LUh5mP1HCA+XlBh38goG4I7eaAgPZe6PyZIu17W+XThR5bIG1leq2znmiWeXpt
6/Fci7Y5liT2ovNytkqTiDXy9L3oOtCkgHVuiSZq49IunztiV7bEEbXErIhviCj8q9rXya2MUEii
pcG3Ms+AP51kCyaqPLjCtWKlxY1NKQcRDflkijgKEb/ILkGSD1fhJO1dAOHkhP4VypXSXkwvnW30
CHMQuZXAvAvhPGQ8flbDsuy63jPu05VV3xTpt8RJ2hvPmB68KVfw5HAoseHN11jm/NiUaBfn3PRj
p10AQTTevJ9Czz3xXMj2w2BHe1hk7sbLjOggfPmt9coabiPgf9SVTBdTYHAb8iO/tEheGPkhgU9T
lgkEII3btnXqeGymZeNpgxQlU6DMN0Y0+rZ6tLwGdlFVPhtVctKaXUA9dkRaT8aLh8OL2FJVnLPe
gwrUufl3B/3Y51kHm8Ka4qKUbsmGqIeThCMOzDXBHRc+Q0uWMpDR0Ttr43uLShlJIK23F7e419Pt
UAi9bMh5Mo52ac73iyWYEFdu2d3S/tcNFG9ITV1o+3unzQkkCJJg3FiM3B6x/U2IzCydHvKitc/N
nA5sUR3gdVsuLMSPCafnXPXMARMhbgk5tVhPcFmkkaisOFRq+dp3PFR3aeAu53nKm6M9yUWiTOPS
UhtQzGuSDO+WxN9RTt/hv0rY6aQ07n01z9n3BYwZ95pkixfDPe3ktY0x43UEDy3s1QSj95aozYus
iWogjmGHfsywD2ww+M1Kyaa3IFICDs4bfEObjUuKwsYRIOI7vXbavbNDn8gYNGWFYof6k8LG+hzk
wNCrwnjjlnqxSZNgMVS2TJ0mUpZ695qQuXI7VCw/G4OImzEksMfu8ucaKjkA0c7Lr+xhETRFs3a2
FJHWLbPCJ6SOJVKdyIkuO7dqz1aEOj1wxKVA2HjvOpHxwFAqeLMZ3G7TMmLkU0cDYRtpxm2MKtXe
JW1DaHu1mETPLO2OpBMA+KCur/FUtUCb8mbPMHQ5DOtdi+zUv6u1wDPWM8s08PkwOha3iMExnCzj
UVpmhhVj1Q71oQ6xGfrNHeiW12ZuvaMLn+p9sMc7IhvRIIGGJ0AinD75Hwol0zR2tiNObkXwUzlb
Dus2q5u+J1TSO2C9xgWlesbED01UA7xpx/4Q5z0zRKRVFs+DcLnOkavdaMMUV0uOR7dZZtYWDeIo
gqy4tQL7Y4+ZHrKIvAWSR1mUFsUcw0A7sEoeeAZPV8wJg43G8gwpFlSiya7pNJVQvH1yCGJW6Pcz
cZBQl1pSMlZBGb9bdOyVOkDFjE4slZJNS2sZY2Ku35dVnGauc8J5Fax1Y0lV/qFii0J7fMQIEG2d
kL66d6toy/r3RFuJcN/ovqs+eGJL1u50hBLPHLt8I5eIFa27Oosale3nuVZno+y/ilJfVVMyo2LG
4qMl0H9Ios2NTWWCZJUvtjGXYi9XYZ5eJXrGKtbrcYOxu4XOF6Z0lQZec2IOC9YudcnzrvcJsWKT
2azyv6ycPtvQ2i68LqH1WBoIkY5c0JEW1iXXAPvjVT0oy/L77FfRXnX6M8OnNQ9i1RkWi5dc4VhN
6D8LHv2ERH0hBUBuTFLjbpPSTjbZKlWULsifbG33fTN9RaX3vYv6b+6UV/vKo2AQyn2pSWTb1OXI
Pivkr9KDO8QdUsrvA1iuDf5fBPI8RJEHoJsEUVXcRXbbncwPRWU58TEgtJzrBN+q4O7iKSVewqXl
wJichzxnGiBSNSPfCXmu+3n1xV5VnPWq55zdGsaoCIgejIxmz/StvoSDLXfQL92NcJYvI/z9WDCd
iWXEe5AE4exMhg3P7E/1bemM0HYbzQwkzoKZEDZZdrx9MZXFK7d9OV2tq5nHPvD4WWAFD8NMElel
sKFVUXo3Y4++9YBCvQaF/8BMkpioKr12GXsfWYGnzkZlRbfzxoQPOssz9ynySrlRnj+gGA53rk7I
Y+3HgBCGWUgk0qtaN/cFuNy0tb96jWq87cL3vApd2xth6elo0oEe8eWGn2U5mq8zKmGgTNONNh2j
2AmRiWPRTQ5jdV+w2SFajidrNwlUissGYmm0ks3AOXVmfQ8c1buXGMjMDU9NgxLDxpXvuWP1fRwA
pKw3asp3ysQVXEIw+IeuszxumcafYMONkcYIaXPML6nzANyeWKPJvIQWVHwakQ19adL+XMks0dui
zfBCp85XlnlEliG7ekfYjkWExjUqoQHO6tR9qMjzMmOao7xFvZur3rz7UJ6vGvRkVaPTYFeHqPFv
celcJG0wBewO7FYdSdUruJx9EXxN0gAVAZBUFgxe/uJ1cIct6G9brBnVzstBUXcAS8mX6HFAt5PT
3g+OO+SE1ZnjtSrtkM1IAlkkmLoZSegQEm0j1IiGf1XzpxZUyWRV+Vur3h8a2XiYBt84FF6R1Ic+
qPIXnmblC0fc/KnC8/ZQFlNyNIsgP5mepOJNev/cN8Io4twgWQrGlqyeUzsvlgtgwXUc6Ww4RwZG
dTpSWWLCq6KzvXodslpZZazcpmNrwWwIhN5wN2k1vZihBvPcSXEMx5bZRVFMN26aDU+t4w0l919b
gHxkllHWHq061ZV+joaJHSvtwyixSPCE3dAnEcKro87xmdZ1i9jlBffDBaw2bOZMHfwnmYTa/wRs
GneJCBUnKxSriBtxwIOyDL5Kd27p+tewmf8ve2fS5LaxZeH/0nu8QCbmRW8IglOxBlaVSiptECWV
hBlIzMOv7w+Uum3Zbjter9uOkBXWQBIEMm/ee8534lesxjQYK6d/ypcSoQp2He02L6fkNSyscteE
LkGRxTLlR7wmDI7dNCIGycw0d9OuRho9nMLLwG89TAXLa1N4T9AWCHAp6/5LuVpytNhJd3a3RDcE
L6G1u/p3umIongWe8w1aEbkfV6MP2Qz1bi46Ul6iOveVtuTtxmqUtRtXqxAD8abZWktIbvWQZMGQ
iv5clKA9THK+DuhrogeJimN+dJ20qe4Ba03W1osmvbYzH5qHpFgoVOzNrUuAlpRYSyk3E7cn58Sp
R/Op6iI7Y5Dbz5XrEHmUenHhbcZ0HogcnEyNCRjpv1i4CJQ02ph1dHKxVFSYtw5dbFsfpYtyeLuM
BN0caAcq8YWmdLjVtTSMzskA7m/DLdykgXSjcYsTlnEUCQPwTWLyos9Dp6lDT8/ocao7zgKi1vYL
gZfboZu1E8E+6khAPFaezkjOKrUS8tN753vRVObXH3FUDSCSdD8V6rnNgHW/CrHSCExvvO14HnGq
Lou1tYkN+Va5KjrYfUEJLrpY8+ukcV5oDulBYrM6B/Rms10r2+VNp7C+GZG5bXLCTCpH6fuKv/a0
yLq7KJWoT/FkFo/jKKzTopLRl4WpthY6pNVDUEAAyfDAXFOvdKzve8Dtwm+atLozSRvd4nc0P7RU
kUE3TZ6/lCINIvY6inOcNJNsuqDPnaOmymFbcXB/7KLE2zWZLt8sczIPRdaoTZjhb8krpOQOzeN9
EhnkHVarmiEp7DXGJh6/5B4mNNwu5JvGHvFdSPt5J4zxydVSUs6HWuQ1pRRBwBlHWkbYDHgD7hvS
x7zJCuo543zDTalvMAXFwQj6PvBytnGYuNnnlpp+U3lOcdCS0ECFz05SjnaJ0TzvWl/TtRnVPFZ+
cgfwJniOdn/N6yJi7dBjOb6dsr70ragEkAF6KA/yOY6/EW5k3oYhZHPQwITeVhrPbsvC36vUn3MC
kJcGeWGTdQObzjhf4k737oYpyghYT+xDZidWIHPEM3pb0VjTxYPrggNuW1SwDNnx8zhlittnze9T
onbvMq2G2lzoWSDy0CT60DNeMcARRjau4q8CUeOrptpXXFnZJh7cvYlwkXBONbzDNW4PEGeWI3kJ
OdePHiGSIZKVppIu4UwDd0Pz3t7aS47Iz4iDgW9rw5j4E3LgG5DxW5hE72Waf2pTMlhySeM4AF2B
YmsyjIABj9zkqCFPadLCC8KCtyki3fapmYXuayVDxWBVGfSROdVnzDMld0vr7AUMAl82ZnLOSeZ7
oP9AuHNv4vMMBqUPd21HvY1ukgjltf0zua06enWdBwtSikOUuvq3seSIlnbpcCjMDiisVkvMGA4d
AdV87eKpO2EFh+OH9OdEX2tLsIJCtmSjZJBadpJOMVyueWlRUn/hvEYpNpeEQ5lLWhzLXpFzEQ3t
/JEJDznvw3hrgCR4oZR6TjTY7k7TOTexjY6pnhYKxyo+huNSYyPttYZcwv6zJ+rbEebEJk7lC1xd
wEiDiXINBpCP0tH9GE90040VcIzpavBxblnPgDHRaC2ZJEUpPida+UqCV3uY2/ipscV32HvUfyTr
ApaBBxJXEr2myI/GUJrvLRaprR41xlZpxcvkuMZ3pUgP3EVgJzG9YT/zESH3IBXt4tGdO/KkqihF
C6nc8POg9xlinmFoaFDM42ONyazCMROGtJ2IMNhZrTnTaS8KwRlnwtGCEPWxZMECPmRYlc3HC51+
pU53Gk9CEdh61pyA4m9GQoImjjrhlq9KObfgEtT9APQGvSs9anQ6WSI2xFzkZTDADW6DXo/VHQN5
98hP+KWsdL8D2H8004rFw02QeCo9O80Wm6swxq9hpvp6n4EWCFBB4IR1UKVY+XSC60uisC5eGrYk
Pxd4THu59gJVGfmz10PZEfYqoyNdKkywa0mLShhMB0sCWctoC9OqPzhD/Tlyl9PEDe+jQtBJ89Vu
wWlT6+TMX3BsnZTAW/1bBh4Rf9MGG03rl5T62JImSZhTfW6i4eKl6LMKwDM9YVeBN5WX2sQaQ2PG
IfAZv6HzPwl5zlJo96M0PybCbG+6UFNbtDsAqXOj3Me6ioKkKgTDew5njdW3aPUjnc4Fma96Zr3/
lqIHtCVBKDp/ziKS/yR5DcQmIEiB//MltAbxNLpWtrUnzIs+DuPxm9U6wxNrHz4g2yI5Ta9hydQ0
oyB5+yIkaYQANY0+C6juoNEBYXt2eQutCLjCYhB+KAFW94ETiTXwWo+zU83+KBC77LJkVm+tIJLW
ck2jYE6xLF8xSIWTL+ZMe1vjSe4dPdcOKRtegz3WmQ4uxNizwxjMZw6dxlvU0qcGrWFgEDH5hTqL
RytSkL9S4d5XIwF/Sxf3X7XE/h5dQ/68WGtPNW3oyzIRrm4lgKP934L+pIzN5a6Z3Aqh7m9Bf15n
qNWJae/WwbEDw4cMQiWTEgYcs1x8qzLmvBBqd5DxLaagbAaHJBye58j6QIVg/Yj+Q9PUHXgOZkhq
LZllnvsyujYrfFzKp0jPlU/W8b0r2vCtmEqUckXoMlFbAwHzVatzM0qKmvM1FbDuBhK/Ta+bdtdo
wCZN7P5klqw/G7tjVLz/U0pgRijRpuRwQ3k3VgoGKPSql0aZ9Q2BD4A64go2HUpXenyzSkPg16lA
682o6m5MLJ0YIMDKWxdE7Mc+6/L/JVfQWa2vvq5G/Hp1meCaU2CI2LAICEFvSMXEYA70dcfgrOnW
SohV5vV3gYNZn3YH5cZIpn6XOhhp+eATQzU9Wb3qaD7pmbIRD6FlVFLzXnKk++9WjIl2W0ZhNCEK
m+fHORsmsop40ILlGkHotBy8J8kWTQn6+xxCRgSQZSnrF6Z+J0Vuy9ZS/biPkrC+ECYtP6Zg3act
YVGMPxtLPLTkhzDv+y2pkLWseshxrn/8kVYIQrYno8Bzb5tZ6z6iHdfv9GKc91LB7+Hw2hqX1nKd
x7/MMexad2AQadAMRbzFU1qVLKubwnJx5LltjBv/T3GGRuNF6R0dfqTEf4ozbFRBcnfXROl2ytqH
JWrNdGPPSgarjP1ZX5zolJoslWUez9/zNeqQPDcKtcXucF7QYLqLPWJTyWRLyFmzrWo3auy6ESE4
bPZjteWwkxCM0qZ7paFmRExY3DSg2Y7DqHcBtJXsrASCEyp7oZ+rpRo/kCPSTayyyL5ibTR9uzGv
GbPaRWW1urPm0T0UcCUCiFtqP7ZAHAwFag19wdjdXsMT6d4S/gye/lmnvjs3VT3uenDfB9qZDl0a
LX6cY7QJ1xjFiVmGH6m2uO0776s2CBGwOOFEjy1SUNZMRW/g0TBSGQdJbRyrWLgPEDSQnJMVdLI1
Zxk3cALgF3Dq6KkYffrNzamFQHaLUSQ7Q938UrqTCAYgM7vUnd8imFq+NBFOhW5KW1GEBb2yZn6B
oRDunIY012sUo+aa7j7Gx+APv+UxVlkJ/dGDoRcbk9jaQnc2nVVRy+pL85rk5uxzVFgOczPZCHNF
2z+4TkUfWHh5vv1dTOMcs9kQOlBl9LOG7Kw59Xa0GN/QY/2Z1ygyF+8TGncrW/j/enhpjWm+Hwm/
2Mghe/Fa+cmIWKwZ+gaJaSwr0u/NKxGSehEDj5FROiJ3Yh1RR1c7KTLzMJoIDaMUt4fiqGBaiB16
OBNRtNzjWTcYjdcfgQKmD0hBDqFGBk1dd/thMYfP/5MAiWJO3+kLFfL0Swxk4aX1ZezrS1/JfEad
77K1i/UgGOfavWsQ+QlWJz7WpS7PBAq9m5rT3xKS2wAJmkwIPAvgKtMzP3UjrMWomM6DUtOxyX8C
ZP9/bP0PY2sh9TXD7X8fW0NvbqJftWU//8zPwTUCMkbMnOqcHwAdA/Hi+K3t/vM/NNf6F8E9ptSB
TBurVoxf+m+6DrPyn4NqQ/8XQTQ0xIDqICpz5b8zp3b1P6oVPWyp/As2WeC0wrb4q5SMNizsNxJQ
6PpHr2MWT6BzGIPYjv6J+v6JVsCh1Pv6k1uITzPH713vzDvyxE8dav9g4YRyNMZiPra5t7Ab09fy
eszRzawzVdRqskcGr/k+4wXcVrHjbiu31Uk2ztVn9Jv6oybRvCzrsmuQluYDviHlizNW0EfOIx0Y
94ECY0tSSXFTjhz74YliUyLzIWg1KbfzaDYnvWsQchb3cyuJjetMBmk5N33rLBe6rta2ckaijuax
f5aJxwlonkIwfnS/TE1cxsWwsHJHH5HUsCqAttk7RR7fdnoiblJw8r6ul8mDsNsmsAgSecCXEhD0
/dJP9GsNYJZzbVuHwhneKnQzm8EYRqCiavqSlF50w0SPYFwKxA1Z0PaeFhsh6mbj7EcoZ/7IoSPI
DeOd8DUDbgIakyRj+MeZ400OMx3mjlgxLwPSluC3AaCQ7JeujMCL0DKKnfKxqNtdl8/A0LT7cOZk
2mv1dFAGfJHJqcSjp2T+qYP7+tEa0l3hjZdFdMVjRhLmOcnx/mxSF1yAz0z2tlFGNNI1GnS8WnX2
qV+q5JIZsXk0WoIZiZefYB5GQ/NUG3AMED5YN2Y2sylphdUcIoSGZ1ijyV1T5eMnsELtO01172Uq
jAwve9XTjWJgeY4HDyIdwJQj/F/34ozEQ5YErEScxQfr0BmY1pwkdTh9EcnxUmaldWNhNWTil8P0
Kxe2jEXkVUbKvaJ+pv7dAigTXDxP9oLTKtmJrVTlqaHpTgVU6eUJTGy/5oOQZ0bgSTbSkUKhfqcT
TXwzkwa6k6OTfnbkgPFvCqMysCSWvysllGxcooaKpHoSGZ4Aw0a1a45YUSKccZ+VCpFJ0btIiCnP
FkFamjYFnW5MD+ywyV2PEglfB80CKHxYjWAUNAfQpkjCrWSYaT+7kJF1I3+Zk1n/0vSOcdQgkrKt
tx1XtSGrrolxGnIBNX+Ah8GepuviGadmeZrWPElmaHO/1XGOPkjUFy8WZ7DsYGE1BGxD5Mujg9gT
DTuZUI+Z3Vc3bWVxdDdmvgfl5vyFopviOsibpES3wG4+dQXGQZ6/fUIL39lMdDEQ3SX0LR30cy+U
PckdCLf2Ha7qsCfvSX0jHho7JCFg99d3lhIJ7+6YDK5uCyQ5F3hY+MCsxrJ9XHDuxZy4B02tK77n
RWzCoyr75zY1GZ+Q0mnjGOODg5Ol6O2t7oND5/c7KLlUHq2BRWTrMtpnjNMO+3Q008/XOy1FDACY
kNF0zzxMWjeED3uBS57i/ahglW+op3um9nX+QrtSfhwZ7TJgLUzn0liReawyzJliovRrGuZLMupJ
byVZkFWvN8uTVix8azIc1Q7OUPdOfGlyV8JP4ZCDXLZGAPsYgqZ6HGuNXBjuSJQunhV+9iSdw9Eq
CC8n24q/aHB5RWfGmpJH8ZprUw/7xU6rpzrC3FLlq4d6/bZofldPSUQz2W+zsOyojQbXr1Ku3OyY
1lnUrRlubJc89y2hYcmmH+fId/KJu37hh8R1XwlcnJGVVInPbOyuLeO7oZ4fkFE+DzVW3cGqPpeQ
KqMCtRu1vez6e32MHmJEqZu8iw9F2ny3Ru/GMyrOSIiGS+k8Tq2xM4Z4j5z1JWpae2vpk3u24V9t
VAh4rdWYVs2VjxqleuzYx/qNNKp+LxJhP5oqpRmb4pIaWMMz4cJzdxRKWgcALvSLu2QCqDSl2zas
TkbphA8C2tu9mCTwwiqaU7xFdrwnqSrduLiKA2j2zBYJ4T0MA8fODtNyvNWASZagrYZafmPMgusp
TtRNuvRtUEoaPoa0vjaiO5SudSEHOfcz4EL36HbDVy2Sn1rNJSsbO9NSQu2FAtZtirkcAq0wZqxt
hGZuoGMOvrLt6qlHoAYMLF3eEa34uJ9LGl4rZbNDm5L2CvdutjfSDpaLtfAFJ7bYTTWKmZTE6XNm
iw/2TNvR8epjNs3FOhg1DiOL8FZ3exVMZRZudK8/qWhRO40mQw2mmoZnpZ/h3Dunhht/n6K02OLQ
etVFQcJ8QZSRmL8bs3pUJBB+S6STHKB86p8dW6u2IsueO9GmbzNoLUKMsKskRg2ttedAA/qxOwEo
NmvCTxfWA2PIaVEuBopXlzPLgq3HC5/qAs8mgTiBXjLpn+JmVAEBw0nn01Ncx9RL0wfYTcpzJWzk
C2N24bZqAt0OBQ3S2QxAPJUVgiQtPWRlprZmq9E3FlJ9ay2ZETwsafNS4htKvfV5Re/UJRU1FcMn
PUTVpVfs9p6srT3Wnq+6qb/WsbHX5zqkh6bmjWHQ/8Ock/mU6tptY1ofQrLg/TViDtxYGX2CMEw7
i2D1Dg/LeWROE1AkuO9gM4ZHx0rEh2yu1xrCQXjQmvZ8GrtwRIgr6d7TTU0/pE6fwc0xi28tnLBv
XdMgdG5oEJURBK1q0IYde/q4y1r+bMSoAkCOfueEaXWBDg34La6prEjJ22CFc+/UoMbPSAPyz6MU
xt1qqfMtKqwNLbJlm/MUsZJ3Se/4cYmmAHqW63HgTKPzACZXnFoZimkTt4t9h/6832E9g6/V4YHt
7Em7t9EC+vTIJ4QnqBP9sEEtM2Rpf3asBtkR4CoOn7WlwOQsI9vg1Fd3FV6JkwlFN0BksuKi6/DF
qxPcxqDQ0gDJVgly0Su1O/I8rSOVQkY7vKqDZAL0DX2vwtzZTN/LQsp7UUTdh7FJxgMw+vqjXdPX
y1kLt9Hi0XR2xnarmQgrdGc5ZgVVWDEM2kmvWMCUkPWhCpHJKUZQfhqS10YHC0VTndf72cy/OC2w
vbYJx/vM1vTbJiybHdmNzb6GVeT3RPzRymlupyrdmZq2j2Rk+7m7vKZNUylG2kMOxJnZxCJA4yVx
m+8K/GY+EBhzv1TLLbgFhDcVFiZa2ysxuR0elowaLxuqlp1rcMlxrfOnOm3Hg2tk2qvReXeiVO23
0WEyV9tzt/OUHe16UtcwUNQISwCSb+Em8ogTYI2yS39kB63uSwfJg1pxYa0+Wi+GmvAMTpxIjeVp
tg0H9oMU+N/ddD+XYm+PSUs3GH/TUEXf6A7tjY4tDxFqzggk7YOJALdTgqTD72G7oUsNz0lUP5oo
AYg0c9PjvBAqH6Zu7HWrTD0TgW0sj17G6ipunF6zkyFIiawXap9BTINjaKccumXfjshJMAcMKOQ0
AutfoqhG/Zl5Or0C3xnzeTpO1L/L2aJUYWgQFZkV4JQatpOrJLPnHllcvmHf7qttYaNd3bTREM9f
48wdB3Njo/aTh3UUPBXmRYNdtytKr/cjsx+fQqIOAjEv7V2U0sRhqGPeEhv7qV4M2mTKfkxQsvvp
0nWPsVdKendWel87yvrCeGr2U1kuX0QrutuxQNafiOFbE80yGC053LrDYGwd1zFPJqw5Vj98ed6Y
y/PIyO4xolTBo94bW1L7PpsuAtYaR/Hb2EUzNs0GvCEU+VNBw5Yuk05iMmwD5HPI4kI6gmyVKico
wUz2On5wD2bUxsrMm8Wg0M7z9N2R47Bhftnc2SLzcyaw6HDabdgl3olEVdwZmHEo+qO56b7o5ti9
O5mFpXYsW+p4mrYGk7ljk3pP+tDTC62pZbRtxigfaWLothQJWPxNMmMvYCGWjznw/ds2Lr5yAI0Q
Rci6p3HcLdbNXIYVsq34a10U7PpAKN6dAYsGzPuu2/VlMuwaoTevlC92QJdveiTRZPGpgR6NJIUq
lNKfo0sKWEw3vXrrzAtPWl+OLzb52Te1Msrzkg9o+2gqQ3MrkdsAXDPiL2XdMtMJ02TawYFmKyD7
FoQ8R0Oam2Puue9upLNwDJElHoGMuR+7xoEWYhTllwWNMCLb0FjH6qWzctr1sXwuKfoDrAAu2pGu
2rUsjFgclmMyhyVaZw5ZWISzuyRClCs6HMZ27RAxbeHK8BuylJnu8OL3kCKm+7QioxbVqdc9GxLe
RBh0VV2S9rPqBzpkmYiBaU8xymdC2dTt8D1ui+LgGF1yaGroFmSYfssm6PDtHELZNtpz1gAGU1Hj
PhJTPjxEcacejRRPRDaikFxSU9tYEMcC/BfMrjwXtn+cfODgB6/RAx2qpYV7zO1VPPf/tsKyS7r5
H7o+BiObvwWBfXxrY4qFrip/cSz8+GM/Gz/49P4FtQsBmEXqMQoavAc/Gz8Qgv7lGLaB0VDSf/lv
P6EHURk14EpWsgm+M3gLP3tApvUv6LxYCfEfYgUUvLt/w6ywtnh+cxPCqkIfgqeRkEGcCivV+dcW
ENtazWmgR0Y6sAj4ZTL1F7jDnQ1es24//64d9hfmxV+9udcXg97sIRYjt5ePu9omfocBi6xptf91
5oXccPVampV8nmkRvWQJ6inmpbp6xXJgvnlD2hz+Dy9tEIi3QrlsLuqvL51omZg6VCWXxZt4aWJF
CeKaCW4NnN4WzwZNbrYdvYF50IYYC388PeSy/bVt81c61/rJHQnZlJXcRf4r/vjy0kii0sNYdckB
cKLv1MjSRsraL+qUVOvLTaSO/EMOoOQe+cN3y4tyq5io0GzhXF0qv7vcpSrDPoKueIFPIZ9LqCpH
iXKfDHk8Ai9XFoeZGLw4IbRNu8ew3b3bip5CDtnT8Gu7SvYKK+R0aCFlhsHCjvEGoIvxLxNWXdwM
KkTQldB/yjdAUQqGmDgpjH/wVP/qJP9x7ahokMFKS+iG+QeYmzu6Rj+RGnIRPbOxrM+JhsipGXZu
O4nnHBjozbQCZP7+hvm1N/rzVT0eD8flweC/v94wFJBOOlmNuHDeEM+ochJ0fWX8XU8nhmsryc0y
lbhDt8sWcPX3//3r//nBdAzhon+gLcx988dnZfC8MquzSVzsK1BqfWAY7wNzGmrxDyGr4i9uFHDv
PFnuGnZI++/XzxrOTlfqei8uZuLBymKGm+1AhdLvIBmkfZ8y03wjpWB9OnUoKMoZeVi01Jke0oy+
zr//wQ3dZLUU0An/dNdKU6u8Wg/1S9/VPCQmzOrqzIRVX/OTMu//8JA4LHs8l/zrWH+MYRMq1RPN
GOQFEAi5P3MMG+hKxboy0hD80wEdWhoIJOBQpMIcuSsGb0JskQptRKi1VDeaDYMoQoJPOIwu3XOX
DV5wJavF8UDvFgQ7TxnDzmk8eRgM893fX7IrVuDXVdxxGB0wW2Cr8Lhjf/0C0zwKexez0IWWJ3i5
xQHxcr1vrr28pik0Djoj697MBbwSX8CGgmFrZ68+qCt7LclMoDXLuKC5EaHevl85an//Pv9iFVzd
esxAiPU1Lf0Pb1Nj9jtA6RUXa3G4INfLLBQwBKEDeQJM80939rqD/rIEYmrlrmbPhUOBJfCPr1h0
kUz1bG4vI2SeG6srrLcQqR0/EF2OPIBGbWPYdDbDJIQOgSuV7g1cae8p6TPoHEY5d+9GRQcWRyuV
usZDkBBZywSOe+J6iVp2DRsf6goXGhwayivTUoOGcpSMQ+8W+kg3f38Z+QR//Fh8Er5nKAAmFIA/
MQAWN/OcOpmjS8Vd4gO3X5pt6miUpUaOLqNEAz6uDXT0vsTO5zRUB1DvOy+OUJDl/N26P0/K82Uq
cUOs2WXDEmndIbZbCLOliFB5aaGFbBsrHfYHPR41CCoc3re6U1XNZozmFS3jOQQm6lLnyeAI2Ads
AeSYYVmAI+2q8gI8Pr5x2yI9wzWu7oY0ZFDrgvXlbCtzuL6zk90LstC/6lkrtrjVUAVIEPSK9zfE
77NVzTbTprjcJh3794lI6sLY1EaqHmodgAD6evjbG9DEdL+c2KVl5TiaeunLHJybETrOk+fVMaef
NMrsDT27GuaVFTX00UmUbHy7k+6XWkP645dF22WHZVo6vI30fJujBNyjHUNXmGfawQyN1BCedLLw
nuZxEGjdOfQ2F23E7woEqistpPwywwwBdk89OFGRI3QkLSrcuimgviju2XYz7hEHn1y0sSv8kXUR
YxikNPACh/MG766yrDdMUZQJ14hGSkAWYgLioF0l84qMos8Rb0MDVY0LsZlWIJZt54wuMOvZmQVT
foXKtdcddYJyk863tlHVZ23yXLGL5qqIkekkk3vErUk/OPO6ry6mOVxdYAzAe6cNUcpFdNdIs9k1
HmKNGqPkqOvLJ9G6yUki+d4Sqyq/zJyl0B2tkU/wwnaSk8/nwmutT9Xa0aptFb9zo0zfoj5MO5LV
onKr93w9fhx2uMMj4jgL4Qy0K6NCNzjoldOESUnTiBQgtdOsUV5OVhKpZ81yk+xmKN02Y1pQ5l7x
7AwhoHtugHyunG3hFGBsN91sOqsMyQRuI/kvXhBpIYE2E03Em2TGkFZs3Ux46pMWD7bB281SZuwz
QVvuDnIrxc+C3x7HBVe61Ogc6xH9WFZ7jUmNO65ZW/lId7GIwvwDZDy+sTns2BTmGabM4KxgMWQH
DE9m7kqSLwSbqVnW/B3MidSr17R8s7ZYpwm47jRGjI27HT1Sf9amIV99NqhX0N+4SxwXnPYyA3MM
rXEE9axTr0I7ZDUqAFFeUbKjZNTWAqI72j0QK81kHXLMghlCAw1wU/OEutBADP56epm8OU4csD+d
KHzpV7pQRov1hvarfK711RWA8cY7d93A+sxyhrcoN70i2gq68Bj3FgS4HL8pfBiW8z8WBw3GzrW4
OI1kp4bFaPA7mlikd6iQWGKYzbhn2pAQKJ1qemQKzaaeaKyo1zWSGs49hxabqJPSwmca3b7X3nop
vRWu2bY9P72+2wLddIq81GQaRtkpAXsk80N9rUWyHPHlfYlS+xBFxID1C9/IYFIZznJkWiawp0mZ
zo99wnHDyFP5nIZyegANCkbtih+cJddeFDMfikeSV8rigQlXxc2Qrj9DxoILOIKiftSzAczomgfg
reWRWoFq1+QuUPZUv0zK5sdrobBkNVi1K4hIrgOvtM35amvezCTd9N00codrseIHK6jBd3DLaVVU
oX7XYiKtztxGfHdyfbdlVbPxtDA2r4xSPdUpwquq9mhlZOqVCS67+ZxJ2K6h9KjSYcTA/6JFVR2h
LvHOcT9TQVXVSIpTrTUIra8FDhpZL8iWtHv/cfi5Yonm1FshaBZNVd/EzwZrERSFeTtCvICwYplv
sWPAlmPb4Q0qSWbkxtXKMQ0QWoVfci3mxcvrIyRCi1i5YaLdsS3ZebptM15ccwR46rV8R4osBSyj
TIvxCDdBaTLs3VbrUSWLi2QvZrITWAaAv/JN39Grd458nOoGsxK9vbnHIqfFOe8Wa2RzGEd2XDzN
1OWY3+90DEY43swVt4dLbHow6fj3t2okrgAlVsgZUDANAOCyBt0HLv+cZWhxA3do7flRuEywyZh/
TjMXsXZHCtD+B1wQYbz1RnQE13RCi8YRYF0Espzm15yUXJU8S6AIzpZxrD2eMGWvL1+MsGDT9akn
TVK9pkhGb7yVnEq5Xx/q0OBbTWTrbvHcrtdh1Pn1FT8LN2R6uCbJYUXiedWh0QQywYK8jYA1npum
5Z1c70RzSgV2ioQlwBLU6IFoGBxQ09YAArwpJB/PrdYvKK1NliZZhfWhaIT3QsdqQtfIcbQNkMlR
FJERRg0kGVw8AWy13ow0Fc9SczkDoFZiHD+tBG2CDZBlSKRrG9Z5WLB4PdWrHSke9FqMwHzXT8hO
RI3c4uLfNBU0z+uBdxk1unVkPT0TCYQQnaVb34wcaZ/7mv+JhpOv5TpOXwDzgA5boVnXbXNedO4o
lZPhabgxn32xlHcupasBFJbFlmQ/TjLrVWvUwEQxHUW+bJv17cQ2nyJLQvNN9aRT+uVKYMuzcnrU
lxkTu2MsxCq22F43VhuxHAH8J1j3iuqK24aon5hbnijUdWAcJyEo8XFw6sOcWIjELa/PrcepIakI
d8aKHtQa3Xozp3Vl4Xd7L+XEAD/PexOgb4Wr3oOzmePHt/nTeR/L+knocuQWYbyDPW69r+jgr2sf
M1BtX0UQSWkfD9F6JEefTKe14J64XoAfa9F6cB9SybqwLqyEXLDjXO9dtKRsa1OnmsPkJPOXhm3o
cr0/TUYa+5RGwH4oazO7dXqXW8TV++YAc3Y4xbSZ3Z83BK1497tyMLf4hC42EPFKclWumGqSmJ+v
d4U9ZTwU+EgZ9MIb3ouarPHUWrsNzIfhBxG7IZgbWSUr0bxkRMTWkiZEA5SGOLn1A2ljwd2HCDn3
G3Pk12YKoWbL2ZPcapOPwC0nnq3YrohTySOeLCes2WEcCJ+7SlHaA6BjtTcScQ9fablwUuem1iFU
9X4H1QJHF8+XmXXkilShw8VGj75u313KVTJwTdEMYgOCwxAZCHLU0LEoVFEzhLtac0GXlleCaNp3
PGZGPfO6MAqY3F8pzIqj2ou3YkwjC0Uhpi+mO5tRkl62Tc0GsBYsbrU8DcJNpkPXD+RPMpMlePKa
X4lxmXdhuauqAfwDd7suwqV57ixUIkFEDOKLPqqVyYtzZcejMj4gInKeencq7qVhfY21EM4q2vyD
lddr4iLPDmGc6Xdg4tXGkXW4YURQZv5QGTzAE9sjUGd2pJmutY/SqPOoUGb7JUtJFbQSEk83lTUu
GKv71NitY99hE9VVh0lnKo6JUumtYbZC+OyaxZGT/XQoUTDOPhCkErexUX33plW6Y8uJxZAikwTO
VuKDnaa200/1uvifcLLRiESwQU3VmxUnmLzMjxoJss8oVPnq6jwctacoZdLgN4Xix9pbhSaGtUwP
dABHbOMjCw55N0ScDdQ4xVrS1bGLAiZiVp5Pteb3RBbdXA/KGQjOm9Hw1oRQAiKZxDW8vXBxaDZh
VB63ZjjyTqfrZhLGrNuLlVQZ3IgVoJh5CvD4uocLTHgvoRtyB10PhpEelerEKEex5HWsaZU9OSHR
SFNzgFgA9dFDdoI2RdxFk+WBFe3ad7lAJ8E3aR45g/G9lrZk/0QRz91aRKxWyxpYMPDKjClZIr00
mx4WIhAYLdclz0S+1ptrEve5IJu72IaK9tU4meo1w7YM5Ix1r6l5hDoIt/skxDoElHVnr3wVRkI4
JBHJxfFBWqQwmYNNVinacZ64bk2CJdDUO2s/KowamqXGzlxgZgG57/wXe+exHMeSZdtfeT8QZSE8
lFnbG6TOhJYEMQkDBUJLD/31vTx5q4pIooG+Ne5Bl/U1kpkZyuP4OXuvjTRrz4ZtbHeS/Q2W0K7Z
EifabWDD4Oz3ZGu/6Iik7qFX0LKzfVYl+jycEjcBeg91xmQnkTu8WJx+cu4jOtYYopFEHcn1zRyq
5eBYMtt6/gqfFhwbpm59E6Y5ekSmq+aGb47uo6YbH8aIkWOExecBC2+6kjwhrM7sduYNL0RllGHC
AnFKVNo13M+SsdzsF97aaqxxZ4a29r2rLPtH4nekClNVAlMZ5eNgDtD6qatIKKtQMxoUZduM5sqT
QgFBiA+CDNhCXST1uian4GBbY3wZu6QjhIkTf8mrNrwj1rwfl12eTatU2vp28uzp0req4CGCJ/e9
rCc+CZYIM10cU354PRcaO9ZMDwdDGaxBRhCd+lfAwv/pej+Z8Hgo/H5rwPzBjVz9zF6Gl+bn7+Od
X//mr+mOS2QLwmpCWSAyOkpT+6/pDn/EgJipj3OcsZj0p/6p6vVhTtFYRjoibFc/wiT/qfL1/sGm
noYV4yLTY3Jo/Z0Jj+FDwfytCWYzRLIdQ4EWKVcV3Oqk7ZYmiJPYAVGhOFP01Catso5XFmBDsD/l
cnSbvN1U6MKy0pyHJXoyNqUYD4tAr5iok8a0mK3ZeArijqj1gl7Bknjb4efYOtrK48OXJEijFwvb
68LTNHhG2bPQ2NValI+bIvR5dVt6uG5G32FnL5AiYf227xLYCufj2M6gWOyWZRsx/c4lVVcsgyRv
Dg6uylVXotbRyLdbtBFCOgibzdlIltnCyXlraaOdbAd+nLmwGqfaA4cM9lDn2lseG4EGNH5O3Fp7
ipm73Id1gaW9Jj2w882Q+PPKWlQ4Ma/mkZI7H+VN7+G70VIOEust3mLzRpgTaWw+ybWU8tSWYdFu
9TB9rRqiGxhHQw0CftKu7SqeN/iVq01N7MttREPZsYCOxG57wVCY/ELTvEGtch/03QVAQkBzY3HH
TNc4H4eKphypk5RXjPxNLz8vp/ycBtpTkKNERLQ7HtIpfKbTxTaoBGFnWTfplD7X6HoX9OPusMvN
rO/Y5ysLM03qVd2m0ydw0aCMuAXvRwv5DowK4gwd9RPqhWPz0X49Wlt3dvUr1Crapu3T8i6UfvZY
Tp14NEY8eVaBqA5dnLUhQBpUXtuSTc3yK+fqWnfEvAuEBvhrql9KYTT3lQ9ogjKXt7JVZevBM6tr
NEA7iAH4lO22vpr6qHkSqXfvyLjcliN7AUNO4TkMPnfNS9fY+bXDgDvzHjDCa/VCWMNDKILwIPJS
EmgayvwGARpWOB2vKXWjbt20iAsu0UlHBpKUiCZSCdxgnUXFnaW4fVZTkOpmltatRF65kR6Yf8uK
iKTmyUEL1sfKZdEv+3xEgtnU2HL2WMQNCq+JYT5KfKQ2vVNi4Ry7MxiGbbcZGs1+IDk7PhO5oz9j
X+tXcmpjDMwJLjebc1luDKic+P3GScfgXtvtvkx0/LB20k6vWgFCCmxnWQavE5mRF5nZWNEixDG5
zsD7NAuq2iWbS+PuuHz930L/yUJvMD1k5Pw/Gzg2GTvPHy+/L/R//Zu/VnoMHHyEzhjSczBMuL/D
gV0FHnQIJ2L/oZKKf1vqDYb5uD4Y/NJZNxmB/GuYz/DfBo8CqVBnLK2own9nqX87FmChZ7AtLKT3
7CwcRh6n8/Vh1LEm4e81zS5saUH47GnIifHPRQcLd4HKr0BwCkRq5WOsX/12rt6Z7r+dtdg2egWF
S+b8MEdzKOneDqHqGg1fP49YJTumCu4EB9aIzWw1uXG++w++ylchaSggOHUnX9VYCWY3jNoEQ7J8
ZCYwB3AZ6E89o/4PjopT6R9NOY445ZjPBjk5kxAtu4aRroU11ytivcgpHt1u//FRvR05/zqBpLEx
HLO4Kf4Yw459i3vG5gSST+0v+sm8AeHrvI7YZ0JSYZcubXVwbiQFVITZfzJ25R78vUg4Xj3Ltpgm
cRcbdGXfXj08AEFgVW271UrBOCsZo3Vh4O/++BD/vEdsk/vShVmIhIDK6O23yNCzQNwF3bZBIdJw
b5IUs7AhaylxYU4r4OOveysdUGfUNrFS6UC5TW6T0wguG8Q7OAEyncMJYECUNj/Zlb5Cnc9ZW/Mz
B5vCJ0KPP0+jbZrgmYGJorv4o9YKojRBr4DYnXXepoLywczofrn++LjeDlJ/HRd6EjpDLlIa21Kn
+TdlBw1Ndnl12m0tXCQLS9POQ01e0RQ3CcLK7U+O6b2z+Pu3nVw0ovboHdpZt/V6VJABGuSwx/BM
nLbikfhYn9P028cHeKJd+XWEoFgduBHg2BELvT3CKUodbxh47IzIEVeiFNCRdMXeKmePADg2dF19
6/aTRzsAJwo2ce9Aw2UHwrDconfs191oDotmcKvv42hBUCVTDvtGW9/NDcGpLjQqI63nTxYm453r
j3jB1Q1q/iNp9u3v9mRI6gy8vm08dPAcBS5e5aCx8Q5oFuWgNMgh9uhYWZw9uCmjeMasTKuKod2l
286kNVWhf4UyJPzkWbDf/Wmsz+oJt/k/9ee/3TR0ZknBs7MW0WmEcDWyV3ETKTqj064lzeGHMbYg
wQ4OGPESVtNhLCAUyAAQJcUxZV1PCAb8QuUrgnNpGVWwCgpaWoUZTmdhZzaXpjNr+znFQ1P3bbsa
XGZvdUvwWEfmzyP2lWDpW3FNP09zN+idgbdYjbcm0O/Qpo1cQKWhNUfo/GLM7LNIpA/d4MnLVDCP
nqyZMBe2FKBR2is4OPOuBga/YEhhLUaSM871aNK/aA12Ggi0GrXd9JpO1m3rQZ7x3TDdtUSFXPHJ
xebju/XPB4QQTwoDnnrewUgx3p7ZUYZ2Zw/qosvoUktx5ceevgdNfd/NAfG5XW787UeSb0RGSNIk
rUvWm7ff6Ddj7/lz2m6bINgbUqwzgPh+Ic4bCxtN6jtPHx/hn+u2xzYBzynyPTIMzJMtpMRVVXBt
WnwmGROBXhHYYVKsPbOZVh9/1Z+3qYexFbEfc3Q076cBHmHHpmboS96CXm+flVpt7MuBds1/8C2C
ITUbbCJQTy9ZDuAibwdOoOY0OiFXrq/tujr0rj/+GuOttEqtYxyNx+6bahG8xamMi9Cf2XAqdsAj
qSerkv4u4FPmqY6E+CkC0EGjxY2vExF5aLwvjRluS0b/ny1LFvfDvwVCv34GJQwbFQMtKXLPt/dL
XZdijntXbsWYueuh9rNNMCTtBtl47C1BywqysUcf7kn5MysH9xYuI7wI8LYX+TxbB6z2wSdXQIVz
/PmbXNeiKWH51Kwnr5UQD4YWRJbcFmFX7PUGcozeEZ9XtPVlICvSEd2u+prZPMpZrU1XHXzBpRPr
JpmCUN/cIvuZgdK/TJEjzPPw3CUaLMW4re6mAixU1cb2zg6j4VBM2aWmt58VF+8fgE/IDSo11Eyq
i/T7ghoYjZ9P3sBJJRU+RHi+6QYRPqCV4aVfu8kqkECjctdpeWM1+WGK5hePYaJsHH/fwe1cjl7T
rwlh92/K2S3vPTH/nO2gODDS8jdDFU6rIU003hVttmniuvrklWCoy/7HbfHbEZwsI0Ob8YPLif4M
c4+D6n8eWpssP3LyVm3csMh3dGySRN9juOyXsoIi9PEDYr17F/jwwNEBmKSunLyVmCEIaBSd3GI6
UTAjIra+UVZdu0IW5NbrP8qsH7+4phF9l82SKUm4hFVMj8NCqdWHcmPqEsumA2J9iI0BK6DZITDh
C7f0hlSOeGj8xCJjsFS6d0j517aelCtH87+QudjsjN7Gk24b2Q5L1Ivb63fOxBeFAn1PNSBm+eSc
/1m6eSQD4benQnB0dktvbxoafm7KlFRu6yT7UgRbRFrZSpvhp5WzbX1SJ76zbDvUwOw8hcsH6yf7
JAh7TtGw6GyrsHgFRMjEx6BlJEYkCB9fR/VJJ3cS30T2kS8EfIDTwr4Owq5yMWdtpya8Tw0rJCBW
SVwYhUHJnlIwuLqjeYfAQYfz8Ve/8/Z1dAHC1bJ4MVF4vz2j0Pog0SOI2Hbu9DVovevRrW/Jz3jN
3PYbW17nkxfUsfb841ht4gUMUynJT9d0v9fkGMfcsmzDi9vOou6Bz7+aChqnVj//1IP8nrRE3H1T
RXEjPIK8ZAjKjGrl40N/92bCIMCbxUL9efpajjvc/VHP80tkJdK8yqW/SZQHNNUyBHCevH78de+8
mh20Flxm4lB0Nvlvz7TDsCnMu5GLDKFlS4MsWM6dF32yR3z3/CL/FdxJyv1wmnCUSCNEqV/JLXvk
Zun1I3zKIvGXTuBp+0FaPJ09PC7wzjQYmRYu6QZk67HXzuaZEL6Pj9l47xmiHuFwqZw9AnjfHnQb
9jQzSZNl/Cyib5VL228xNGF7RWyqogI7JYb1suMDFtqkcid7pyZXSU8qjGw5+qt0OWjTALfWIiTG
bFsUlnb4qV79nZ9JuQQz31Hdnz8ewEpFs1YeET22GTc3vm04m3JitpY0LQ2vf/XErn/d6L9HUP3Z
pvCObgLaFIjp7NMVbMCSj70ZzqbVt/o6Ct1wI5v5Yupxn4e5oS0hEsFyc5FRlmmnf7LQvHOcnk+4
G6sZkXHMW95ejkjz4skunHrrjEGz6cTcr4VEB8WuIf77X+WzUgMKA+GEb+RkYQG8JrGVu/W2BQn7
KqzJvZmLKG8WmoM++uOT+s4ixuWjLUKJ6NLUOnkNmnMQAubj8sVMSjD5FdVdHtbmmrfbvNAxPqJx
jaZPlo93ziUkRkeZcSDA/OFxCEO9aP3Ixj1rGmg5bObDMTTwVaOb8pOv8u13XvRUGroPnsRl4nZa
cXspQSbhbHDhRING3Zkm0C0gsYd5hbm4yJYOWoCVQ01OLjIgFW3DzrEb19CurfyGCDJupdiix7gP
5JQ9mlWPQqopUq9DBkRS0aIN6uilHLB6p5ZH3kcYZYhmZIE0e1FwSJaCxHneyu9tUDbQvK3pzNZA
i8RT485rsjqIHAvJR7p3OhPjXyZGm+wsIx+dteVXkfnkD0ac/3QSmiUhAmbdic7wvSMZauK0iYhX
KY1pnxV017ZRbORiremVcYBtPGpbidJOXtp50XlABbspuHGkkRUb/lsbNjn6lnRcdMJP4SamvQgv
PLew3VVnW9iVOxtbca8xADo0hVbuyBhGpzCFjdmQxx0/5rD0FLJVlMneDaEDL72uRGhB6OgUrvNq
KprzpGc7ifLUr8DcSDkQqjb2QLZXZU82xRnxboFO3wFBxaqCD310WXrmiysD+iUuEc9YMkXZ3BF+
oLlqsJ9M10PgwlSMBQhdcrF991Yvcy9co3QJO6XLGje1N/ox+tcQXTipU/OMoibxt0Wj4BtZoNp/
OnqCdFFL23tIIrDMY5aXym4PgH6RVBV8Ha+7oc+76RTKJlBQm0zDJ90WzrAIcuxJmvLBWrV/1UHD
wTO6GRUeJ4CT04sIT4ZC58AsI0BK4XTCrj9YCrBjVvIlUcgduwO+0ykMD/pNZJnasO4VokcqWI+j
sD2+iJ2tUCgfKuaZhBvwPlKBftwWYY7owFIUUIDmGhxQr8BAsFpAvGSPuu6QZubU17afN2tD4YRS
BRbqFGLIU7AhS2GH2C2gt0XoNyokkQ2bKFaQIvRrwT5AC74ck7SjqGD+lfGOWkkFOELQsa8V8ghw
o83/pFcp3aVRYZHScTRXBJGDmm0B5SZR0C/Rh+foXGDtKbQS2XO3uRYhDxy8iKyfZl4C9utWwRHK
ROl6GyhQE4pr/bxQ8KaphRw+6m3z6ii0E3SiauUp3BMDSHzGCgHlQlbYW3ps7qUCRNGkODAw25BV
bGxSe3rKFUwKOePOtQUGi+nJHoNiPegAi5oueMqPtlXEHN6+79xi0ytX62xr96nyuUrleIUx4q11
5YLNlB9WKGdspDyycaP117XyzcpuVKx+ed4qT22m3LUTNlup/Laect7GyoNb5F7/KiS+XKV2osOV
/nLsdn8ZeKk0leWtVN7e9GjzNbl5vuQM68eVe7QEm8odnCifMLPf9LJW3uFEuYjRl+/1LiSnVzmM
kXp7Z/w/5XrkgVgHtmlP8tybhnCQX6eocSXMbjMQQ7qapdl81Qy0VTDQwQKa/Oatq5nl99Gd02pn
pQhXVrnXEMs0lQY4JU1zWqTKrgd6NiO2SDvQntVheJQ1FuOGM7Vo0yJbzSCZEdQk4/VRThzkRRrv
h8SBa+XH9aUxmB4wBUKgoNLRjItiqX9z9IB6kv5uRcqjnp1VvPq+Q3IMHcR+YblMBju2mN9L5070
afDq09wHsFMQJY+5vddXSJnGB+ZM+WtTNcDBp1wazwVygxVbNPsKOz6aZr8gSz6S07alXrr3JpF8
hSXZcTOCxypbsz4oe+EyHgsMNcKSX+jCqUG8JBkGIBh3QmT59RNo5/p7XYl0k45a/eTWZrxLmqAF
JQwZYwNdSX6xEdawPywHWFSBnberbkZovchMzV6mukhXoePYgCVMa9/VwGNdWshkLbd+s0nZN+W7
vCr5+20c9o91MITz2oMRQuALeTYx0TOC+Kac0eC+KqJM3YPacAj9JLrT84h4SbfpzA1slUp7LFCT
YB+pUiKqQvJndomT9o89qtLhIgyC8Cr2yMPEvz5flDAezkUk+FQLwZbQY+eub6H6Lijv6gMei+gq
GWT1TOsObgHwiKuw4VFdF2U+b2bA35uhBJ++dQklvCLKqneXlR3ZVzxENQ8VV5cmfH1Ic18Q3R5V
3xplahFzg/o+5nzHSTpt56mYtl7ESQVsMJ1p3Jo3ld1U32y1w1wWzgwREaE4KevUYTsbQDzLHnZF
oxH1oTIAZs29rL61U9U89RHndXbd+ntphGg65i7itNZFHhxCuhGoMxDC+YO0r8Rc47HrSz+8GmMU
iFTbeT79ICNUoEWozMEit9MajGA6N3gtwxLGfrHU8AHVzNGjpGCF6gJcECWS28qY7KvYLoOHyolC
Utq78hnZW7pqkX9jO9LmwFAADvnD7ixzjaC0PkyNHqxC8sjOmpyDx/A0PnhawrpInhBQTv51pWvh
VYdmgQhDjBBQntAJXQmrzvZNGiAcbH2aOLDdhuCAUJe/EPQ+yKVwyCBtzFXZLWaec9pYhfwyTTSt
PRe/gRsKexkEU7Y3IMtyl+M/wjWVmPZdnEf9I8pIMDBDyY/MbD299dqmQqAdOXeaD+NqURVDdIXb
pTAWUhTNU1ajjvQc2T3q1ZjeIg8XVybhC+d2YgS3tej5olSbNr4LvBDnSxldCclZA008XZOqNL3q
IOG22ijsAq2NF9yaOd5IXFjFOdRwPrGcSbMz9PHB15nIADZHGDI3tMTBJgFhdSvafLDmIvLD6bfI
hthFDWIxPCKQDoLoFghhmhPciogNBgky0Pn34F/IwYsQc1+DG2xYeh3BncaaFV1laVIaZBjM5bVm
JTRx+ynjWuvSi/o9lievWPqyfS2RJIHs0fNkWecDKeRlYjyKEF1nP0jjJ7F7Hb4dmDg3rBbza2km
FbYwE6skvAe7+4kInniyoEe1pFUVp4UYIcTIhHIYzQLZl3E/Y2W79Vvc67Hr9D/Hyqtv2qCg8V+b
1WXbY90dE8i7BiCeq8Cp423rg1SLpWftWcfQEU8ez3ehhe2XGsWOftNoRNvh1iCoY19OJScP8uAF
e+JgU2FmYBFzTJe+aWt1DIQt7xmjSHsZEPG67bOs3wkn59Lw2jy3GpF2C9sN42tHyGpTFUI+IIlH
eTtHry0ReJtKQjVeBX1lfbP90N6ICkl5hXlmZVok4ti95WwNzteCiaZYpW3Dc3hksxk50LejqrQQ
SF/NLBTLTCvvWl9cYB2KmUXqMXuZBtF25yeXaKYPehdBNcyrhq9NHWBjuXEZAbbfQpthvI4X92J0
tOqqIKDozgnMcu+PgD1YdHNIdQXDxhrh3N6O20M/Tdkq5tm8QBfZnBehWxwI0oKdalqUgD7jP1qo
L74dAdZykfenZW/96DNxqGPdYEnz+B8cF+vCMaolJJYzkH7iC/W2vphIGvjmD2rOVLabiM7yviZr
hmlZREHaJ+X0xRuH8FYvomHjkjbulEQ7+IMGUjiuy503zC/0//KvKFNhJOJ8GlhgRMhCzw5n6U4T
qQ5Jmsp9qukEugWafpXmotrIrmPwZXTVigoVRbeX6rDDEnnX1cTNWYMf3naSL+nswL3udHRkNKYn
PIHIev3Ydx4dUp13cew+ksFKRmAfRtSBlHKLXEmZyniILmKPxk1pmPsA4dw3AuqHTe9p+rY1jXnl
xRBthp6HUVZRuwDy5IOYmZwzigvxJRH2trDHcsPjxAJcwkJbhGRMb/3M91/7tDO/jJUwLv3cn1Et
5OK+isZkOVLDbmzWrrM8kNmjYbvuzQTuZGP3coRHQF2IRLoJ11AVq5+oXTMSM5BqX9YJt0FcZGGM
1K+oWNbIyF2IPJHLsUqaJQMEonJQsnUkJOPRCJOXZBrTQzgUuzatM+hCQkNOl4w3s25+aWMt3/Ao
bmJrTijUbJuCzO0uc2EHD1iuKDMExC6WwARlYBvfenoDeiW3vDOJrQcCb7SObOhvqdXYV3ll43+M
Bp+I7CIjk2Iq+wvHxg5BjaalPHBOAbVtTK6yxFIIcMLhee6agm1ppqG1XzBD6y/8oE2eclNACDVo
wNNaw4BUzxWNhi7WsM8EVn0+0cxmV+f2cbromiQ9+EOs32J+PjR4fHZB3y57zJEXRxyCLAYCR0WJ
FYcBz6IYZHtO33daEC+zM0bNf/KZmbLPeWnKAmh5ZM/LunJ6LMNF5C36vjWeRjwM+9J0vxmz8zNo
yvqZijV7zmResmhJ7cHNbA0MIMy01u3ym8mhYsmmhmwipHAzSPIgqiiHxl1v5n180KxyEKve1SXh
VSkJqotCOOWVNoTKaDm55RVNFeKFMcbBEcTPxiJE3ljynOdERpu1l9+QRkyAWTyxgCYRvKNMmiRM
yST6UQc6lmETFfdVjQrgYBP+cjcJ9JRPDRUP1y1mk4M5OeMtoTTrWYWJ8ogC4W1J527OlCkkpCG5
LwME9tTH7ExTxaYM01H+IIANh1wnaSLIqctfUzwt0ULObfCsE9nzLY0a3vSlwG8k6zF4NlPcrUsR
xCATqzmQPzQb+zTBEL2PyDG1i7uMmA0uUgRwcuOGbV9uBGypaNWRD5osIhMbB5T0rLyLnI4IDTxU
wbNtYJwn6mHEBuOChrVXApE4vlGLcJVVL/mV6wRZMRwDVFruQpgjX5rEopBn8Wy37Bv1ojcArVUD
xFKKVz551ryx3AuYVt4qEv6kkZunSgC8MBwSmyn/PIl0UaycJqdozQJSZxfgMEC0ZmNHzkbTQxoj
NJN09CC081ez6/hWDFywQQZh+c+/TqYN2ZxYRsaT8ZJ4FJRpLhSNcsF+otxavh0urRph/JJeEKce
S3VxZ6MfK7ZZnNDuQVkQs8FMx3RXGXSBrgD/jcYG1heAqqYt7+wBRQWXkHnrcghqji91bfohDcEa
yZlExdBv8wnhB1T0tn/tHTqzqHLtKrpwMAffp1NvbouuKL7kIGxuUniMwbIiNuYea66cdiNt+OBK
dBz0zux1fiNVOb86LgIunjONhcb8j3y7JdeEZ5fefzRh5RCcxR5rBwboAqtufPRA8WP980n28mdM
QB55Zh14KApftKNbPY3NcZmRPE69y+WcdwX9vwOENw2sWtlS0dmRqJI9fgOaKA2zlYTFBboqjzoQ
Gv6txvsLsKIOg7TwOmRVJrb27CrqMf7XqoTM3MJssfaa0YOR6Oa6zkr9wEwaC2XeWTd56I3gfNP4
cZ6j4QHPUv+rrf63NKjwsi9fICP+l/pX38tqamJ4VkeY0b//6yL+3pSyfG0//Fv3JSOV/PSvvPlc
+f+PfwyvRyn83/zH+giCuul+NtPtT9llv37DX3/zf/uH/+/n/wonReea3u6/+u1/uA2+xPJ7Wcj4
LU3q17/6pwrV+QdiNpOn3URkdIyr/idNyjf/gdrAQRkmSOdDHkJ7/J9IKfcfOmYCdGn8CT3m31So
wiQa20JKxrQF9SZJbn9Hhao68P8ej4FS8W1mJahB0W4QaXOqmEQdG6Ukgzq/nK1NbozXtsGdNU8T
Fqu2wWf92wl6ZyDx3heitUIJR+nHbOKkd55y1JVJz/IMWaW3MvoB0LJC5TiZV+/g535GFXnbNv91
gEDYOV+wnDzvdOrmJ84sfdhcZ24ZOS/McuFCK2esBPm8/fjQ3o5Vj1/FpeZaI4/QXf10LNCQXxd2
qSHOYC7aL8RjNzu7nVnyHTPEwkWOy6ObAtNtAhxuH3/1O0fJnQSvDP0kC97poGWo037S2e2fSZN9
XuFVvLI1u8AogVf3My3FiU7meKDcgQQMIrhn0nI68xtLCgt3jMXZUCIGXLgV9kdWPx3nbd+6WNMK
mB/RIafd5C0nmNgSw1XJ+3LMYhgKZvEZGOjPw3d0biYHaozruJQKb+dMiRFhqg8DceYNgsP1c6oO
HXYXIPL/6LsMRTtCJK6gbifqnDCxdGJKJnFmyQF4gdDY/rf5eNspD+/HV1U9C28fTkQHjFRt29Wh
9Z5OM1HHKK9bJ876IHoljMhf45b+uwgnJGIIIE0lFdPxMZ0qDaHoCKZ/GTDLFEpOgkWItEmn0pYG
Rt/P0GonIhZ16zho71w1jFegvFN6Fd4jo5/pmp5hu8DJaykyD3lOWH2zRlZfvTrFfu1MPKSKbjVF
LQHrYCE/EW+/cwejQmDZYxes5AinN0xgGmYQOBA8R681D1DvDSXWZgteaZI7FJd1vk5Ts3EW09xR
Gh0fXlvh1lhBPsPdvXf3CmorbGlcaVc/uaPSzEdlRpTtGRx4fO3KFDuQi3yGbfoz5cd7X+U4TNTo
NyNnOb2j6Hbg53dr6yy2Ob2+H/LI0rtlqafb9Bn66O1Sz/IthM44FpEJWqE/b192pOyz64o2N0CC
eaFpDVArC6rGPFDQq6GN99n8/+0SrL5SNVd0yyEqgwt8Knqo0hntieH6Bz3AayA8NqcL2cjx1hm0
8TZGH5uvj9bjyAPUEYc8Uqhl4ZloBT0mL3bq3aycuccV5BdXYppBNyyCCG3gKlYMiI+fcfv4iv33
U650odgKFTHvqKDk1fh28SKyJxFjbomDzPSctBl65WDHtU1oSLpBpZ5PAMwoG5uSRkBSTTg1+LCb
BpJDvmaYVjFByAMuZGCH7Y/Zgnc/sqVhGnC00JsAk6IVNlSQD7aBp3xhhEBHjg7rzAHjwvyi/dEo
bIc78e9WMqGnPphJ/bVViCwvFBb7Vk7gYsJcfk1uAeAShCf+I1HlWrKM/KA2doa0+WjpghZf5X5E
agEhBYGl9hq0pLKi5jsUDcORtCjrGsnXQvSUtGybIYCQl84dQjMCcF6JsnqroW9zDoMCgZH5kQP9
aYwiOqRZ1P4AWVV/dSsmEofciKdbw6Nq0cwWIPlcpWH8bEw+l8ydLYcs5gEYxSMlM/demzov1Ovc
7YK6+mUyfGg8BpmlC6eHEpPDZPnOBtDc9TWqpMZp86094LEnMULg9ZMMoxeDTzz28og6gQnNQ6pY
MSJA92iNYrzNYJM9spmNt0caX6M4dUc7fDubnB+fIeytlOH8aPaoSipfcJ1yZ8BQPjbyR5qHJpF3
kKjXswwMa+lNSo9NMe6A+JqsvR8UfEquPP4oSIB6dIotc3zLEbPo0adzaBYQ+9Qku1CMZKVNrqtc
8QjzwSAVZIAcCOBVGAh07KEi/eiJqbptE2hdwidglBxpLHVMPj26PWgYLqlzKLeTpKJtUXoTXGQ1
bDocfesaMA3iy0UPj84cFW0S/W5KBGnLe9EpiX/mDg7VXHv2aB5qULYwZ+bwH6AHMY116a3RoUxx
YtMxtLiXe/zlj1IP+FivpfM6asAhKsPjXdS2LiTJKeO9vADgxf6eIJT5YnazGYNADC+uB4j+4oDu
gg9aNGjj7clo7kJrNneoTkN3BUZcPBd9X9x75OFdEKKWrWro0kyvNSAiGyPWm0Oclf0+zLBoLCRO
ouVQzGR46hI7Jp0OZSV1gHDh0EqmS08nqzQXEcF9eer75GZIqEK035ZTMU9MQ3UbyXxUVYdUn5g3
cE8SganL4qatpFcskqDLoRM07SuC0nJvm3S4fMYdBVC1hEzCLmVlWs4KITPoFWlsLXTJJydLG7mR
9uR8pzNBTnNbgO6HChRuFDVyWPgIcFdGUhbbvoQL76O6IoB2ltFzqHBfbtlWF5MTOVugR8GZMbUo
Zzw5OIxH8RdPCJQYtwyEOoicuHPG1PNzkdXoMW0TVYDRcxm9gMTBNB2K56RK3JbYUfhyqc4UXhWj
GNhGAGsrxTNc19SAi57iZZN7bGVZmEAOkQF828EX2eOOqfZJQwoD2tLpZ0CjbR1psXYz+WX+FCOw
WGZTgYeloJ+W1JLWQtq8uK3g+YCqwxScmLOub0h0qeh3EQwJ7AY6GqF9QVkuUoyakKFdYFctXG/f
texFA0k0xPggQUqdU+l6O9Ni4rQqGKui9A74IpH5AWKBMILAU8FrbyXN2XLS1mZedg/k9KHw7Qu5
6eyURPtI/56R2U2vLjYXsc8gXWrIDLuM30HPkH6YwVSYCz9H546oVTyPzhV1QR6eAzsoruHLYr6V
LTe15lCRvRwZRRoDDrmQiiO1LqvWTM5QUlFg0+wH2MNq2/4IG50FqZx9437Slbdab8FmNcxDw7XX
jba+TmPsy7CCah1gHdyveQlnsCRjT4zXR7yGO2XNrpU+72OPXjXZgqYozxifqk8zRsR9v6C/rMYU
ZmT2XWsj+yjEIZRwDqkr932FrmvZIU/aiVGg8jiSripY5fw0F+L+AsNz9tUs65B6LkI5blilSc/T
iGSVP9tJ5FWvUwVAHo4ZMRWoQQn/IGPmZ+4NNfLIVLO/oKjx903ky11WTiE6oTGMu0VmJNE32bcv
Cc3EtS3iMFwSN1DLJxIRO+0uZmpn7Twz8i570BxLJyMtPBqGepdozryZvKJ6AJtIDISPQfiht5v8
Fh7Sq5nNTyPRSVdpa0LJcDKCR0yfmAzRVeaPsI3CH3McD3dhh/L9mic+WddAYHy4Ry6j+T6K02lR
Z9I9ODbcidU4kGy4lA7r+DLtZDjsWn/Uz0RdThe1bK1bZx5j/Ph52pE5y1VADk0/4VEr+rFYj0ZL
JnTTiKsZGOhVbYjuNmfwvFSK4e+iJyG6xJD0rfSd/qx1qhn8R2BCs2duFS/peEaLoZsHH5FjxnLh
k7YFfFwcYCN+CwhNvIOEnwLt7fQLGj/2czo4abhsCHPiXYkqawEwJ7z0IXRcNCNNW80ffGcRoel+
MeOhOstdmIhFbHdnhqNrQB5bmTdES0zxhrlhR3wAfrdgEYvAHTcR4OF7h0T0XV8QkVDFEX6gqZtv
WuT1ZAuEw1f6PnW31uV/s3cmy3EjWRb9lbbeQ4bBMS160TFHMBgcRYnawChRwjw5AMfw9X0QTHWL
lFKq3PWiNllpliXF5HD399695zYiPgwxnqylVwL0XHhB76UnZ9ARW/hR1+yocrVj4k7lez2Wpr/E
0ZMXjG9cPQXC4vUn5obVN0PVzWVXVWpLZ3C8KJImJ0LbjxhBlgblRcTmtk1FQLuz4mahIVp11U1o
qp5ggCSwK9ZlJh/TobUWcszsI4kObKOWPvot3XiFLsLMkcUss6I0L1ug+fYCXCuBF17mCjZEo/9a
mk4XbHytJhO5AiYjBJJBK3OmXdO58W1DwPv7zhibBy8jb0UNU7ok5RAEE2NUQl5h7ICASNyVVRFQ
QQjuFJHj23IOtTM8INAUqeCCr+paTdQpzDhcuWSAHl/RXR7e67LXLpnEQW6MrdraeJolST6pCntT
N65NmBOZa3Q1WbvfoKIMCO6t9kvP5Oq5d1on3uhQ5VBZZQZN06TMXLkI8E5+m9qpjsm9Ap26c9vq
mx0N4XWTwDBcTHHTHqx+YJpSlkW9ioa4HhfClXKZcjpfaRkQOoR5QbvyQ+7s4TQOA/jS0o1QeYnW
u0CRCjJOuOpjBBwPEUY4JVdAaFx9EVRFdlUQNUkflc45lHKLXy2jgUQIPKq5oXsgKWsgs/x8X/9H
vdBfNzBf9UX/tU7o3zVV/x/2Qjn/ZvHw3/dCT1/7/7j8OsRfyh8t+X/9sb+aoVjqcdcLNCq+RacM
/fP/wlcQm77TKY50Lm8A2H9shlo0QzGXYWmjjpx7ofRJvtNXjHcUGoaDRhVS/RmJ/0/4+q8bLjY9
Ql7e9kD2I7n20We/LsXqRGTcEovkKM0uHp9wstoNbXquGms98qH7MNSVfTLuYsCZucbIjQmzBJvp
FruSGd/W0ZrxWVphly+Rk9ooAUc1XQyF436tZeauYsACcqp3BGU7KU2PNOtHcaehjyLPaL4hIXN8
pt+PxEYfQ88loGsiN9m/Ytbeujfc5ZRhrSuCX6vxzirQTC2dHmX3Y2b1TBMXk9AYjcmIIL38ECNW
xbXkkvClcnvk+hFOdjpwAQEbV3l3kcm22eMi9eiUrJHAtpNELVnlzT2nhmOsvQTqpf4hrqnIOthl
yjM5wfS80C9iI05JjNJryGWN3Lh1NV7bwL9cEKg9AbWeM2rTp6rQ3fjy3w/gvzKMQKdssR7//gG8
iuLXj97LH/g+h9DfES5A3iC7PaNpem//++h54h19U3p/9E5e0Ef/N4cw3vlw1h1oGC/EC4Ti3x89
7x1Uax1U0cwgOIeg/oNH761zA+E+PhVa5y4TD4PBx5u5AJQ47oWFbe/VoONVNhMESlFWBQesJzh1
Rrv5AAZ82lACTRvIkMHBy1oIvQ0aJhrd1aNwkuaDbqHLCgeW8w/f5C+mFm/6SvO74yDymeFQVTo0
tV9vDCiAZGD0vtgjzC6fmOgNM9K6OCKvoC6t42zc+pU+m+7K9K8T52/jKKy33kXqFMwzBtsmYwUP
rMWb9nYQmRmHb1zvgxDhLRoi8rEY4V6mviydlVPZ7pFJUUFc4+i4F4PwYwaFMv40TMX07KLNUqsK
WuYhzMJmDVIk27aZ7NK1rEvnBhB3RfhN59p70HloD5AuboReCcLG59w7ZsrGUjCvvopMsmIZBCuD
LaPmKO/ZrlddN5F55nUR9B+rdQYKeMd8DOcCuWTcv0DtRH+tEdOatNHuNiqaArOLgKCktZZHNGjt
EwrkB5CprFjMnnCpreFj33eEJIO0nWo6Hq5TFScpKGm0SIO7JEtL7UZm3stUm6wFkVGEb01ur5AS
Bk60rKICsrc5jB+LxMvthdb4xpE5bsBgfGw/0BJySdHTs16nwIkGxajbc1Acp+OmjzJniyCJxqgw
eyRqjlnf+uTe3QCcjmcRcc12W4K7KwtXpwyOsOL2GMviDWJyb1zEPEq3Q+CFjNjr2snYlKP23qAJ
wPTS7bs93K+MsHizaG+RS3nR0rD6hrsxCC2Sk9LAg2jVpla1sJ3K0NYinKyLYpC0hcMwRiiVEvm9
SOQk+FkhXe9sZZporIUD6t22P7rJ6CF8cYrrtJDUoThTEKfYJF8IstiKBWxXA9FyAi+87e3rEUnt
djKBadWRiZ5GjzfQkRSEdsPfo1zLbycT+Q/1Y5ccpsRLVpChXKDCbbWbcn1a+1nVwlOVJRpfsw1p
vCXm6BD0S/9pqepi7uMkxkWAdOGATS94IOO8Q3QV9RVoBzv6KgDzApY3BnTxhZt/ZeiSktw0AeKq
7bjIyWwNa4ThCs/lwnGlk6x49u6iUEusE+T/jut5EtBFuzNkHg8VBvGi5EZsBVSOCap1Y+FVbfpc
oKwnP7OVydbUy/45TRVefwW7WIFo5XjTLzEnyfiJm3RW7fyC/uRVQ0bdYeomZCg6JJuPJMZDoB1t
s3yaNKvtlgHTS8lTUWvtFzJcMIhKv60jYPWliNdthwdkXQbeeKlGA7xmo7st+e0KUcbdiFF33I2q
5szWAiS1iEgkfnPZwaQHUtVzDUghTxULHxsVTro+1elPhxFHQVscGTjG1arWrfIJYCJMy7kyQXoF
lHRMm/SWIda8GUZ8ftL/iisSNd2TiWieKsn0eTU5f7YxCuw7GUxGv65JYYaCrkSD+MpBji5jSALr
IZzxDeUw7WLC7h9pRpSPvTJhFPm2QuCJvMfy1o3eDRopDUP3WU8kdSQYTFs/+UGPEIWRb/kkiZ62
V5WWTZvzVu7zySPKy85ct8nc30vxKcxZedND1gCfLZcptDi8a3CQ6VqsOAmM8cnuOqlXB0/FOv9D
we0L1tFohCKhlkPJ+pEs0SxumDfYxVM3tjlLR04N/QySFmuqQbVSpSq1Td+1JCwAv6u2tWdmV7Mn
dAD0H2OoIvV0uOni0ARnUvJgxYGXXUG3rfMl9pjSXuGFVvuBXjUtEtVG+THXpEvOGe+AtZtXTGEB
DaiTqOWc8WrZQbcqGul+0igWsWnHMvWXWTgVBknbzqiDtR49uYhqt38sDa08UfH44O/JmqXQ0kGM
0l5dp31TfiYB7z3Bc84eEHVib42WsOiOvi/WZEpYhfTbq8XCAChK07r0g6Wwk2BjdHp6GVkqqPlm
xuIYZb28N9NumJOCO/uLrQpnTsU2ok3Zp+vELLWJlEJ7OAokKxdBpKJj5wIRX7S1l+2H2qvstTdI
48LSsnbvmyZyJxYQDhDOGeLPLH9ckSBHvIRR5665dOym8RZdCdt9Qb8RjXrRWyO7n3JIMWAfp80T
2mIzBPMgIUfN/u+L479ycWSCPHvJ//7iuIc3X2BH+rFu++sPfb88umhOsC0DpCD3gBQy/r6/ItF8
4x1YEwowtAcIAs6Ute8iFpP/xFSLTDaG8qxRfJTfL49ErMFewafpOziUOUP/kYjlXJj9OEPjykiD
CRyXT9wrleLs2PwBlxM7sUgyo4kOQ02+N1LiEnAfOOSLqna1ZjEOhqCXm/h3VVqjt5/9p+SLKs/G
993QGd1JIwfx4JWZc5gmV9CBVOXU01rR2QZogostePZRuwHRLD/UqCHtJRrsMFmOQYZbTpmNOhI1
TaZJFuBQW3ScjMTDYzU+IkFxy0XTy2k/GVMraCiVzHcy15JrxTYTLa2+xDLVQP9dCE+rP/vJ6H45
R0W3no/OduJaC8ecFvQS+qxpr4ywF+bRN9uIVl7uXPYCAWGuOoiJprZxGyz9izFTurVCwRHfVUky
3tARb08yNPPbOfe8WLtDqSFr9obQXhQ2wRkLJ6luM5seGX99vUaqP+5CAEMHkzv3hRF5W7Zmibmh
jMuNXZAObjYRGs+2N1NjNdgodUXrmh8yHy91TOTAnWHixvQj8SlEVn9FPIy/InDRuu7MRO4Vl8BV
ZJgg3qeGoZPjrrWRhuXAAXFtuVp2sor+1tb7ZmlnGSdhRa7YF1Tm1VYAV1tK9IUXRk4fL3aG+lZJ
y+Vrj+LwEumnOPURo+YFoW3dUedkM8vyFFQy/5Yox98oIEVMT6CphFi6bql/vtgBuZlGgNja0SKI
mw3/QGr7wRfazP7Oi2WV2QfVE2Pj4oO6S2Rj3VqDP1xYldtf48HCZJNGnxmeRk926fSrKRwuMt0e
VzYaYDRAtKKgnmoU8UN+l8mUkyTNmpNpEUJDZ19yk0hvZJa0J21IO7jccfOevEl6qY05nEaccKsK
kyvTX96phqB9pasgvJ8o8PMF6ikuEUlR+vy13O3WelWxM0e1fhj17jnj/38VdiK7cVXBYA+ron/r
4vW78ZALctMPkoCRxDSdBJeaZVIpbZsiq9/SQi9udZMV7TpdezRJF7vgxriopCU2Bsv+sgSz96ik
i6Nba9voIBKmLXi7MsoBS4lVzYho2wEK32h1d+FYfnPQI+dSqaZGyusUmIlKDyptMmg7+KUqXTSs
QcyL2L+6QKPBMbUPmpZtSEq+xU+ubwL3QigErIQZk8fcJdeRRTOxRarOtHTlZ+LWqPVsTVH4palc
d58n5cM4E0iIZP2UuzLbMARuR9if5oUtejSg8y81PmshQb+lAdhk6vQPovOJJB/9YFf1Srvskbas
g64KV4kuHtkMmytkbMOG7kcJvDG092PdiAeBTYauj9us8gAki2Yxzk20gwvBi9gq8xGrRb3uXHrj
xImYiLMPUxsf27yFQ90yZS3IqQ+YcAnHX6DnyoF5JcyJYMdv0j4ZliJNmltUNNlN5dnhHh4JhsQp
ZTKMiOQmH7Jpy5gbV3BVye2UDs6lkAqZutXv5ciYGiJ/09/0on2g1azttHq0T70wornjVDbcxElB
1xh9rWpDmsn1yO0tPyKUPQEo/0y2kL12nMm/T6yRItGkxou8OLgeLS++sqPmqRBcfOw6xycWG09O
pWxIflJvPzWSj4y1rlrJKjMvwqxA6mDaLGk9zEC5igyfYpRdj2y70HbZ78B/ItjnmvBp6sg1UgH7
s+pYg/E4jJ/8kXs4Ngm9vuOCdVfoDpWfV+RXJCbBjlN+xlAmtAPS46s+gqlCNBfXRJIQEYIn5b5K
SSSi3GjBp1WFf9sm7req1Psl1yz85pGXYcTxDIKgMW16i8opcuQXIs4Zqy3Lzk6wd80iDWOWazDT
zDfjS7eZae3ce45eOtGjKtoD/bKo42zR6i+phhtlEXHn1ddD1JvOVSq9kmquHLxd2nnJdByQBNwM
HNh3lgx4RNKepbeXrbI/NkYsDxHlNncwbpSfW1Y/kwBQWNyitMAVWO4q97bGcW2uAlJ+DyV9gUM9
BuCC/aQId0Hd7keM+VdR1mV3mOMsdyEVFvEoDVi4/tRHj4ApmrUyRb4zkAA/kbOiMzbyyNMFNt+K
Y2hJ5kGuqDCcTj2YP1V5PB+WUpTRw0RCMVv7tyIVFKxAYPrLVjXN9TiYtY4jbBzkYiJmmxxqu7OG
GW/TfdBxTTzVUo8fOZNDQt3y7pLw7PwqULb/TR+iDudwFli3GsLwD1qaTaccgD06yOwrcUnOs134
dkwMuFV3lLqKoGVM4HubMX7ObrtsuD+MK6acHsUkQx7anEwcHzo12sfMabJnLdET4p/pvzYLp4r7
m6AWzgPniL+uhokM8HE0NSaZbhVAIjSicC+ZtHxJ49gXbEbkM8ECUDPMhgjkfIy06zhxGuBrVi4f
8RmnJ3RPIR3eoBUuY8R82vtdnT6Ltk5vCTK+ywiqMpfxVAT71GCqaqQRD2tVwmCmDkbc3vQNvQUT
2zmiH9PXL6ss6h/tfuy/Bl5Uf0KMpTaFlvgQL0KfMeRQj9pBGom6Bk2AxN1qpPZF6CPoSUwtwIWw
re06F4/nztX66pMfDgVqzSno9pXRWv0qiRN6PL6bJx9qLxaCmC+rvU0EUkuKTKsm8b7K9jxzyOA7
U6eJNIqhXvDO/bXlSv0x8MkvYCiopwNCX83edpmIbwMaZVv8Bu6y6Dpo5bUniEW3ooQEF3y7Sys1
3ePYt/XBiNq5uyX01ai6ZpWZLDg3qyZ62lKsa92ul/hIwXlHWHQX8D+YXzbtqrFtImI0RTazS2z0
anCTat+4QhaLPCsY4smkdRdkRjfGEj5O+TEdzapYt9gpajyb9fQV2IN1GTBiXNH6/CzCyH/vRkX+
VIZNubGiDM0IW3yQ05JIS20JnYEd0YYbvY8BoVz6k3A/MUfOdlVUwVkhn2DCUG2N1me3l9FFi7Ln
wSfyPV54OaqhRS0VYwbm4Tuk/PxrOnWpt8OGNN56aVCr5WBGxpPyFUarwq4+Adhub2y/JSY7GUz9
kcFuGaxDve9YS3pDnEPhGs9+bdbJmr5IqB1IwQ4+Yo8v3o9T6zQbq4iGi67pRqJnNA1hg2R8zww3
3RO9d61PXfyxLtxTOKoV8UOwtj1t3dPjWxKx6N+I1tdPHcnjq9DPXfDZfmVeYdfRFp4RutuaLHOa
V1KJz4AfTTBHZRU+FGJ0qXvzHn+soaG2WBoNExNaYeEJ2cO07uGq7M0kU9tJ2O1qqqwMLrreHQ0t
WjudzL9GNI7AkHRMUxwK6GihmgKREtOQ96HtBp8dUQYbVerw7fk1p2ZZSdFdRuYAIJxrFjq5wNbn
lJqQ3kaYiuQZ3Ksq5nwG4sSJpmJrsfpLQpaiD1kwZPexrUeE7Nka9UHQHWU1+AkL3GEyKXN/Gerc
EfM+PHj4YZtNIWv6WrFfI00ww/RjA6KRij7oaS9FsY2soapMZ10H03SRakZ16HGpHPmE2dEUcfwl
mOJ2k8dtywCzVpvQt4p9nYXWCsXaB6Jq+m4Jzlo+hVbtXlt1rX01mHm/SGP/Pd+8H6uv//WfT885
wGwGzzL+0v5Y8JqGMccG/32VzESX4uHpldXjrz/0vUrGmWGYIHO+TzCZEnyvkvV3AnE6I0VsG2DP
5tSJ71Wy946oB90kiYLpJ0G6vIu/qmRhvGPmoFsuFfRcdbv/CDhuzEXwD0Uy8Ezoh8JCLkAtLhDJ
vi6S60FDNJQ1xkVRCYV8SIV0S3dyNkIEkQ4KAhA/AYPHJDW0/v0Z4jDg4KzkovErdIA0A01jhZbX
ok1mY6wYsYWLTCRgERCZcrLO4kQavjiuf/imfzF+md/Zq3cueMMeX60+j4iYwLx+517T9VkgJ3lx
DibjtqotX0xZytVPALsQD/7+BS1vnui8fkkiOAyXSbCgScF39voltTizKg128YXj+MeyJa91mSnD
cLaJIJ0Nb1et1TuDTuSjD6GzRqgnlCt2vtMROAXJ0ij3gRvT1JyUy7dSOEE3bU3mI9deEZMJhZeT
dDP48PcQ0RG8iqBAfd/MuXphXBBUySAA1WctawKW7KEjKAifLN/1Ob84mzBw4gC2n4BPoa5K6rl/
ip5FkdzhEsixQrmBeqtnIO0tHX4Rtve26bpN0Ggjyj9sk9KwWAS9RTaetDB1j0LD3X6WlXInJe8H
HzrCzT72yTw9ByTrkUD3V0eheW8YGqLQ2G3mXp1EK3yObwtRCROPbsYeMQ62WT0ioEFt65QmCIAh
ynlHdLKt/TgxdHkva4YSTM8007g3qRqbC7MEjXiCSexqG8cdneqjaXXIftvZh0SWBNI1zXRtdTtJ
Eug0KzNnnQom2U+W2fLNxc0cmUbSKSZJWc3RdwrH3bQMMA2aC8yl/NeKs3VYm4lCNTdMsyZOYxgS
XQfKYCBfyoJkdNFbfP4kLeynpJ/DN0fHf1Cd5I+DlZL5qo6dG7ye/NXob/mSXvJDHdG2zceoL1S1
ExOuyTXfI91vO56j1IikRvA6EKsx3Y0TwI+lQqBvXOCPJEnrHBXlzl+OT4Ydv98sffZBqaI6z1qN
ubpS/WUU9tMNPKVoYDDHw2uFwvBWdR0bYKElGBYonAbvEn1j7wKLMrM1iquQeMjaSBZmP4z3DkOa
k4b8313mSSAawvi68ilMWvtyHEPnAUWvcepVRRPGSsMnsxfxDqiL8Ag7LNynIuQGXlkkq1P7sGSj
XkdxhAbBW0ZJzzeeE4U3Huj8IFm0kTY+AFRq2htE9LO2GDID2jg5h9z1ce7IK71FTkYvJtSgiuUY
UY2ZEu1Fk7VKWJHmlz4f+O1iqxL9t5FEyOqRf82Tb9XQo+jPdeM+ceZATS5n9lNjFrRByOtCDGnO
v3yWavWsne5nsQV52TksE6TgfDM8XG5S8FCmVdkHm0bXqubjLLS89dji5VqbXL7gGLeasz2njqF8
RaocDPg/QqACKd50UkmFheYRJglJnVYxBwW7ZcervETqGTxt5IdSwtM18ucItc6W5UURYS25R9mh
aQ8aPfX62NJYk9RI6MM32QiL5v2UE2z9noFont4GCsX2wICBxGBlWftJQdJbTGPOdynJN5jhDYyC
wP/Mfo5Kz8lmzbxs2Ah2lehADxRV6Xkhw9vhhytJ8JIIN+eHopWCv2XoLfbQQpSYIjrsOUvP8CLn
45B5nXmVcJGvl15opOUX18L0FDn4vhdeNkf+aYTUDTs3CGXySRoSnBnaLQwFVuC16QfJDoGFmfBb
W1KaF4Xjkc2mBeQnZyE2AjqH/E0EcSQH2kH85gymiR6kuh0+eF1Qp1+R1pgmuTIjsTZrcuVN8yrn
/JnqhdklobMPiJHMgReWjq7vI9NCwoL5Ba0LdAf9UzxMzHnj0DsVlu5/tBUSvXIy7lwVDv3SmJW8
EDu0dTqre1kYzdKaFb/WrP21zjLgfFYEG2dxcOTm9k5DJN0fS5HUWvwhjETXwOBg2MrwqZp5UhkS
5Aoj8gNdLHNp5fonBJyotosZRDCrmOOop9Y3UjP8nDWB+3UILcTQhiyu2sw5dr2sx3WayeHGKd3w
k22pYk3+kmDaTMPRq4PiE2jLfGMWehgs3Ynhtt66ktxOGChAihiamlOaXcZVmL03kwZZK/bnzaS1
JDMpxOyFhIWk8r66UtmUH22hunXXu9kN23r1iQS16E6J7Lp39SHZYnQWm3qskeWdteQ0JckccrL3
fS6acCNn2bnPAbbKwPMfMs0nX9gSdGsAbDVMd+nFx8oq7zl0qo+FnVcRFB0EAF6slx8i8Bp8tXns
YzibFe8OouVT5Qy4RshAX4UM6b/FEgQV+ZtiZ05JuOkz0zzZIeXcKtJt+CHDyHVg1UhTXdTgDrZe
Vo8IFBF7713QRZvQNm6SoKy2cxdhRf+7+piksuo5pZSzR/xuqPWYI7oHzhbcQQ50tuREpxsbgN9S
I6rJ2wDUcE6gpeoLNuxxpxfFuO81puNTm/brsUHP2JqCrEPIcjv0Dc69itX0rOtZcsHQZLqQZyvC
728obxQpOJ1QZTHY4dFF5/PTlWjMQ6ow2YKUcArOMFfTOWJYtuxzxWCy04BHmLXkOWHyUPsSHtLf
v4GfbpMCKd6cas9u6FsYT19fkOoS0Abmo+BwTigFcZgRR4Asbh6oejRJSeMmUONPXrk3Cr3Z4IVV
ambOc9V2xVuWvkD16ka97R/Ojp5YxOxM6OL/6CR7bZQ7G8nwZfEqaH7AL+hvrn8qKlG7+mFwEEzS
2dR1yaFRDNUjFDx2rN9/lb96MWx/pD1wQ/f8t1BktNyNFnILRdJETnVZkg/egL9YanH3JwPgzzdp
unUe3xurx6CgeHOTrkPfrVAIOAdrNlkizI63dk/uCUginFZu+aecoV+8nkG+EPowhnwCE+vrVWLQ
eACMkduHicyah5czELMER5ZdQPlbNWBC/vR1/rxGPEDPfEygswDm3vopy0LU+gBN+9C9xEwTOzwY
/Z+Me798FZeBKHIwXDlvcd0Z2cxFEDfOASuARP8CUNAFFPiHpfGrV6GgBG5DwgLr/s1T5rQW6AyN
z+LXxN458WxCwMW5+v0C/MWvZM+ZiBhD2Vbwar7+lVIa9nFFEOzBnG2TdFb4TUAaEZR7dqG01aCm
P5R0P28f7Ok8zHws2AO87OuXxGgTjH3mCAJNA+ej0XnhYdIVV5EuYzpKXC1Uk5dg9N9/1J+ftZl7
TqwCn5Z59duPCmgqBj9jm4e04+EKEIJglyBea0oc7w9s7F98RBYHCS7cwUEQvN2rXAQWvFRuHgYZ
kZucE6Q6NWgWM8GCSecKjjb/nyAEv/p8UCuQCzKVR2g917U/TMKVHhdW5DvG4eztLHJYZZnuRVsK
nT8+aGeswOsiGc8q/E+BQBK69E9PWuRJD6qWDjquAZMHftfu4Zfp2W2lJnkqE0L9FsHINXnoudf1
3LWak6rVEGzwzQuKi9J+ykJIK/iAyMv1QDNF117qVNkfltvPKxxpNxNgn90cjas5P2c/fC04U/p4
1AJWONRYaxkHMYnug8Zxhf+dpfYv2LrPKIu3347LU8XpSGqG9xazH2b0SwKOmIMG1U5CFLVmqyMZ
ms+eNDixoiqY13sSG6e6w9KqlI3H+Gx8xzmHobIOuwn4sgMjox0Nxra/fxR+9Z2wU7JWDIvfznzz
1Os1snPl8dSfvZmJDr/JCDULH7JVoKGo9T+1cX5am0x356eBVg5LFHrJ6x+hjpv50j9OByUgoDUY
j1ECzXZrDlaq8d9/ul+9GDGqs8/AZ6t5uza9iSEJ2tLxMMApuyZkCKsrWZLZghYwVdLvX+ynbZpP
xiCMEDFrvou99dXnczsXJPN4gKhJYRnGLSuLB5Eq8fcvZM45Ja8WFfpfZz67bT4cDoo3Czmzonhg
yNdzgOOYvNap4RAPek2bvg+0EplblSg6ISIU3hEgST5QkbgWoTnZfAyWZK5jTKNPoPUUS8vGmLDj
48jZYa6ilUXXC6BtNnc/YIpQHPfERV23yApIYfv9J/n595n16DYNUx8AzU83kbgYvcrNm+ZwTtE+
Aw/yPoq3IZ6q9e9f6qeF7qB4RzgNGYSWnvV2z29D3WzVEMmDnF3unnnOGkcGudZMYtZFQSDVHz7c
fHr98CsJjjXXQ6/PP8Hc/PQrFVNuGbW0xcGpB/EVZow6SBH4D+eGiOM2dHXqKbPfl8Ng/mGnM98u
EVyB0DWgPPDKJBNyBrx+zEQWtDFRp8nBwKSRT6QbeJhNtqMzgUpdIp33PjtGmgJ4KxujOUEr4wm0
ZBjvUEWAKkegN97qXU4XcUrnfg1c/fle3yG9R2TNOpI5cLptx99/7bYAm/mbegJ8fC1M5/kIvrAb
G9rgg5yXV6ZxGGwByDPxUHLEz2o6zXBt9wOtsSZI6fulNI4QQNcKh7YXoie6tMG3EMLBKPSmp9tw
woyvbQcRO9flaGjTFgwpFl3VFgD3EVLoR9rSeoEj1u585uuyOrYpAdDLeV7Yr8qxniigp/jQe/Gs
Zs9shpidEdUwGTtoXC29bx1xz9OMGix5ZgwSUZZdZWTGcy+9lKa4hrJn6eMXphk6Qp6/VkxkwrWL
n68k6Y4W5daXyNh3jkopSooaJ9H6nIh+vnwCXabz4mfzvQZ8X/WI5RB8LN3yuF+mM1oX3z6hy4yq
PFAVTJ3z6NrKy6w8pmGt2pvGwlW3MglukevSyKv0tsRNbCAWbo16Q7ohLn7d9I5wkUvYrpXRPA+N
zqforcSevlpO0YlLWaOYWrp9xs8Mv5M/yEe3n+yet3tXzbGo6xSC0FHxbYI0rSDab+K0xXXvVCMv
Tx+EzhXcBxrhXj461lpZMDWWnRMFxuepnydWQ4LrdiBTBU5hOnFq+TqkMyZlmdWYV0WPJuTWiLXZ
LM5yia4pF0u5NEa3r5aaFou9UrJxyQxslbac0GVDgDbZwu0pZAUVhaLENd0+do9CYcrYR4MGqbEd
DBWfXjzLHjzaaTucOQG4GukyhuiS5b1RMJTderHNAoOd6JgnLZacDed7AD17Vt8UEky5i5ySvhmq
RlIHMBsOyPqmsRy+wUoMrr1JgSM8t+DIWeTNWNFg3IuZKBEHURSs0Z+BL395rJB9YeWan5netRLv
qYAzD2EVLMG9MRhRTH5yTG/ebAXbuHRsVhEZfxRGUWbzvZq4QknLTpru84j4Wm0GxG7XL6MZnDlP
gW3NF4lQcLfzSlc85UYyd2Il7Xlm2TFtQ3K5J4RhHH8ouGgyRvSu3CPj0m5aIPYfkk0Jt7S5yP2Q
xzSvNCYNGFD5YtESC2uT+GYY3zRFzRsxdHonGwQ8zW0xGfXwqSPvAewGMv4UqnHpD92lPWTGvZMk
RNt1MojHr9A1WbIJAjVxMxoVXeBo5G5MyrbRuznnMWMALKIR3QLWimCag6pItJb7gYt52oZMktuy
shZZrCotYYY75fTmtcxODjCD6NaPmN+MDR20yXtEByoQcuj6QKuNDnk7uz+mjpS6lxP/33PSP8xJ
DayYP5y+PyHx/jt7+vyUA4V7Ieztn//rP1/+yPchKWYzGhC4mZC/G68soJ73ji2ZcCSDA4yOwVzs
/jUktWwsoO6caqhbgppqFvh+lxLr70zwddwiCJphWOob/0RK/OYiN49naVDyLjg6TerhN2VpYiAU
ayyhcZZpGAriZJx2nS+a+x++k+uXm8CPsTxvLj/nl6HZMQ916eL9xJ+aIGpjZ1HarpmYAKZlPq6s
TveucqSGf7povbn9zK91To2jTTjPMd9eB/gtEsg1VrAbjRIjqSNn7q1hHZhQAVYhAOBPGV9cNN5c
f3wbNTZtkZleRldLny+xP1RbQ9owb3JlsCOtJQixQZXtsZQdrNhSy0u8/NADHgC6WeaG7AWFTBm+
0bh1yh6EaG2HjMyUEj1AU+rj8zbml7PRbvQlENkhlsfab/wtQWb+tgdbvs2d0STAd5iJvEZ+k8HU
2oIpat8ztywOvpLVRgvy+BSQ+X4CPGwTKQ9zfjvWer4HAzWua4AFN1Cfp69+Ek8PUSrkg1uFl3o3
xmva4wW3gQz3DTqSS0obZx53Wd2N2QCYnaypvJqsPnlv6jhKCj3INnYdFTOTRi27suh3eolot55q
c+spGAeyHvs1M1Akia3VXLhGW54YWCI4z1LrSadM2mVOX6PL0fodDW03XIjBD5ylNwdMNEw2j86U
Dzd+OUXdQq97EiikJzZ6QygF93so9isuvHNchfsSXkGfc46yiIoq2bgFxBG4q6zzJXZ7JDG6lRef
O+lSFHeh9wFcrXnrhzrGPPRE/nPiNRUXOx/N9SI3x5LpShIPGwmAn+kNdS1MXbIAwauK7ErPlFct
HbIKjy4+xYuxK/oHb5yyZRrExEmYGWsvmUJulHEC5N8ybiED6MsAs/QtNzJnTRKjfMzdUm3KQW83
nnI0ezGUTv4s8zza4u37MsqkWoX0sy5C3+uqxf+wd2bdcfJY2/5F9GIeDr+aXJ4dTxlOWEmcMIMA
IQS//ruUpPuNK93O6vM+eJ6sxOUChLS1tfc90ArPm/3I4ORUoq/7ulnfQ1y13nGUXa/sNY3h9Gin
Og9bZVu7qihT0Lmd9eADVjpPyeCPipbF3luKCkmkbHqhzSG/VI5xq1kzcMqgm4vkgiEYd3kafu1x
PpqdebhpazIlHdUvNpycjdGUA7SsN1WVPSWjVTBJKWZY6Msi3tvo7aiR0e9c34byCNo9EvKyBOiL
K67Mli0Kh+VnilYpH44+eSny3lSil72Owv4+pflxFXLoC/Q8w2mj6MTUZvWAClfXXuW7+9JB0r6h
ex4Mlryu3Hb9InW3AJYXwResBKpbsOvurlqlvO8DaW1bGd/3fVLskfH/YE2Dd0OXEyerZR1vrGgF
lZXAq2vbBMFlJ1GHpfHftXPzPkJaxz0WVYxzwAbbtXz52oYFwP8UjC6OjVOlS8SnYgHZZx1L/Cay
pgI87E60qZYaA4areK4XfY5rZLY0pDA9imCpZSGNVY0zkEoaNORRGQPR9TtMisby0R/KOEPTCtJE
rObHaMEbOXFG+tsB3iwVHLqqgPfR22ifybhtz2a1htEHjZZ7fIiWyg3OUQQZbTrq1hIfxnIsIEpl
jQwPGc3h7F5VAZ/EukNhOdFDw9t0zdDOdxlmN7EHCpiSyWWC1Aa22mM6Bx9dkRtwv92mYNRm0nf3
uZxmC00NTYx8icD4Optc5tK6qBY8FYaHCsnkpj9Deqz6iM509ZAosBdo+BCGuyZCr94GyR6liwUh
wHNTWLZTiEi2Bte2mVc1g0s2PliB9LyL2U37Kwd1lKPbWFBAdLUUy64xWkBu3lFdGXvzz1Eapg/L
Ms1fsUow9FLwtwe/opPc1ZrrTn677CrQmecCzemLQtOFkM20tlvIxmRjVkz1vPeNxE8EOuDgoBW4
Q96t3QcC/ZN2tNG/thaKnFaaJp9+lDt7abUPKzpeqLq3lpHIV3PzTnu++OZTkrriRozqsxEaEhDd
1t0UZnW+H5a5O4/tOrmtgyL8XFOYzjceyBuAK1Hzzjh0V9sqbrg3Chb8LLAkKtbxUD97QAnu8JkI
0cVfm+4ha3L60yNpBMIpHbRn1m29+7GP/y8L/GsWaChY/xksRxY4VidJoPmNX0kgRR90BVxaWnHk
oQdi0qyfSDms5v4BNs2xqc1TrAUU968cMELrwzQ9KePEATg507v6lQMG/IiGDz9FJoRyLXLJ/4UW
gZFC+K16Y24HHGUAa80BKMf2ZTKq39KXOFJLgyC3/y2nfl9+Zy9JPXs3z67Vy52U0JufS1wO5GFc
vBp0+bgEwVeKSKK9cjqMi9yDsIySeAUqi72yTVL0wcFLVAb0ZDdWSUD2RbiG0Ep1xilXeQpTl61X
TwsYiKKcOCjDrReI7GQ26kxPucRJZF+zOaMn6CNvyHkakkoQn3kjlqrsjmylybCtZ23F6aFV5SiK
7TLmKVC5317kv0ldTyVcIfQlHlLRMf8FbKGno9ONodPJcQ2+iXFWCV4VWZQDbmAPIzXCkyThktqB
t/29R/N8eQTSlXBrLpGS52mdOdNPb9/Sj8Lx/5XbaK1E9MjwT0C6BXFT9GBevzAI57rpxiF7cSBc
VdcCEbDqYvUntOLOciss5grhswJLLbjzIp42ValFFW1KG7mGz50eFyyIogkJrws28xHfCBwe12m3
1tQyxr2k3kFGOISppffhWvXhzbpWDh/Dl4dMd2NnKDglfykhvj6J+IiYmjlI58CmeIlI+EkjB0F3
5MBQTftmA3AMH4K2sLp7wFXdevf26LGifp/tXAh5Cd9HVND5weI8qcovxFj8P3T6AnbUNeoyALh8
vB1sVrj2otK/hXQcoOe0hEENHwtF/0jds9O2f7OsfX1sMI+MzAJVUyR4QKliXf/6NcJaXOxEl+GL
GuMhvAkoOUmJIppF4/yCfGwNwv92kAMvRAw34Mxpo/tnQtTvK92i3xGhZeV9rad+6JZdvwgoJhsV
r3Qn/3Kt1+cw83QELt/5ae/MUezkhbo4o1SC2tOLdrKx8L+5xt8gP08F2hIXGcKVDHG9hKYt+fYL
/mMmkTAa1HFI+Q9kw6k1KkzMccANePyqbYRMMESM6ljdp64F1Pwvz3hy8jMPmaATxdENIWmC92nX
pew6p0IboHkZaz9oomMBKPipdiUxaiujLM3ErU7W1G6uumJoQ3sfqLxan8sxEpR4mpqACFwFNYfk
XQlv1vO3OV20+qrC5yxejni2+6Db3h6fP14MRC7a37CR6d/8qYHvJFXsQqNov0JuGLiLARhT+V3B
jws+dF0Tdt4ubVQn078N1p8vBvXPkLOiTUOS1sRJ2EotDLjEEFhf8E100NVEigen6m0UCzhzWwd4
61iDKPar6DPcuExzghyGIcGpxQK99Fg06wypJY/1Kr9kLb5t8DpCF6NUjLxBC/xllOLT5ckNRjhJ
s0xQ4oqp6rxeLEE2Q6Cdhu4LnD+k4TdlvMj1bgz1wKRaF/J4dZaMYgQs5aUFq2lsfZ/NoA2XhWCZ
VH62fGUCAt4MR+Mxz/bnV7CslYMX6vefAdhPBdEFwHMWfhgRd0DhSjVRxUxV8J95O+0gQ7bhFiFx
3kjepCZEo6CVc0F3AbH4Di8OqT9is0kKscG5JWUs3LKEMbGxVySey4Pr9wHru0dAw5RA/BKj2Hly
CgcFm3RcKfGmSfChLVqm5rAiTQxOTZRJO6FROzkfEEoXZbufQuiWzyuVSvWohj5U92PJv8ybvC2J
IJucMjLvzMU2hkujiIci5LYEVs5C5zxqapqdgR5ncAfbsA3giJcun4SynfIRtMLGBp8hOlfynaRU
ymYGEq8kBI+DX2JZWYLmUY9WMSd8nPqDuZqVLSK88ZKq6D9C2wrUMUWct7iufTAVZ7A/dXuZAyue
LiY9aeaSjjEMWnb4jDrLZazGnM3SpoPEH32MtOpwxCJNju6281tRVdCSfjxAUMqcR0UCJzF6LHaK
bfYmsFum36gzE8TqJrKtZt8jm8sfRSQWXN1GUYFl/fUdvejpi3sFbPx8y5TrZk0xfQ0Yg8krFi6t
RU5wRCeFZ0KXzYyqD5+YkQso8vOBeZZ5ddEiZ4TvpJMn5oqeFZG1LSINGRaxRChswpi3zHTpoECV
370K9P24L9OwbO5bSVMuOpQeZa5wIzC+Yk2pNkmYNZk71LwzD0kqfgs6TxodZCZpcF1Yvi6Wr32j
FWPYaWhU9TYgMDrpQ1zTky53azSB5zpPqTjQTkXpw+RupaM9fraEZIs8RJkAd7zuvVS12b6zBvPe
I1cRBfbD6lEL3HcI1XMng9f7/I1TaO+pi2RUyF3R1up8lsJUesiE8OZlxN41uJ3klhaenn+EHm3u
xU+gGoQALCOW4ILKPjPFW8OQqgcVSm6vREzU5G1YgVbFzYiQf/ChmHwD1Erg6nFbpY8IEm7PqmEE
J8hIDCfcczPnalJA/1hKDdb8kNkQnuXWpNbqUcQt/0cHs2YBR6UkNpA6rmQZNChZ5wtoABM88opE
rOy9wSxpn2JftxuQ6uNNBCN5I+q1wvHUY0SFgVHIu0hg8oNSGC2xa0ziADjse9RsuD/qSpOZ1V5R
DHKHaefqBEcd14EeACU+4qBdJGpH7yQykSmvczTFQpuCSZVkwjvIaskgHDK3aUZkClPPu2BZNNM/
Hg0ocZ80lC1aEgW8L7ClDFQFxYsje29jeV96xW1HVycF+1pO5g2Dc1ps5+CylpV1jkqAUenTQw8+
AO9krLnmy4qTLfeICQLvpvdjcFif29FBup6KZol56wNq9Knf3uC8k2jYHDbd3XpPICbc7BH0LJd+
m4mpSxJaKiEMwg2oE5kfU6+cAkincAj9Kvy6zqhSw5lz/IVnTkpU/zk/D7nO8+yq6vLJiW6kpq7K
5ClKE1IiOS+9OFRLauYl+j4jcwhnXxS5Lru1W/lZ70KLcG5QZiJUQshnlHYNjmEQuDXYhKm/AS8N
D/FQtv3EW2odYCH5vlvgAYbbpLdNFERCOWHm4o6VSnWwpZj5JEeYnp9JhNeIS5WtTLlTliYjzJFl
JjwJH/fB+VLmFtFBMYqsBceVIxNK9YO3dOe8fQjulzG8Bv8Y1+B6s0vahROX9h2kj6kKU3xir18E
khJQ9gM6h/sYlguDIOXUMx018r2dxaY8LMSHJc4t/xZxggEGMyEq8I+ilxC8oXpgrbBZG9ekWDaF
iuUrciCcRn6dQ4j6ZnDmrve65AwIcgwAIYMz4VnnU7muA7YbsZftMKtt071vg35/SHvNwxcdm/+y
N4A87jgqZ2SSDvDcIxZ2Oa2k07AOJzOCv6Z1U8zmZ4vf0XHdroDgufOws0y4H62YTcvBdIoxhqab
DJgdLnVmsz6tDJXJrY+wd+Rs5tyJxI1bEHZ3Y1IN0kJR31lC8OxzPTzYaA08IvqDZe5mGJCLvwhR
0KoOYacm8VU07DGXQ9ZY/nXKnXrbrhVF/4myK5rLGDx29QuKLetw31DWHT7Pq1PPt2ti1RS5kBOi
KOQFs8D1D/fuQGx73/PH6TDPAZJKQ5+neJGFjd04V17NtrqHbKCcbc87Ggjy9GtXbNlaNfgab7tK
mZR+Heal3vhoXbsJ8hXWIj8mrjP5D2EtFx+hsN6HHbEBzb6gDCASnh9L6SXN5LnM2clqwPb1vK74
mdarPRxSF9btJRW3dNqEsrqeAfiKg0oiCJsBCdr6mJUU4dj4QhldjJTf4o3nS9fZLuBiUAEIMzkm
xhwgQoITJCv6XkGdHQF8yx0euPMKfrq17TNndnL3kArt0NKUaN0X2zz1AutO0Dfyn5D3w0DvzBZQ
uft90tlaP2qpPXltoQpv3fuWDxJDtsxqOqlhODytsB9azNElWmriLNZBtoLvV5EIdwnOY9VZWkiw
Cmvnxw1yzFXnufk2QkKrj784TRm3LzlyXkob5u3S0y8JPFxZp0h0EYT3MZC4U6ZtH8S7qbID1PTS
BgTrDcpCVlWdqVCQ1ubf8rj1JNKCdJ8nF+mVQC4r9uue9KzsZnB5mPLuV/Zt4xUbOvdz1nTgUGa8
r9mWROPh6fg0L4EQ/k6k85CCWLDtjBxlUYYkBiBrZsEMELOZ/601UO89GzytzLaSEEhY3H1s0seB
DZzlkPuhiXANqkaEkoJOtJMeyqXGS9E8mJjjS9TXLFJSbEoVWw89h5JdBi8CjKHPlijiOw8TsgOE
AOzxzMkhKvHRoRTjq4ae1NQ3RfgB6DOwjzN64VGVnGWWpNYgpj4gTAbjSGYfVxQ33TPfDciCZ5vc
zdomyyyIZWVcmE0DtYZ0Zg9vRgTelYOns3dMfLcmJWrpaxJTGiSIeFDykph6UxA0gwmITe2yR8/0
QElNYBhJBki0kdk5sWPQ3OmQ5RHXhpYUdeuD8gOondsuTTRfBgkkZS2NQTdw/yNaSEQUcDY1H3FL
J+GO2lSMcJSBwph8NUkhmTy7chrCL/Pct3jvuWXUXmVdqdgWpRAml2pFZFKWPJFmjGTXhtL5PiGl
WyW7uXYUWB32Q+oGtEtSzdgm9hAw/MRwNCD36OxR7gnHxuxSv3Yw/KYYx6qzTcUiTGZz946XWgwk
2ttl0p0tRcOho54sBpYwU5o7AIefM33+ORIYWo9yMwlvJSPFbZNv7GgWNBjrIuUXgyCy0KsptoVN
HnAfNDoNPsBf4mZ+vkY2TMd55vg3yUeYO5on9soWJ97jNFJHp3cEmW7O71a8s9Lko8IDsayOuQiz
BvQF6ah6XOEo8FTgqEzxaRgA7Ofnwm5NUmFLOpV4BbmLOcjHYc9kaajXOXpbzPgwyJ1fuWQpmZua
bF51YhiCoy2yUcV3q8zdrrgKgbdwP8uKJAndL2+weVQFi0g91iN0xnQDNtwUvNqy5wMgQkyi5tQc
jYueNh320inKpO5Z70ao8u+yn7trrlTGpjkBWWFBeTD21GPoDSbflMC5lm1al1iVb21GoPyerqC5
li3/bj5NVjKsd3MdR2yXTs59uds8j0xqSBEfz/Gd4wlztz+XRyXpfj3WuDnyUoeRwNdcedpT2ScV
zxkIGOhgSKjTymAu4E2/kBOUB3/wzdytWzdpr5vZyZTcZfUYO9MFX9B4JLVzt/BuJ0s1XKtdBx7B
FiDUKVY4JrVOVMeRL4uSYvisBmxumg2GPUISXJbZ96782ZEV8GekIsvvje2aQ2CJVitf42jzQlAX
Ib3k4Ml7lkuwLpfe7HJ+Av6waHWmXa+vPqvc0QwKtrMm8xkzW5FrjF088LQFcDESg18nYsDTCHce
dJbZnL7arPf4W8aZBctqy7L0V/xf+xXEqLLtLVDknOOIyodstI74fXnTY7jW3mRtrdlh/OkxmUM3
RqMmCxu0Yw758CJNIp/hqKAe0zHNeGsSAQTSdR1bK+4ngwroLUVJ0NHHIwkhBgAU4sh43qOrj5YX
5wemU4iTJ1+E7KQJlYKYHB5FFGgaem2kmfpHwCP0FJcqJo/6ufRaVZvUqraaBE3QpceFrt9JpUYz
MdrZ1I+w3EDcZAMiIZ7bW9vXuu0ZEIQ6aRQllmQgZwcr0erIaTkT1yHtWpJXFKszKPCtnt6FOlrH
c3wznPoY00wfBzY2C8o3h0CpCJ04r3R8TeLLgVhV9q3JRGGdEsW3889TIxxkLDfOezxXCFIk/FO4
hcFOdN6DsTKnwJ8HizpdzU13q55RCWGVLfSrZLxy4vVVjFAQPOSCjv4WLbOWV1o4k7n1qQV32CAf
NKVS7pFy86vrSFAc4YPrwoyC+WoCluQ1ovAGGAOb8k1oFeNKZyD32uqz12lzQl9+Ro5EjybRRXrW
zMq3q0b/pmYEZAeCGA0ddKdPC6y41aK1m9TzF51Kc85UOALlwc6Cz1knm3EaeN6/XPK0qkaZKuZ4
6ptynhuTOL0uUy2ibWNb0rwPwtl0b35OjRoMPlvX20/356UMVgk6iWkYGSTP60u5yLSuiurEF3wt
THzqQt+DUKIJ1sSut691QrYAk0TpOAKpD+0NoYg/ulKj7aARBDzki/YaiMaXU258qLeB9HOWIZ7G
DnvhGnYEjalFuJ4iiqqR6twaflx4QxXCdDYSjrwm9vyMzL96H4YTalKkKBjZE8AazPzt7dv/Y6gA
xgMHSkDIcxx3bfPz33pqekgbmc0RggWFo7kPNihzLGRz5Qj19qX+mHMeheGEVhCdIJTET+vdpFEw
1UmgPid57E3LMV3icn521sgskTDN5r9OudMWChgno4+ONgXdBPcPONfQj16cUb//LPzcxCipWWx3
E0o1bBAuSNBllybk+yQTC3//hpSRPdwS7Zrg/O1nPx1muqZBYHoZtEkDxzmdkXMrtcJ33vtETYKj
44LI0PIVOSBznH/7Sqej7ILa52mB7nM1imMnxeuKxDD2nNL5NLVdVF2jBWU2qKLkpHZUuWuyxrcv
+JpORZcQqh1lZ5q8iJCSNJ3MICSCV4LJMnxCvsrUkwcvNWGOoLjwXtOhrzVYiyJb8KyJqiBnZ3z7
BozPxKtOGakWbhM2DmZRDN3JO40sKEHVjojaT32OO0O7p5e1VnuqHnlSnv1MW9SQm9QYELGJ37+K
4hY2sBwvmlCC8jiHeGEGpwGExh+U/hdWcYfnL6eFtcaOyCOPmLt43MWeBHqBoHglidbRHJjNUi0T
pDWwDDYLf+MRnchFZDRRPHJAoMyQrytKdEjzGpXD84LWcgz4vbJMbjUCoyFYWIMbcYoB/mK2c3AU
5DbR6JktHt1AwW1FPwv0I6k9URMrTJM0lbH8kfG5jkmWURkpiSQ2VkaMf5yVA5VJV2l4Zpd5W1GW
fXv4/5hw0DegvCAxC4nrz6k9cbLILXtdPnZ5j6zaMRPSHIGSVZoM4FfJ+u1Lmvj9W185MqEWTxB6
NDgV/8mWpVG2SHiX88ckA87q7RHdD+EmQMqurBt7tLmDDWKJE4cojY0QLwJPRnM3b9/G6ZN7HjhZ
IqfBcbLmTnlTbdi3M+8y/1h1lD8vMCyXzZNbze5w5Y7y5u2LnU5yQKmgN6kUhVhP4z17MslDx86K
XIzjJ9WLcn0OyshMC9z/TGb19qXckyXNt8OKQ40ojH4wp+yTjlI2a7uuW+U+4SJvx7uU8qXMDljs
Fpx0i3Jmd0BDd234I6Jgw7zUgZc8kwoHA6KMlHUpwXDkMf17gZINeaizIoT3aBcZJxSo4qwKrCVz
U9bSlikDxBKB7/xcxaEpE4PG4tMIYXg8nFUF7EUZFDgTVlRj4jUHgkr352ikFUt9wLMu83/6mfxH
e4eT8WYMEuKKzTr1I+w3TscgwLQzacJJP0G4MTtz2tGqAHM1d5yc3x7vH0YRv81n804JXiGAi5Bt
EW7Q60147gQ1VcdPH2O/+3EtpPPDm0r1JtWfCPWEoJ+99xqQDqPQ6tZUSX/9bVCTqRBYs83gBn5k
6pmcBQWRzm3GlIqCVUH+WK+QMs5DOliiQft18SYOTHsUAjgeFytBTR1+Nf7oFpkmklWXLmtnje2V
n6muMS98DUquYv3ojkc/SxO4aJkarxXk5k2WDlnLvImwnuS9I/hlCsu/WmisSOZuSc+DfS9NqXLA
rnGQVOn+st/Gr19fFKFBEAEWB7AUsBf+QTPseQJQsCL9Wisv+lAObeAeXNqjx7CKhU+NP5cHnDiT
yyUu6hRh3LQ9NkjTPKusADjaxlNL0zTzNgmQRMQnkZl4Sjm/jljzjSrf5rECZ5mU7xpabV+V8FGV
DAfUlrb0csJbhRjwZW4X4zU7Ug5Vq8lVtbPG0nu/0kdWFyl+RcFGALP0d1QNq2drtSSHgxpo4nZM
hjufXak6+NADr6NlUDspFsSfE+4wp4d/UdcuXYJSSMp5HTytciud+hOoieASX1ow2VBUbVirYoge
XfbnzyLvHLRuhzCnhJGN45lbtu0j7JfpufC8HByUbfntzqJu97GacGCFHzY8hP44khal07HUU3mg
TbAIwKk0l7egEfHFm/xGXeCutpdzgiJLnJfl+wlLcKrm6VTt5Dx0j2sJ9JT000KAD/j+1g7td75c
7C/uIsdPqML4Tyjdow+kw+ayisZi7xdL8TdD31d7BhOCtjJJbkCq4LskCicxraP8EwFhb194X/ou
cRFF24d1J5GAhn749PaKfr1B/bxYBFDObPPkcKcZSbr6pHZD0r7gHNOAEdI2JCfqq5umqa6V76HY
qLOueUeLENzk29f+Y+b/eEywOrRsCOKnOLApGBPMbobmpW9bDq4InEITg/cI8O3tC/34pv8LWz+e
0nddgAd4BLEhnx4itdtUrgIr84KKA2vGc9kuUOrC/BeQex3dt+idGHNnCyB7HSTIdipR1GeqCEIs
5yWwL8B64e0QDslFa/XRE/stGsvUFeVz05C8uLJtEGuVjv/OVmX7vZm8+KqlPPtOuYv7Pik5p25w
KMH+JquyWw+D43xjRU1I9aaiF+fgCny0h2R5KbsM+ex+Gg5OFtifbS29LUxk7y+50AkIjyExaQBp
EOOCkbp7mhI4VjRqH1D9iz+Zwc8LLz/z4Nsf9ao/t05Sf/SsRO8m6LsIbGMjfwTjC+vh7TcTmMn8
6s1EBqxp8CAQbNnGTzYUNOoa2gd59AJTvcbyuR2qjY7h8SDsUa9yp/wGcahG6gn5M4H0PBX9Y0fd
6lqJUEmIY5l1u+LdcfTWhcLZAHwYBcw22A6VdV0sLVKwHkYRXuM9UgOtbzuLl7YJaYwt21Vq2i5l
N6KDJJLonrRRdQf0yr4vyIPeeJEoEDGn5FlknbhtAlnLXZcaKl2dT082LMB3Vgt5YRPC0Dx4rgRb
jY1P9jjXCW5EeW/zAHD7kJOWGS2AqOxLGiHsiQ9+YMVXRb747x2q2iliolWg/zLtzdidji1MeXLQ
kNNsdCpZMFES5r1H6Utf+MGN1Xvlsyi8BaR239o3zmwQ42+/Tuc18JVZFRkwJkccWFhA8E5FORzb
rYeGrfMbjr7+BWUzyEjptFiXFCrLA40ISaQPsuFFeHb9XGQaNe4isd9ZKvEOb9/LD9vz149Pqkn4
dGMXHWfnFAw4zE0wogXdfss0DQbO7V36CQuXXO36Zgk2ve1WVDhQ5UblP6BWuCvzMDjmwGF31EmS
BNVBC3Lg0MEAKCSavZR+KaG31phfV2ExHnvP0zchVjvniMdm/gatOnfeQM3GlDxDRG3aDMjXbMGa
B+LMYlgOZSWta3hP6LlSyrCufniZwwJmOyuDQiDQyO697WBdXzW0eckovQYiQ93XLZCSuaSHS9Pz
OVAcTclFxgfp6vY8b2r4+UMEXIaZSLtoG1L1u/OSoqXlCqJO09GkrySRucu2OP2I61kkI86lhQjB
1cZuh8o5ps8IrIeZ+14OXfEBzo387hcuRsajKsHwv/12/ow/zJQE0BzQNTyg/qjreS6d0ErP1bc4
pD6AKmJSfgHlsdA15JVxpope1hFt8LC1viywL9E/DpX4G7Xt303Y2ECQ2frQTaI28DqhBSk1NuMa
1d+QOV6m3Y8XAs09r6+KOpQHe1XJYz+00wGva+R3k1R/RLMEeUbMBJzHv4zJv1mwmOFRWyZ0gLU8
ReyuzTTj7VCV37LIDh/60Bnv3dqydhGF3Uv2xekGlQ95Ify2Oa+151zLNmIji2oJpTfKYwDJsKOv
CmvyvoOc74NNjBTkw1/u8o+UIYKY50HNc8FMc6g8GTLkwJYm6f3pG1XvPnsiswhGrNKwh59GW924
cG7pKY1rGO/iIei+56sdYVyN78Z85qED8Bwg2XxlR3P15CKvTIeEXeAwlNgq2GtWRlu/p937c779
j2fx+BdVYgoPFBv/M9Hi5tuX4ZRqQf3R/NIvrkUS/IM0wfdBbYIADgDL/5NrAbzU/4eNHA81BXIr
hHz+xbXwjU8rC4vV+0PZx1T3fnEtyL7+C24F0efVthbgBoRfkEnjwAqHRjro9ZI1LSZ7wU3qyoOn
pPLrtRpcN6zARvQltlQqKkj9IWWqFIzAZEG9r4pqfgxAhJ+Pq0wf6iZOV0iWnnuNvH14S5MmvNLQ
1CGicZbYGnQBxlfeYB1QfJg++GPT3Axx1Jc7TMsm3O3i4sZFjWdbBUOGrbxa3b1AgGgbIL96I7Mm
2NIV7Q+2ipu7qrLbOznP030CthZGMNoPz7CU5gujczeB5QrbDxAwEYm1cwttB1jw93UeN/eDK+n9
Vus5XUV9RgE5uwv7YL23nXq4N6qPBw9roNs1lXpvzZ68qESCtj3Ss1tFD3fv536EeGXV149TUerP
UdT0R5zEIdT64PXv+l6Md6Rk+fsez3B6qR2USC9T7iHJI+chgoEKjjYs9wokXobKbauvBsQ1ruJ+
fAJpDbOeQj2UDF957tb2xPrYyqna0p38Umk9jBuPlsGRfmFx1RdtCZFFBOMnxIlnzEp4h0+QrZqb
GHnzgwVg7mJoaMhscozCd1BAIyM6ECMKlVrFHWZx5dGqs9u5KuGfgj3brXkAHBR5sKM9d/MVNnXT
VWs5xU3uNKiE0lZcHqi+TYeKLudWhpV7Gw96PC5u315HvT1f+WO7HOGYe58pOncXZeLIB9LmWm/R
46n2rYvpH/g2Nz5vhD9d04e0D9CSLTAKdfvOkrb3APJHfkQnrP6+uKP9CJit2IWVbm/BVVg3XgGc
MbAl+UOGvUGv2+SOcmDzgSxRHZxYtLtWuvZ+Bid8NtuBtbe8Qb/08zjeOlIgGgIQB/ykwkakZOKg
HmwlyVcPXN6w7QcHoXjcK9G9pUpQ7f2wzd+1IwDMTZj0Eum1Zt00NizYGKGmDfvfZ+Wq+PKHaB+y
s+LGB2uwnVob3p27cqwdM00dkrx/r6ykvBKUwo51JuKjrTDKwP+jvLMFiidFla23VVAKfBOD1PqK
sQPGGGk2kur2c1jrDbXQ6bIFgUz8yvOLosIeBvla8GboLnwonMZ+j62dvgqTygY2M07X4HvJgDvR
q3cDJM6PfS1czAhroS9FQE6d+FVwG/d4IMUiO1Mqau/IcuS9S69gXwWeZP9Ra9UwJ1t85LoeeYpc
6oA9XbL/jHNrUQmPw/TcK0t8AhJnOA+WcqzZJB1/RZe355AR0mZ6JoyIuwUD9CNNcNAxUxPsOX3Y
11HutHgRKYGLaV/E+yFf+tsma7LbIffdXdiH3qe6wL/KaFjq92Oaw7vW8bQ80Cj2MswXamu/lk5+
DMK0uZhWRV7XWNGMM43VB/hviMVGLpfq9Rbzwaq5sao4e46cthd00rtUsDn2KZGkEOsOjuJLDcoe
T7yw0dfeGuGjWlRBUaF8rKznDNuUBEZvgINfbWUaZTCn7PCEbyGYad2vzUbEQr9za9t5P4xpC0VX
uIPoDzUGhba+5uge64IXl+Fa4x5IezJjWjAvYZzttc12/5CO9IDDpyxqhLyXXj6pY2fEANuLVbgj
BoAyLhstdr6i3PwwlDqLv/pZRa98m0e1PQdPDcldH+0xA7SqgzVNsnxZ4HI41RnduWGAI8jm9r88
4C95AMo7bM7/OQ34f0gvde1rwuWPX/kn4dK4q6MI6FGtNNmAEYH4ZU3gOMb+2Sc1QPUCIwKs+P6l
umGM1/ktcKc0XfgJ9/ArC/CM8bpx/kFOixnoxP9VUuCSg/x21g3Q6jQ9ByTU6BFze6e1pKaPRqTb
EVZ2CgEulzL9DBYM+GcQdvZlJ1SM83jZ//Ahr9ymJv5IKlIOVWVjV+7+9C43LXp3X5OLCmzNcTrr
cTkvwKVC5d9OZQuAYitm7bcH35sRnIPWvhxLa56BSVC3dRt1Pkw0cBSi6HJqpbhu66VE3UoVlGYT
4v1VgIrTBQdLZZ+XRbhc46mV4obVI0xkhR+ssVNnc6eibGtrrMgIsVelwcE1VDWdTRBU7mMe4vKz
LXJo4hvA5Ea4Z1DJfqbpMEOqXhHJCGvEnNZKBZ9t4XJ2ow6qrgs7B8nj5qZKQSEeKa4EN4T6rNWq
PgPTWMe7IOmK87DJ+ugmAQrE9rrYCBBYVsd3ikWeyaFSE0GZRkre+NVRUB0+lOsQAe0B1juhAF6m
bJ8qVbdukLYfAYCDuwyB0p5RwZS7fBxJJdgMXZQMsmWlU9mAqw969UEO/vKcrh1QqyHrhUZsjhYk
heCAB/VTe3I/APrqr+bAqc9GN0SjzqnUPsxE7wDvG3AZ6xyx49w575FpQyqRtC84D8F1Pycl8urU
Z5LxjAZzLw/5ONj1RjHVdxYtfvtdH1Z7F8p5c+bJGg+/LtC0SkuJ0c9YlthFqEZFmzj0/z97Z7Ic
uZFl0V/pD2jIMA9bADEHg3Ny2LgxyUzMgwNwTF/fJ6RSlSTr6ural5l2EpWRwQi4v/vuPbdrYl3Z
KOLuWFFqK9KYBK7yt+Y0TZtp4AFbJeZIJMccdN7opG2d6Gq8+OmJTP9YHYPQusO3cXuFWWwgWy0w
l2gP3wZdRcNRM7ePRt2lJ7yx5SvxHjcUOnuLqCWesS/HNNFjs/Nuq2rpUOcYSjvSDDCM2SzzoTFm
cNRoTXK7QCjf4HoLbmdHUlArOiy20k6OKUOsFzZWVeBc5hYQOqkCPpFrzWEQuXkYKq+K2aKKd74N
HRsGfJnfya/R2bX0w1jskkGaT6LM1GHqKm9rlkirYUDr3KNvj58807V4XFgZC9zUVcg3IDugOVgQ
TBPCLlHi+sa5clkNFKnjv/muZe5IDbkidJipDRD/JpUQ8AisuBfyycFMf5Fsdr6XQyViusqWb4rF
0F6sgBAAfulU6rRcgzbQneimaub6Ip08B4XS5HkWEoYRkdMXVyugaJ7dRA44xIP6UAdZ8kKfCYRD
fxDlQ2HDW8fh3+7GocJE6vM59IQNLsEu9HsMuypasEUHW/jA6Dw+/RjiBKk9J34wtLddJYJt7+rl
j9oolgN8mSaaU5mH47wE10Luz5zcRWxx848c6rD2eYnG1NjmB+6tF6fsHOocEyTXYOROXcQSnSwp
p7CVaavcu6nXRMIfWziuojblP6fi/6vZFnzk/30qFiRlPvo/wah+/ZnfYVTBLwCRXBbrgc2OnyPu
78diYP+C6Ai/18RIQ648YE79HUbl/tprizBLbc+1UOcPxyJzswGbE6w7e3SOs3/rXCT8/OdzkXU/
/7BWxPzF7tn5qwhKrMLkY63oVCx9PyKhTvqhHmjIEul8LBPp7MGjYKdtpmn5cpoesFthS44Uw5ge
mkZRK9232kfJXe2mQCHAxyusK50tSzgR3Jr2W9u70GjWPyz5mD0x9pS7ApPxocLx8N60woc64OVH
sk+bYenldwwk+R7IQAfZP8dWjYevXT/1ttCA6iYuRpy5MB/xwBTHoC5r8HlWuVMWw+Q81DeNYxIo
K0UVa3kFYW/sp0OdVZDuKs2l6EpLvGMlVVuGopxvm9Yvd23pB+elp3KDK/Rs3mMwDi4EwfQbY8n0
G9YDAOjGxpJbdMpyh+87eTWCLLgYWnFnzK66EfTLrPqCN4ASnrCWdqCBTGqtn4jpaTiBMYx8g5Rx
REflcBcQz4Aw45GOsZ25DzuelDun1NuviTN6a3W0i8kMjmCtmuJZ2jnNk6AG8x1toPk+6Ichnuyp
inVvMdiVmuqloSLzdlDpdD802fqJ33x5rTtl3ScFkWZrybuLa1E37ri8ORgFsq2kQ/ikz678Xllq
jgkHett2pBnNo4ODLONMb2JRl3uqxFEcClt9aYFFr5lDVjFoT2adAO9D7FYZeZpCbyhIcMRNVaCr
wCI+lAV4xUQ2IJLIre6kHJ2fSUDReJ8P2Wlw7Wnn6gFDVpVWd/jmVk43LS+OGK2EtgGRqU4tIbJv
yZIFb550qw13ofYoWnd6bMdJPgXCzm5W1q83U6+TR1Odlb1Qfdifc6WXj3Zjt7uK3UcQTiRd9iAD
qU4vYM/er4uX3SSJvW5JU5Rgaluf/V7WGhxk9I7T7GWNZ4DI+l3Q8Vlh2+aKKF/t8lPNc3sRrlvu
l1lZp2s5ITRDN3tTvkebXZuCu09a574i/7Sf02W+oGxYJ3Nymn1H0dPtYDf9U75aQTRXfXmoNIoQ
azEJzkbHv5iyNd9qjGk3EtriITPKdp/npV2FVdGXbJ1S57Zsp5OZTjYfR9ntNX3YsF0YPrAE6gsd
1IWxMVvhfUhr+uHIuTokSzvSFokJsCHgt2Vf78cLfSffLLv4XCarTSItsc03z6+fmtEiYNe3y27V
a/2+oTyDiF0qtKOj4evkMujrl3RkNx1NNO589KLL77wE9SgEzBF8UmCf7uqRH0rWrHymgINyJIv4
rY5d7ESTCi2zlsX1UZVuTFaoevSsfviO7D524VAYT8QyDpxg7rGZ5A6LLUZ9l1rkMCvz4p6Jt3xw
RLl3aW4EgrzWB7uomrinbSlUPCzfhibIDp5TiS39ozJG+J5DUc/5Q9sDWlln2URWwXptTZfiapMv
Xslczc8eW9j71qyaiF8oCxLQ9GaMtN6CDZ1pA3HlSXaYpaMg2DpDXu1EP+k3+IOhZ5f3lMaOr5T/
NESVLOM+1xNrX5NM7aNyQuumOKP7RHnglZD5nPTZ2zXGhHpSGkrj8mX5r4NHAjJs9bWEiO0tDUGA
Jbld+6bY0aZGe9WyOF7UjbMbwGabmjARy0bVK+uZtVHKj4NgfE7WBZZgWbCZLrkb85hjOxoGbaef
uP22N0B39Q2NWq+5SR1smCTchpAh4Dm5xEoDOAkIANkLsC0dmHuvb7hX0n+TF8330k3JiTVpcO9U
PgJp78xVuGJGv88GrYg9r6Zooe0/3NybdyC+/Tu9dysgHpWlX4B/65GPzES8yS/dDbGH4FvAqXFZ
7TR9ASiXnat1fMdi5+45RNcIwWW89Imd8VGa8nOfu3UEADg4V8ru7oZcyJuc0NU3TWTlhdmgBVVL
T4wRNEm8mmm7cXppvWAjMfcuJT+bTvjNNp1z88fqJepmYnn/YVvyerio1X5lNZY9E5kbyxC4GHiD
PEh2irQwwbxkijRDpHdAiHmIMwyHYyLnR2QNyNs0d8fLMrSbfjb9k480nuMEaNJbeCYTHzQu5IGG
g5XfLJDrJbHUrgYWeg2Mts+lEruMvP+GbN96V4yWvWlHosAUi+lrHimttkMHqc2VzXgxxsQ8Bpg+
3idpUq9sol2OYGhuMr7ip561yR4POXHFQnbBW+G6WVzVk/5Kn53Y82QCADKY8WK6zt2qcu2zhbFx
bAdf2xKqRkaEGnJwbE1sAer19+Uy+c8YmMXW0KX+mI4Z8hGd0lq0LJq7tRgYLt0iv9f9unzqq+Lx
j3VhJY4828lutiYjXtn8hmg7J6fWTVbwNU22LFKbidDiFW+gZzzRMv3+Oj1w9ud58qQcLiJhrmS5
RLUVDPcykeW+SflKU9fuFayH+o4Vnyd8+TPo2uIwlqkZ2vOknTOTvlpKYu/GsS72g6PenM5BwW56
1E8fPuD3YnDfAAB86EL9JN345jfzQ22szAYrRODaktWhq71lQ8j0yZRJe2xTz3sa28L8VrBY/IRE
Ob+QJHnzx5q6uw83A+NRHFtCGLo6trKX47Bjopare8NVq06oLTYJJm4ykvL25moHPM+m48VqmpV/
Jwe5gJ5wxU+VLZbPzDbxi4NuZpIWhtkZiUbfKXrIgOWmbUPRktSat5YHKHeva7R8FsVWEiOvjpBv
u/jqSIu55FFWnyz1EYi298aiQb6z2keQFThYTl7qGN0TLWKp2JW0NyEQzP20EnZMBif/8tO5154d
EmQO0MiRlqlGy4qGSE1mxTXrlB1poHo7uv0LMLyJtE5SxjqzP2Q++2XWzGnvZq1HBcWgLvyXVw61
x3WS2rmss8+KthgwjlrjhEXCKaN5gEm5izzXa1puUva/R04Q7TGlUusM6dCIgI0sF2ZZeen4bVJh
zrSWZtOHXcDb7wJXI9ukqZ1Rz0tIcoXrlrWaKgQE352y7MC+kGzQAjVcDMSygbxAyiJPCN4VboF9
X63AoXOpJYfVJn6rqP5muWBmx0FPzq5R0jTkGe0ZDOMQL4kn35VFWw5B1mUHQzzb5gRrN1qiM1xn
ZbOZhN0iTack9QfSiRFwEX+vkFbYF5nVztGF/tNWRO2jFkDPTI8ixvYv16es7KXXFUvaT2V7snCe
aYW++nuwTWeAi/8zxP1/hjj6UZi6/rm0GYE47z6+mj8Ocb/9zN+1TRNtk4sIHx/XQJVkJvxd27zK
nkxNoK0gVvAdZtn9e+2qwaQGHh+7BqayP2ub7i8YzUwaA5j8SHbowb8jbv7qTvuHkYWFJ2AhKrJ+
LQRgxPqrR+Faeg8dZdVOyBQSRg9qkb+oV0Q/u+6OuQ6ZjB0nw2Sa77gWwSM9W0FZTRvUetvxBpYh
i90mRzsQfmHd1JpJMGMJWbkleo79ERBjv1NFPsxiV0B8ybIzqJ6Rxys10jmOSiGxQdgYnriar6h3
inVAesbg7Cz05E2+p8EQov1dgwVSV0d8QYD5KUK+oirgP476m1l3xAUaipbb5ZGG7KsX3rfxwNzz
aFJpcJtlA+JZYGPGqXw86hF1bvhfSkUEbQk9mlcK0u2N9Nv/fGt+A2f/i4UAyubVk/PPvzaPjRrS
/4o+uqbM/rwY+NuP/u3b4/m/QDrUPeDZgCJ+lfj/9uXxLaCKPHJdeNjub//mdwHE+cVkh39lteGU
/O1r9fte4PpdxADDNwebCerIv0VixAr/ZwGEdQVuAf2KfOR1GJb+Fzetysyi7vKs2c8EpifSa3wu
0e2zAAowjiy3NineY7Hp3weZRSkmlLXsMrkYwrmC+FdujjKecpFZL796gxoAqI8jh/s7biLQT8RA
uZ9Nq7Nvu2s9J844ggfwXWOvoAciIhHvVvGgzXkfpig+1tkvtfRSGA0WFwhnFktAWcoNBN2ELs5l
mYyooAxhjterj7SvkDpJzS72ttB6+xYC4XxXpMKONIgD2kaX1O10YiHPyq8A0AZBVZNwwozJe2wW
98YECQSJxBTWQVFcdJywzx8CaMn1Zi7l+KZXvKhYVmL4wZ/CkNzZzKiRUJRFhn57had6brlsfm3d
nUWNXwxhuinYh074InWqTpnn9eon5nln79B+egeI6lpxsWbia3UdMgBclvuXFh4x/19e2YuNC+CF
K2zxwPJ35gKTpbeTEvVT2/vN7dB343JiGZs4sa2w5IdsUdmelFVpCARu5n1wP61/Pxe8Lum2vJG5
IUTFHQH4W2jns3e/ZmtLF5Hv34myYaia1w6PuQg8nHaESRtG5aoPndU7zG3V3haGDO4ABXGRg1Lk
7HveP2IEMjiXbiZ3a5pO55RbznZOR6QmyIXNo2FI/x4jenbJC8C1weI7+8pIEKJEZzwJnM0H/IJw
nkoaKWblNbdFJ0ftcbWrZeNCdTjaPVKwLAtlx1D9nB4priJyrwwLDFsmv09rJd9QFsyXVl9sukNW
6RDXTBzarrSK7TNY4Ouiawnu5zYBr7jYwaOJ//R+ttY52UBc0AIWF9a7KWaGGj55jgmZSJs+/LXw
o4J1/ZkAsZds2YBwPsxsuPbCk8N6UIq97i4TSjub4IqnaDI9wFj67Ndp2OM7GQ6pU1DWBdNNPXgU
lxfn1JqDu9YnCxManes+c8ezb9Je0yfCz6Wt6VdKQrM6kUuw2NolYDUCAQg8n1pOI94IMAKgcvw3
OTaUKg/0Ykdp61qC3482jSEJNyWnzfW43CY0w5icTA2Y6uPgtorBVsolezHbPhiONEA6oEL5+Lxy
SdYel6nrI7MQN15VjadsHPqXVFYXwQbsXCoKRD9z4J2jieunamztmFS6V8cem/Fnx9KzbbYi9BEu
WTeiW4otxyegCCysB87D6Vs2mFmsBWlz0+ep3PSswnNlpFCi6f7FgUn0F25oOn1zCY+6e77e2lON
f2fXdB11s8oBRBJB/moht5ry6h9JMMSYffLl1LyGPRdxrAmjMlXMBmI+ab6eH5iynXgJalpc/POQ
9+JAXLyPAqafI909auOxut/YA0Zz2cy7SbO1L2flScPgGElBvYlv5EAsTCNc2sG79Mv8yKCXxAwA
O3/InW9G1y0MbUrB5lPN7eTrD/TDm7Qvr/za+gC+1VUqHkvBJQLmxFbUfdSTSjzpKAY/8sW76Ksp
3mRXTHsQduVj7Y7+bU5rULQUWC7ssh/vDCWsraQgOpzwQ+9sd71kEtJcaesD2AakscUoADBTtRax
WClABHRNGxf++tYIz4EF7t2ubXczTIWIWjMduXk0HfuuutvmrqbfdJ2Ybt2+9NnkNd8DnraM6oa/
ycQitk035FCycDA2hin3a9NkUTmO2hGemXFaygXtkRbdJjP7OAHMFRUe8C5cYFf8TdO9YIGEzU/S
6/lq8eeDMWm7pJt/qs4td0uKY3foJuNpNEzxbhUOduhZ0M7p5jRQg8U29YOitKDYW5XtnGpKFLeg
bq/VK0lDcYEq7KMvrqk1jSiBasF2ZytH068r4cGxsRiP7upd0NWvBmF4XMQ2ZTY8BL0U3wLp8JVF
MQP3oNLLiiP0e90ASgvXOSteW6+stoZCnROZ6W+JHQa7Zh3bt3YS+gvqqLYZRkp1m6leLzUm4dMi
p24PNce/hwRR35Ct0W6xWH/zElmBmwzwWiX4PoHvCGMO1Yzqd3TmPDkHReUHYVI7MiqHTHlRYVoQ
0CWb7BipewnJoDe0mRvWhdJk7p1VymJAa6+VmI3wd4CMi6PWMZRCzVKh1JT2bWj1/oVPXC3jTE3t
Sbe6BwBqzT0wS/1i0b0e+wPvtCr5GNjTVp9NiGlGSg+wCeNpZMA8dMLLf1i9Xf0ABcjSM8VSGIH5
mxzOQXc51pgbKb5eJC4iJzOeYZyND3At/C9MPQl2YOmfpTDftUD9hJGQvMLqvILMaz3qbeeZEL12
w3eqiCh9YMdg8JxbFymek85GS8nfhas+fVM6O1BJAxZZxAGSi6/LuAQUWTcm8lv3ISvgyKOlH4p0
LjadYbY/KDYeYRBrsCF9K9+PJhHqyEQkJL4vjLuyZzkOBL+4rw1y+8lQo8J1alPhNVtCMxkzUBNp
N6FuGdV6SZYBa3PVf6k8fWLLwVWK+0W2WjC8rLFEfsrX2BE6yGjgbtgMHXm9zEg/GmxMfjOn3IbS
hOzDLIonzXSJUE1Sf09Nj+L3zPd+dEb3oEbjp6gkXoVMIp15bzXWpZgKgWw3F7p3DJDKzohpduhZ
8q1J1na7BuqIMw44R9q2G8wYBd1eo0XAa6kOJHSwb12LF13jOZuW4gzNgx7szL02+fQBqbEhjVqd
CuqxbI/NMD/aqAJ0ztMoWY5OpAD3fQ3cP6PBUs2jAHsXEbrnvRaVtcQw+sYN5pEhXOq+2s6K/rpO
8z9Zwr4aVIm/6fB2bzGpEsT2nXtpDHyunM/KrIxDtgJ8aYHHn9oamoOS5g+vmkiYG1+9X8g0hqvQ
RkbdT3u/hW/f2629yWTKrth30x03Fu8BwFpCh9OUQ+nR5luz9sRdJ5pjxy+9KbtdlqLWL70dOazW
o9zwk3ihrjrG0WpcwNs8z0XrPiAOqV1LtZoKPbNuHlSqmijviQWMLn87rCI2R/pZk70bg0f+BhBo
d71sSqO+bbwhiewpOMHq+okDby/xzYQkqG/F1N9e9WyiiX1E1RZye/UOzaRGxpufpl7dtcZwi5ni
httahkdzXfje4wuBYVZwB1QJOjBfc8fHaBs7VuYA0gLOfa5z3z+7lcQc5nahuXhOT6i2Wu9Aaha/
xez+4wT7F4OfAQgE89Y/H/wOXx/pn8SSv/3E72qJgfBhs7UmLYFOQI32P9QSw/uFic5w7Gs++I9u
cFQUXSeajHjNGhq8yt99YLaBVoKIoiOlOATHKYf6N9zhUDb/PO8xOLLu5mVdJTbbYGfFv/8DJqQw
hFR4V4B/pzzgEzZE8oT4u5gbzTdYtVxrQarCqo+wrN3ycc1aJ/iOi/lHys300fYKC7tOw4obB/VL
4WnZCYVnJmjGgkOELZJeFQYryUVGrXUZHrTSTKimS4CTPeu1FFpYj5RgEg8NUFXGEQH84plpINlU
lv4269P6QILCijzk8KhajCSuq9KOr6aAbZoZJh0sgbov6MXo4MtP4lxabXvulTnsSMDIowlw8Qva
4btdDf6XHfT6GwONB78va9+7qtAjuNnuwbX6D6vLjav/NF1YfZt4irjFznu9bWx4or52qXNNzJwx
4zbl9tmJqKOqbewIwymjGkHJlYNiIJ7yWy1NzRf6Cs+2strYyGY4kDyBHpaeh8qgJBa3QX+hcSN4
np15uSX1be1aM3iZZ9/FPw6vyxqrezvX5N5WnXnpqqo7KN9iosvRm6BjTwfHTbMbCI4fwSB5YFHc
tyFdXpxwp1PG1Gjj977wxGERdAoWtVH+YLnTYaf1jR8WzkQJYbVr9oGZ/VDK7DbBlM2vIOvZKyQZ
let4+YAkVaX/bpqq2Dge4MnZb16qrHqRxPNv0AMAb6bT+CYGzYFlRljYLjIvctrrntKbaA5kDB0d
KM9ZwH5zne2rOyttD9dP5LNEF9jC72VmFqos9p5JM2TIroHtAZY+hPZxtHb6aKFcY1LELefS2/hg
F0Zxtyz9ynM11aN0tSWjFCu+MNNnhz/Fajb0F9g7ol9cyPFFZY8T99mzU7XLOV1c64YoUb4loDTd
TZ3stjVeyM+BHSzIOt3CuVho7U8CX7liXLONXcUO68wlPtvPkATPgwCMwqpwSuAyllpUYlnbp8ZQ
JyFbCu9ktIw2YTZ4+mWCG4dHOmDh14EJrCOg1Vzs/F59s+ZFQcS2FnNbWIVcoln3sthMUgL5qelE
hUZvRdhUZnBihp5ziLxET6NRNt0WvN45k7wovADtkdVTzxXJQ9QYCzP92ai12fh+GexxbbhneOdf
kPx1SM9kuEF2sY8hq4GRYV4Zv63WujJO9eAFci4Xp847taLO7ir00W2ZOPp3whElEXvD/SyYgyiW
r4jJu2Pq7qaOnqjOGKbXoLGtO3oHPWwYLMsU2+cEf9a0nBomqSHyfc5iWlGnFugr1T2LMtc7z7Gb
zUolaOS6cx1jFjMPPRvZB0olnB2sCfXNSZ3mnqtiymQlCs7hIMlOWmtxBa4Cv4r8gL+SCziT/oQy
IFflTRR1oIggqIz5jhjfssngDz2PKCQheqyxTVGQ4zQgptsNtrgBi9ndua6MDfx3T1R5uQ/Mzfuu
tlZUFn2Kmtk7OoqvdZiX5nzIRMU1ZHKbu7wyNZLIRo8hrvWXR2wJ7Q1mVvPJhLT0nqG9xJrLfUxN
3XTwlywVhxqD7+OcSzMKmM+sGZM87VHYGpvpnumwOy8kQSMenvqlV9dhwqmxylYZbj1dBhRwsZFe
pUEw23EvrS3rA8ta81D1Cri70VfRTBodmIVIdkwVaUzt9pPmtYsIFzCnj2uQLj8qHT8+8tKyp2HU
vmfhXmX8FrlaMK2mdKg5xc5TmNCRh4ZQN9fhhHt2fqZ4i5tOWyeR64/uDY2PWtg0PIiCJJ1igaL+
ZjV6ul/aqYy0uQw2HTAALc57x33jEFz3tG9oPwwWTeE8pVa0uLb6SVyludjoGA89NoOoxeAxNFL/
SNYq2Uh2T7HZjCMtbj0FTa2Q6Zu5JsO5q8qHHsMV9kxW4lbX4cIpk+FurR0iyTAr73QjC257aqqA
Lyix0tDsdphguGCZ1uzHOBzHWHmp/YMt4biZvPmT/RzTMM9M3FDFlEbUg2pn8MOSmIUzvbRzkEW2
0a4Prj8xcFiNi9cl5bthuW28cjs7kESdaTpVGg8s9oKTk9nvBbXk5DtkdjEEFVmr3hgfU5XYMXaG
ZwrHRGROi7l34LSiyVGZ/phB7IqxQJCjCcoHeMMHbg96GHRAoTaFDm4urIE3xV423k9tkbxos4Nb
WyHRLWRa7vKyJ9utSaQWPXHlMbCkd0x8RECeoCLY89zUon7Qz72nWQ/rqu4Uef1QlnoJ5IxeL4fP
3lO+mNVRMHbylcB+EBg1FXhJegh87aGgQYrkVNeA2LUE19468ff0ZDPQ+kO56S1VIdCIc160xa5x
e3UQlCKH9apn8dRW2Ouw4m4JE1M/Pag8NBFXN4Dxq3PidDy+Ya1+pJlODHjU3dM69t6ngTvpe4e5
7uL03X1vVc7j6tvPKH39pQio5cIt5h2gJq87X3lqIx1vfKatVB0dt/rI16sClyPdySJrdiOtaHsS
9J6LUJL0xwwQBmyKxH7oIfXeIRwyO3FyjXB47g1SHm/aVE/ngFMZBJQhxhcjy6gMXEfnXLU0P5uZ
s22sXEa0vt8Wrv1t1rAl6X5VbrLaEqGXjNCb/aTdqcGXt60/GGyc4Z/rUvzwi4RHYJKmOx8YOCBo
Wih6aDTn1LYn0jxF8joG8BO8Hp28XUsZ266z/nQIqqVVXSPU5d4j9mhnO0Cuinh9wI5z62bkqcpc
ZbwLhvcQoS69zQlJlfTb3MzufAa3az+XsqiPEnLLhgzOuMu6NNhmcyHeO7XMO5vux/dZq6lYD0Bi
NaM5HrwpV0Re+vfJ4LkSAIUmiM18bSfVplTph6acJe4WSw89P1+PQcBCqkjK0zycPIB9+BSaarzY
ZZMAW9GbKNW98jnX3PqRS1WBquNz1Dug/0PwiH5+2zSDsQPz3F7KxN5WrnVlKOvdzWShTtezo+1S
5KGtnprJ2QNfvenMXO0TkdNNh2nGvZMO7vjULo0tMkQXL3nuRFgG33s8J1HjdcTNp8lYb9sJMjRm
c+PYrF29dfxp/lC+gDvby5VLSsHCHNdcIqE7LtKOYW7On4C32nd3GSOda+5HlQQi5oVAtKjkNq/q
oIkWSMiHpdd9EGSFtk/WrnDJQxUoWgauwpt2NgssMra7mWB1phHteV9i6MzYJvnHkebCwnACnbrp
Ir/l3hsNmY4BzgTsrYuWE3QSBvGhIsEdzW2TLYwOil7Tf6L8OuGwlGhyA5Ys1onsGYBZIUGobtOX
xb3jrQX0M32ZT7Qe6JGszfyg86t+v9qI9uYsxMarFRXiydIXx46m5ShJtT6WU4n0ID3hvcJm61iy
Ks8Js1W/97AOmiGAzRxkwmB8zuhmt+s880AYzTKyRAFbu17L2nj0Z6FyEYvRT5vPTFWja4dVXQbV
Ez1+9KUfBcbv4jTMftA8TcvIu9YMX2h7CxZBbsph3rnGahH4N7wxquHukMjICo/JPgF4gzufEpNk
mX+0bpt+Tay+Qu4Izis/07xryYQ1zkQWQddEPTNGf4713s+OavTljYSOGlK91bxZfPOsYumIgPna
TREEtCMmi7nLPKfFftbO9VcndOMGyoZ/cE2oGaS5G3XxlPvEJqQN6aV3v+yy7elv8Nb2JJxg2jhr
0D3AfrAQZKruqFVtda9PaRq7FlYrzBOT2tvl4F+fBhg3JOIW3RNzaE59hWEtK/ZuV9obr3RM5OPe
PnZ6xxXA0VkUl6zDHHeprhAv/jy9aJvnORvtl964UjN60gAeCZBreFYHIqLzzj1MVHtGGWT2t8kR
t+z3eFtpBZwfoQEl8ZgnpAIG2Pc3tCqaEYaPnlUfyaGwd3xXkWVsfeKiHa2l3LTUIe8N7sh9y3p7
rvL8KaGQ4m3g6snMhKNtqdfksXLWfutf32yI9flOCwamLwcP7EUTeIBCfDPEVVSrH3DBweYXFXwQ
2Pw5jrTAORR9Vz8MSUBlmzTkNziAxqsB5P+1bpJvArjD2SZCn4VrrWt7y2xbrMgBpjI16icvqNpH
UCN9HQsBjvuGBb19X6fyw1tpIAlb9kFkRamji/AAcuxna2JPvCHCvWWNVr7QZJY/Q7kUO59kJPqM
Mswdo9DwXHRq+roCzhDX7eTUV0kb84rqbd7lfAnhYrO3dAdnCRk9uOtcLeexSJ3p+8qtjxu/hogD
H325k55fpHEdlNlDlwTcxOTawYrOlbnp2RptTG8NDlNhZ4d0XfOzgzntUKGwXUp2M6E3u3yYdO17
6TfrM43lwqHoBppuaC08NKhtWzA4ggPhkz/ppBy99VZbmjUuVSt2gzmWD/X1nmStfK66Fb2VOG9y
FCZAspabbwSIpNnXuTCinLEMgn99vcgaTnd2LC7XWc2+hScYezV0cBIvfZZX8rUZJr+6NYq8tzbl
4jKMSYNTgO1rn+KQSt1ep9aGrcbXVRae7gyM0Hs3RU3M6lFbXoZ6buenddJyzldtYOAd7pTeW565
UQq+YIsxFyjjibekY+/VJDKFh90bDb7Y/65sgjM2+uBlTead0Dz5VJJn+fYH+efuN6fJH7umyeL9
OVzHOp42JRJ23MpQdxzsNn/UVFo5T3lpGdMl0XrQuwF8E8Mc+Y1c3eBQ95J3s7J2Y24eWXFsNbvb
OqnBnk7ctGpl+TBs+KvugjWHPJPt/u8XR1TiT8G/X1+bS+rPJqlOTOovNIDKGCV1yeZ0gTt58Vru
ipRGj/8Cafi//SGkCgHS6UQ2vL++AQ7WGIbecbqw5f4f9s5kO25j27a/csbtwwNAoGzcTgJZsk5S
lOgOBgsRVaCu4+vfBG0dS3rn2Nd9NyzLJpPMBCICEXuvNddm/cfRYPm51e7js/xTkvyLkiRdFIbc
f69Iku1Rfn3t09eh/0HE9fGybzIU45fVYkrCGKeTVcOFEOR3HYorfoH9CqUCE6plEJmOefSbiAu1
CaBneBe4cH6z23wzqFr6L5hwHBuyhf1hbP17sfAfWIrvVFyW56JxNHXT8gyX6fQzcMvGJu0jFcUf
XcYGmV40ZxOA6+CX+y+Lk794gMM2daWYLMPsB8TQ0lqZl/zkGTnd4d574NFCF0z2+dU8yMvRszqe
hw7GglZspK5Rocqw1y2DxfkdBfnOEgUdlrgWqLMaf1f7GtYZZwBu65t3NbKsEEcoAQ+Wl2+Nxp03
scHvRPY40k8o+Z0ohENi/76M0kfCm1aU0CoAyHb24uCGD2XBt+fUJQKqW+2xHtsvBocyiLQjuwAF
zaCI3Edgj+dMGC8jbU1eW3+RVfqOCJLA6spNA6jIdyyYHQh0Po9Tz/1Wb5svDmF0RPcQFz5pfLwy
BrI2F6UejhqHotY7xiXs8qjj0ox+tI17Ngcqy9/hqs4bx+FSVl7bhXrDD5Ujl8AiTpuPwGXQOYam
PO6jlu8aKVIFQBFR60dmtxnINDhkFmnvlaTbiKGfr+bW3eQN/XZ9ZWYRf5z6HPGUuVohFi5BLUW/
tXtD3cWVvKMQM24lR6GNhIl9YVtsicpJsJw3vCFBQTMEc/Mp73xcA+4q8K/K96VsKnhSrRnY0YII
PF/wQILJeY2kZnAd/AeK6/0W1AOFVyLfcN8SwWT14DEA2mE8yvzuIfKinFx7/CwAeNWuVro6TB5X
T3T80sl2j56hPXwMkrRZcIpYTRfWLuPAWMRdMXpkd+j+w4SXiSMYfxS6fTemvKk4Q80itHVbTG5C
WMXFfHL93sRyuY6inu+lDnSdsh8jeaYzt+4I/8yJaIYqk4GFJ5rMQdu+Zjy/Q+NAP27y1uWUvqAd
496rD84He7nR0Mpw6j1CDImbCIqCq8Sxhvw9t1ZXetP5Qdu1Xz7udxF7NL0xNgT9xOclCsmnnkaa
dtWgXRwcT550I35nkjOqUSbCfGR0ei5DpVrnAk7Q5ZNM+E8SJV6EwRth5iGHr0kwG7hcWIkfFsWd
n1ATbFwwDSce9uoqwVRC1mL3xeWsRCYad9gbGEwes/HjYpQ1k2LS+NY6L16KajK3ke42J/IY7a0V
MWhl3kWnhSLEuegykDP4zTdTy6lLEGmyUwVtgDav9LBoLS6pPvIe4qS78Dpt3mOSI7aoidIApQ7s
C5dJidnnkkJ9iealYpTRjaWcUeZXnslEFToLgTeixUZVLrc680SXY3o3Jvb1x/QSxEcddION2Gxh
Ax8wXm+qAT8XELMutOh4n+JEL/czKvQtYTFMwxyy2ce9BWy25iZQTBlRX8UGQ6CsGz8QE9fmY5Qr
N1c7skP8PcaPfLuQ0bLDny1Dgprq4GMArCOcKX6XWqrci4VlzB+Z35by1eHjNvfDtEZ5MYxwB/bb
EcXXM1mo2sFO+KjEFCD0HwztgKKH1ctOX5DecwuM/B0HE2xUsr23OnWfoBC9H5ilEZ30digvXWrs
1/ZMdXbKXoivQohEnf+SQ12+ReIOnEqx245t5in9IeNycSknuA6DrCxEeYkKht9OaBlrb4GVlMXB
UFiaZmsPJ7+j/DXzw4xpDKxOcNwDGROSodJtGrNrj1TxvdAtRy+c00I/6JUttjBuWBRjg8Vt4tZ9
BPxEg3mXgPgjCaNc9nXPYlJb4xgA6IGiPfIWpsFgFhGgdEA9yx+uFL+tTaY/m9uPSTumzogbTHvg
Zye3dsuQaG3rzlyyZU8wsYcGo1ofOxODqZlrrMwp96+SegjHsLycHWu+Htz8HUkxlwZCSvBxrR2U
X2Fe8CMHg/tqlfjorbnvQg3++apwbOCTadEt50gEFlUj917UvDcu/7sYMiIUMaDHKeuJhVCOzn37
6gEHhrLHIaRq3EeqPNU215JbbeIIulJQxeTFpyWdSafXZCeNEEO0vgUvgjCwnDVi2pVUv+Y2nZqN
w47A2fqeQcubDXT2YmbVHFIm8Tkc6uaDHecy7DxiHq6WuBtOxN5wC4UexRFHQMMatpmOhTup0v6W
IwfyLc4cEjMlOTHgEZa817fYu9tui+GpNgKnabRTHQ3PWl9Vb50/vlqpXtF2EXP+7jVCUwj2NKXQ
SfnzdOjLttr5BYCiGnFBwxEra5nzmTVqYcyjKEQ5Fl2RiqS0nRSkn1zTD/HcY+nDpDqQd9VrX4gb
HINkoB53GSW+IBOllYYTNAt77WuKsOayjc0y0s7lwPaBzLeH77Zi/+F08NPhYN3XWA6WHwdOH4EJ
PxNkpQ86yKragebMgo9EJe9pzsNFlN4DCYNEVCJID6z0L+Ms1kPHT/spi+YzBzpQ/i493x8PJagU
TNKn6uFgTB+LHXNQpPlbOaEHJZz7/c8/5U8ngN8+pct50iSAGdrIT79NTbFmgd0YDnJhgKw7AT/H
ysqBSA//OQT8X2wcxD5zUf/7IQBnbt+mr/2/qvd/YekYipf0B1zNb6//dhrAgUH/3gdA/9thgPv5
7TTg/mIYHBU4yoJ9NHBu/Ps0IDy0CPRsGMUG4S+uw5eobPXJ//4PX4JVIwia90BfwJNz/o5MYT2M
/DB42a0hSucsbSLxdsT6yb8/US9GmUMcnfUDOarwQt4lFNt5QcLJcbqcAHyn+qnDfuRHwxeDNmEm
ut+G2X+lxq8nrP/vLTBpUWzymanprF//TihR2aCvPS/WD1W76NeR9WXxkRmMYM+KXZybkJBhp4V+
HZfoNDnJ1zHuEtMqt5P5BM0Jny3PeS2+0pW2QbS766Fe1a5xTX2CTAM6DayyoTZSdtLrVwtTKZWu
zYB6WMt/zdgirn9dLGsDQftTp8iiotvTadvF9g9W1bOBi+n1svMp0czpPWuo1nZChHoOhkOUj4sH
mo0xcZjxSxYU9yxTXMTDRJE9U0C7EcB7q+STEqdt06oRvei2XX6JrexOgorbzrS3TWp0d47/ZAht
28XuM65bDi2ZsfEdEVBwIPPLRxGQbIdKhiMl33bIz7MGsAclJAq7Yjv29a8Iw/V9KofbuHMvODm9
qHgI+iynOT7JPaFYFD37HoxWWb4Ws6Xvc4KvN4s+vZZWHMbO0F0iBaOWCx26djp+mdqlubiJiywO
/llc/i+LCzWBtTL031eXa4S+yb/C57zqf1hVfn/h78uKD7gDJwvWFYcYBAtm9b+XlQ8UJsomiB42
fYgPEsi3IsOH+olkBguVE/N+NZH9vqxY9i+sNRQmeJlHvpH4e0UG90cMFhY1rFV420zXxFyD/Gld
d76b1HC2a1S5rnmpKHvEap/CWOqjsKJkVSzdFQFmPkpPgLEoDW0s4OBo1ZNmShrVCCIOHQidy4j3
vl0ajWWAjDRaFKq7ot57SLDCnEg2dEMSS5yLaii1+6bsCK8uY+2iTz2DQN3CuR9hyn3KPIKyMQVn
2t6om2rDKacJnK6jdVYp4owbEHEbf4zEPmvA0/G+501ixwdyz64cwlmQOVlQyZvoblLNzdzhp+E6
bqyiNg7Nerj2IGMGrnROpFGQ+0HQI27St8E2pnDI8GgWY5sFrSiXq6iNY7xlejiP+mvCGYDGMNM8
yjJjt+hK7bGVxVQYzL1W2uVnH9owEv48ZRtpbeXc3rQ5wlotzvtniJxiJ93CC2q7bhFtO/z+gq03
V8oixdPzD0s3pGc3TqqwMAx1wGTsBwQBRpuprsdD3Gc37eLTmOpytYWTZ2wGtHSoMGs0tLotQhJ0
bZAiA0dh8ulOyI+uEgObhCGKM63JadtH7t4vhkNtrVkf0gSM7FdtYMHyCs1I32tpZgR2sjza/bgg
Zl4/RJ2TMUpnHlUr2ksENM5WesNLQXysoJN1qksjvajbFPqHOW8r5e60VNY77AIlEay4cVMSjTa4
Tw5+5J/6ZXX9r4+IVEXa4yKoDAl9sKn00pEXcDR2dAr8DcGHy9Gkv0HNoYZiaiBQ4BDd7LrZsHc4
yJewm0mVIKDX2dge9vKBhlmDY2zrG9mv9VxbF43mHaEbFAFpUvSpcImTExDvEzHAjG7qJpQQFfOs
eaC19ejN6jIzeQTEdN52WpkCRdBVsnfrAvBW9mvW9NaeBNI2mPB9bwFHaaeGNC2LxDyCAH07ZEwQ
W0kFaWJIeG1851dZtRvWmEIzjmSQY94dPQjbVocz3ujtY2OSYLVYCttW213MWv6CDHvezolXAzXJ
lgN+8SJQnBE5rTAW4KACr4hr64DQix49u4BAB2sW5kYL/q0vwtydo9CB4wmqe2n2QLGtbUWowc7J
ClKDRfapNZ34isjoYie8lxgF4GnGxIxMzdEeyDIvugCLiRW6Mk3PBSf1oIRLtcGmxOEx9dsHQK7Q
sFw/PyvOR2HXqSv2XnLnZfm0RWXj7FQ+FKENPH5bzjSxelPTb1OnVVsdwubW6LwElhAgjaQXlFvc
zDkaiOqDNPZGZNDxsbdH8wLnzxBqQBs+4XDhKnoRgB4LwLMT+1NoT6jBdbtCH2xn+ids2/qm1zi5
FGOjdn2C3dwflEGrJi/vc00st1E96CejXx+VYJfwYrDVT7bsYiakJ4WDHZ2kDEFfd8dbHS4B0nHw
d7TLsiLLoSJAWLPyl3R0EsCyaFvGBjHo4HHUchXXs1adfXATCaFX6O+4NDiVT5V9Wum+9DT7e91L
jwMAlJOn3HRjtfZqN2jIoUOfl/h0DtUE+cTi8LsxG59atjynC/Y2Y7iVsADJvk0N/Dba18JSyw5Q
30XbuxRt+P7OLfeTs+B1t8pyR6RBGxRIQ8IlGlHau4KqgpU+NxUSnNhT911lEopATBZIELy3a3Ey
gNO9bM2UtmpbNgwpxEFXi+miSTGf/UawG0ozEYzwme4jYgcRlvlbwPwbYqOQlVnN1xFGHQHdS3Rt
txkyRWkYJ6QC+Q6V2EjhqEaM0+d1OPmFd0iEflNJ81fHgchDHO4RbMijNyEFd1NQiXIRzhEQRPkA
veQzhqMprGv3q5NgeBsJhw4IRH4gO/vCtfr2uvbMU0oaBz7lSl6tGpZSb28ltWkCZ2iiRU3zTnCt
Hqb4gzHtDdXeghseRuBbt83Uy8tFwq63ZtAntkAPJKmDdSL5FU+e/7BYy6GiO3+hHGQexHE0u96T
Yzh7/MZSqYdmtNJbspYvM4OHELu7eZNPeCBpAspdO9g2VTD7nkIe7Ue6m7hgumPcAnVBzanBVxjM
VQhPmaRonCeZz1+maOA0vLhv1UCXLIklyiDYg3tEsdouxmwUuMXo3xApcKvHNBIby1rf+HRVNyRR
9LZJ3TM6Vxmqx8lJd3ODVI8FDTVWon0efFrSjTa/iRT+gJDDcPRG1bLWoIVdogh72Tynp2SEwRQj
8tlOnobZoUW27ElT4B8SNqGuk4Dbh3FgtmpjH7vZ54mwk6PSvAeSbi46WCMw9eJ3odUuoTky2mmQ
NTZWjbvCrlxva1iFfvJquq2EJ6P7Z1XdtQ5sxIlMEVGClenK/pOV9pToGbMaokgsYFpqUcADw1RN
j300Fi5TsXG6jIQRRl/h3UR2608YXhMSSJlkVUaGg8B4QN/EQJbsmNEnMUylAPe9LC3eI3gwFEdA
SzeK3viqI4vss7AKSnRPJIyXqjyRKte5fpBVuOxtaIYy1RK5KWusd+1vUVz/NPD+ooFnCHbFf7a9
PjxPz2n6ffPu95f8vrFGLcn5miM5GT0CY/jKkP2GYHD0X8y10kOtB1rBukX+1r0zTewGBoEj7Kmt
D/7evzfWBkd5ErWoDglQHpD5/tbG2v7xsMy2GbUIxl/sWzqFActby0Pf7atBF0mVkdF+D0AL3UWt
CnayFMLZeClZ4KK14vaOll77ilMNRGuSa2fTb5Z9aWnkUMkUMQr7CjpGOilnqGghu/ka+vYZv12n
6/wcR4vp+eAcT2+zlgIW9jdbHCs8X7uBEB8A85l/yXN4vk38csIpmi/7ylx4hmdCHXxYP5vE0Iav
pdLwlCbWZN1oq7N6LiFSb5Kun579uF6eXZEsKdVFLluQxCNewzZv1Q7AX3OyF61+QcmYPRO1uqB/
XuhUkqr9tDBZAmoBuRsIqo5fxzY2NmYtLYheunEXJ86d0WspM1Z25qdBzCr/i3rFx9Hlj3rfxy1w
kIVyV3GSeMYK6fj+FhSwyLErdM69aoV/tAX7zdoEnr/xK3ZdZDo1K6vVLPxbYKPmJWC71UbpeBWV
3lyHeLiaMV3Xro6+GsYrFdnJNWDE6g2Nq/a5bOzunKz5LnaaZVcD7TzoQkkvH6WMvH2c0BIcOlHd
eF77qQeberBr5OrQ8B/MxNzTFXhjJWtevpsk/6G26v/oZuFDW2tpE76TB0fZolP944euOeXEkV6T
F1QV0ZOx3v0Yyu0Xw7TmW83V8VBkoj2So0mzJCkLE3tAr3YdDR2axLP+UmOdhkdjT/NNTM7zaaoE
G4CFvzUEd3zF2mVcxPB9bpLBoakEAOvW9qLH2JrNvZ+m8pFg7DFwcqkfUgpT+0RrtX2OhSFcOFFv
lV4wpkWvjxe6Em+lM1xOrWkcECjbh4UObA+5V4Qpfb/tbNMGAx+f7Oz0SdY+IdVWNb2mCUVi2Yvp
tW6hFLiLbA8tHUVs/6iX63HY9eyRzkzK/NodNSZTl6eHXLzpRZq1JDm1ThfmtJuhdLHTBlM3D2Ga
kl7MvtTf64r+pZnSv3HLcj6T5w1ukRjV7KrAwni58FD8vPRl/dWTDUrCEqM4hxHbbwjCcg3irrvu
4M91ekHQqX4VsV2/9UpjvLLzhg9nClqb2yZR2WFp6T8G8IbMs5b2803XG1xQM40xj3s0Yu11bmq5
otE6wUBIuubFJwvs0rJan+3aPP+VZuXHNcvWdZRaDrUFqBcULk0f09f3EwYnTxTFo6ud2Zyou94n
J1ADRPxI3hBYCxcdAIZ6xk5bqdfJ9BQK6q5ecPwtyRuy2vl6fdyeml5vPruNBXkukfq+8eovMyj+
sBmc4lPR8FPysbXlJhtFuZfc+8tqdfDqfYzyB8gZ7b7KPCNvzXF2LnzUZUCta61dO5arZTdaNmCn
WlWoMe26N2ika+YW8BbcwWwe52vaoOruY9jWlApQaQHNbhtacUZdRe+V9PQvnlZ0n/3MgCqhqYY2
dEp/rqgTdmyYeNKXUs/32EygytDfHRKOqIOzt2DXuNvcS9D56U31V1m/5lrC/WO9Wi//ajoizAcC
LPxXd53a3z0ypoaeE9LY6Gy2nMvC3nAx2reNdp8pn09gZKZOu6jT0KWniLDtufbrK9R0ybz3iGNc
NoI5iP1KNtHJy8f6OR8d7D9+M0F1rHFrPcHL5sMQuWUcm3TQdn++9vynD0DNlLeFugq5mf3T+CkV
gkQjid2zdBClkCs1Xzd1jODciSTU1pJ1Jmom1gvTYYmBmKdtabLXYNh0+8KY4J8x9xAfmEv1LGbX
gLo504Ay6yHaYYWLHqQLd2STlDEF0j9/7x/P458uPsgX18Auh5iFGvtPF79oUyR+k32u2L+jIem6
6J3RHHkH1AOSKO9UXWVzN99IIO/7vvD4BGZZOkevTsdTVdD4nXyzPUp7aoFXN9pD7xT+3p+sHpFE
M5Q3yuvSS9fk80+YGiCBdVP3PvKY4Bal1ksXTcOR4pKHAaNR8+1Atabcu+hk6PHZajObSB/7YYg+
mzBdDkBVvRNpyugEPNfZyU7EuxrZ6xPhMGrfTmMETCTB7Fa6JXpp05y/Eo3JegW4XqNQUJvGVoka
wGGVvxhkG3eJKBtkvnV9lNYYPZUuU509wXz7MfUiX4tR+WoJgtSc/zlgs8YI1ZpnJArkYBWZGAPf
bJI3ve7ULkMo9MTIG79aYFhYQdZLk7nRaSDM5cqiBcCBGOz5uU5bHWdOkT/oNbaWjYWA5otbZK+i
KqpjEyfzkdRhTMOtSTPakuZlMk9daLtyvia4jGfJnw8ENok/T0OfyAIOsfhOP7aDP20bWKuRMBBQ
e4aP3kOw05lgm4+1WU5zs18w4AQuFFSMeiqJd2zF6mfH7NWdQvCbg9DqjgmJj1ixM3lqUtlNm6XQ
UyJ2tCxdlcvlrm/ydboarv6yTLr8xPLfv5iTNX4dUtfSQkRmhRsiB8UdQvafvBrL3t4i6AV/T5aA
kBspZCR38G1oYfvEgB28WJvDRdXwaaziE3UI5Lcuwml8SCYO7cbR7vA2LVPYDfrwhruDJTIvE8Lq
0BHNhur2FrP2QAVo3XKu95XTUf+ZiIQDMRvjEs5mqra+WD4bNSE0ogLpyPtJCgi+TAg/thismYm9
HC+v+wrRqwjbccxPlZHpB+VLKgeOUKBxGhPsCbp6yw/AVSSPPAfSx07LQO9yIqNyUaVF9rmDoKmo
VjROfEjYtxARIFgNNl2CkF3zXeMMY2bd4LRzddK9mUdVVzhhq9Yih0iQ4PRzgmKhG3KWPFl1XKhu
avl71INu2ABXVFHgOZ1lhRKVxEMc9x0eHYunjjIy8ZKIiOomArc6v9D6ft3++Mtd3KcVgSyEvLwU
smJd7ZsCXRQrux5opTJw70z5aWEgAFUlXuBCs5akCmyaal+MSqUe42lQd3g0omFjkEp0btlbHnC+
+yDsO6XeTSf3jt6gNJwkRU7zHz4DQvRWTVsUHCBfkVlgPgREgfxHYxSmDbvMzRy3YY+yQtvYdUTh
Qyj5Tun0jJNMprDRrIqCcg6bVU6ExLhukdyaWAVx65DTu+n8Rd19TKR/TrZ/dbK1YLB/t+aEz/3z
v34DrF0/F1//93+O5Vv6/CMfDVTg+prfj7ae9QtBhx5ThLMo3Zk/OtGe94sOdJBeIsJUGkYmX/rW
MkLNatOi1jmQoGy21tTob51o9xeXL6wvo1H9wU77G4Z5NMw/LpDIUWl289OAH6KkQHf346NyMMFe
qWTWjpFQRAQ1Uj7bGTvHzYBAhhaMwiJF8MPC/nBYQVB5zB7PSdriCtaINQcGvWzUben45uIaJ41s
Ln/19WzBSuLncbrhVUU4A+rcFVRjfi1sNvm6Y5g3bTo5PfvGVpCsJdl/EgaG46rzpbNPHe+eEAR5
budhvNHH5wJUEofYJH/sR53STp6OWqBGydMx1+v5Gat6MQP40VhTNRGbUTj7yP05moCw3tZOk78k
GhFMOIULhEML1eotp2dQovhoO/oo/nCFswYUEbGpCitUa3o0TirUL3SR2FtuMo+qaOPzlFip2cml
yNzRo9zspu5GKyUNYzLDqteaAsFTxY77eiA8JRiE7C4o0U+v2O/KJ7YPtqSDEC8XeMGau6XO4mcO
kCZda5MuGQSdcUDk5kCuCubUm66VPVe3GBAqUOfeTFluKSZ3LwH4XHuimO8sKZB6LnBMu+rIEjFg
dKdFPpYDZyNr2U9m6t4a6CYpYovidUYwBUm/8G5BXmIVIpPlnkiKDvVF123Z+wtyNWqD+piGjc7u
YzfMkEBeePOURkfVGc1pVISNbfTYZo2DUexeenphlkGrLfIRkNVwP1iAUgFgTWoz5KPxJXXz6Euv
4VmrJ7vZEpqjXU6KKDyOYc6mol8CJg/6i4qN4bOk0kwrwy/ayylqmwvcXyNIYMwDNNlWInUnsf2N
Vim3qAwh3pWTj38Nycd4JbW5XXv3Q/7cLJncxt0MWwd1GW4LM5u6X+Gtw36dKCjXm7wR8S0du9Kg
PLyk56TOxWczLtI7X9n8No7l7b1RY6wfmsS6MMxs1DfgU5KDJvqYYnhVh2Y/NgcSbsZzDGk6cEjp
edLKuD2huPS/Tu3ktjsHOhR5AKjWUnSkjX8ms0+RnN7HFbzuWDi3CRVUjOqAnmiJEkDyatX0e1Yt
MvsPHdmcTzUCcgGPNe5j/mkyuuTWhSh41RlLcnLZS/lbA6o6QNuSPBsHdHDIcK0ePNHoN3HbIwnV
Gr5uVLF1Rb17oGNRFfV1hoch7Wg3Msu/zKWRrZTxGL0IlwfutV6ffADR/KsqjbjvN7M/LpmDT9mf
dXlZ6limOQN3lBwOxTRMm2hUenReplEsp8ROskMzObcGbaWwtlwVgIcHKcB5935m9zhuO3TsT1GE
n9KQ0ShDdwBnEeS1WWERp1ExkLUONDs1ekhDCzA4OnrXFjEJlz2siD15j/amqzracuha0cogXvEE
JvOW+XKO6C1SEILA8WmOJlFcOkOvZ7fuyvjxQ6tWgw4RqJsKkulcmIXXptFoh2loHy1J0gLBa36O
u0lMR9GOpzEunasKj8m+6Ol7yVmqfT0Uy11TeSZFGNkgOLdjXPGdvJtaWFSge+bAyrOUlp0vt8iX
ixBB0qaI8N+R3HeNgpv44X49K6eXY3Zih8ZPElqzH9yo2fqp+eTgo9rYGTSyzNwMK/mQuhjyXgfY
6tx01mMCpuUYgb0IDC7LDotDd5Pq1pM/1HE4EUWwraZRu8qUEWEgZbVeBv1zafQ16kaobfny1nbj
BYgqGUS9fpGlZr8A8sr1nd4ln2axspKy6tGjm3EsvPoV8rHczql51jnKhxHlsVi0N86UZbd9U37B
k4Wjb7lACqjvSB68H1NBvsHs0vHRF9zgUz6GZilHmP5z7dFuM3Jc86XExNY1LlxH0hGw/VOz7y6A
wZOi5HvjnlhuACkdikZUPq4e0rlMTqQ3WCkfr1ZP+N66K/SUtEgnypIMowuHu32px62JBHcozzrx
AHsS9bT12M9owhd2vbRRFjF+KDUBva3vmmXxz7jD8KjhHpd3OAngxvntm1slOo34mBYSwbdbrUME
jgBgJgwMKBVIN4/h90AxLg4pbVdhM9vmVqVdgbYnXq7lDC5vGY32k8oRBmk2Bm/TT+9sFJ9MiRxf
/jh210Wboy8imeweoF50Z5sR2qiBQoZd6UsouE1+pE8h5LTkWc7Rc9LpzZ1Zu9OtOfvzRYo66uyk
fnk/TFUR9MI5dVBLgnlg6GSa/hm8ZbOxNf5IshnFhcM7NXP3dZrJbvHYgwdqmJcd5V1/h4xKvjsk
Al6zT+0GRVWvtzintENnXbPGaJfkfLjYLel5nW0KQ2HjAmgi3VdgYDDrvT93yaslJXPLrzrE/Plw
ZhBK4OG6vCUzEu9e6bjb1FEd6Bv91rU6BBRmRj1KCXErPeGH2rDUN/Zk/GqPrQM6QcvvCz83UZS6
5uce9+ium/ApMDKSnAzvUXcCUEYl+RBmy8ZZOEhPWugao+Of7G5aDqWXzken5xE558o5auhkjd/K
1P/sk/9yn0zC/J/uk6vp+Yf+D8VtXvBNWKX/YiAhYef8ww4ZvRX++VV1C0HUJcLgD60mAcOQhQ0P
wRMGDl73xw4Z55Zw1j03euRVxcmr/s4OWfwoqiJbUAjbQkC2FhJMV4ifiklA7/uxdFPvpDfFfKFl
NOYn/AHnWdj5W1GO6jgRTeOiRiKxizU1yq+FKNqnDAsXC63babdG7OrxJqmX8dYSffSYw8VE3JLO
82vSAycivwVDR0AEp9CIiVUQWY3I30bk2jwudj/dDW0tsNHinYhOSebJt3Fc7MuxGbzHZK6ogyu5
tnh7fHEL9lykilTUj4mPmRbqg9xmFLvhDSG1oVRXCOeN2FuSynT3GEuprjN/Hj/3aWOdUTUPKhzG
OnrvhSpuYm28yqEgIDOiaP6kItE8W9SVP89xgypn6ZJ3TRA0s/HjlfXbzu5tDROILf8iOmZ6PF8p
tzUmaB/W8u4WmnZXlRl4BXcs4utRM4l4t2p6/nHnkTBHode6pAGVZ4HOguFvwCQlzwoV6kGS5Le1
SXV+wq4UzwGRs96+c22BEog4ufvFSJIbdgxHuyKN55BO6IRioJcnRLjjXidYTxCZikCtSEiw2asy
kS5d5MTE62KYa1osUCloXFblvy2GPtcBDQwXIJMchwueA31AlGJzGqIc20JnOGpjVhXBKs3sX6yF
Ch7UPMoQVNTetcV+nQf/6A7n0S2aQ0zZ4JBrescpJPL6wAf/XwWWcur7RhJ4Y7ieFqDq4OL4EnUe
6Et5Y0AjgJkbq+yGondFOqvtjl/kAMPRGfB+XRgk/yWc0JYZK1ns+mw7nagP42LKcKCV7Q3kljYg
kKChPOUglrKmGZIT1WWYuVkhko2TzPGt19fvBAQvw0HvVQPJ1hPV+4QzwsJroVCF4MrpX8uWbceB
Eqp8jIY5O1Lvb7aUsjNBypEzPtekc946UzuGVV3a5D2JFjCgaMTOqMDsbubUmG5U38XZY6Pn0Tze
oTZIKwnYiILM3jXG9Dxhr7mFELUY8o27Sw0No1ubcm2pk4FpuKSivFTpte64RXQddxCECqPC8W31
Iz7/ifrtYpifYo/fEXVNmEl1b3WgkJEMGHZAR2YsD1FpEMRRAYwumaHYB4mnWHor33UFQUYa/bSA
3lZAsxM9TGkQb+1jQen0usBvZUS7LMlXlxDut5RuAgmPoghlblyYvQ80QTdcjI3WGSPxgYwg+1LV
VkSZqMUoohM37cwN1x2NBnCc0VqisPRaRqBVNvq1BqgfDmM3CABApAmiZO5PJmTSLUIy9wheeboc
hAI5AxJt39iE5QLUUs2F0zXDCUhIcUZZbuE/qhx772QleDq/u1MJEzOvsnfY359oERMP6uVvXltZ
YYaOigpd1j1ogymvKYm6QVcivk5n27jHe8aq5YGw4FxioYR22NJijUo22RR7wWhioh+H/BZuyaNv
tTKIFRNbq8Qh6+Mz+VLJtqBgiIAHqEuW6qO94fxJDV450HYAo3O1q+mBFlYS6uPiH93K+n/sncl2
G0e6dZ8ovTKyicicogdIEOxEiZrkEmkr+77Pp/93QPZ/ZVbZVZ7XxHdwSwQBJiK+5px9li1qVPBI
VmI9gnVuEfgteMaQWx2V6+RbyZgXm5nT9meXOnVbT6RIz6AXPoOYdpg1E9RDUEeGB4TcadV36pkZ
S39TjZJYaj9sOVMoUzgroU4aRNxMJUMOnWdtpnx7gbgm94tOu04hQBxKts6HXmdhj9dY7FAnZAc6
K7vTqdkjG6417Ir6Lifybq+a3LtJG+sbegHSqEMyviedwc02sdsC0iKY2+ZDeRh1WndwDe6WYcan
bV0DvSnCiNm6xnx7to78JlBoWjObLm5jN2ovCUalXweTPQtJOITHdCSHmzpDPHFUjyOJXHG6Ee8+
uoaNh/z5vyRABS23hzGkM8nFgGpqzkJyynVieTs73asSofOkSCZ/wDQZbmdBxnkGme08LB12V9NB
v5PpNHRg/gSj21HcP8U6Ld2LWvubrRPUbbseCcAhVR2EdUu2nysu5EilWunT860a56fwGsme63R2
dJZU5jRrt0QFBgdTp7gPSZuCA/E4Mol4FzrrPdap70baK9DZA1nwIWf+xk5YfTDyJSvezKpol+v8
+NjKgk/RNVQ+r8iXp/xDCLTo1HlrIH++tYKaMC1C6UmvSdesSZZneyCxHvQq4fXZNcheEWkPXwrh
NBS924UIXsR10kx43uro0ZW9eGKhau2WMkGWN+IcXcu5iz5XddXe24tEldGW2h2mT3tu9OlbRHLa
sx1peyur9WkLzgk0ieUs64Sn8uQ23UPXz21Cf24LPOBmTRa6BfAK06L5ZTbCrDiAamviz2xIg4Km
pZQ9N1FqghBayggoTQGWatsLWG+YHaccg/K0/Op1oF2DdKYNZgmmAPU6GuvfkEMXRnO/H838eST9
e086brjlIQ2O/CmzTV8U2YOtJ0lAx099aFSbWjbx+n9z5P/KgCBcbQL6awPCmQFbSXbTzzWy9eMf
/TFIxkYAKdW51sF6Vvy7QMp3GQj77Pr/RFw1SR8VAsOB+uEr4MX/GCBLHcqNdpf/AUtqNCb/pDym
nPrzABljN24DQr5dnfJtu+aHAXIjZFKTyhudYDKigs2yUA7IPpLAmtHfOGRMhLnibnPLx7iadUtJ
nlPt5aZYFxjptwIP7lPSpQsJXdaUXiLg8+lKGkWy8lWzn8jlOHWYe1f5QFTWxvUmllVl4DuaYDWq
3cyk6WaAgUq/73P7llZ2W0F9u9fH/D43/WgfUEntHQqabh3mRqDXSHK/xFFzTCn8z0xqgw2mTChy
ZEHDXc1Hz7pRUzl+TXOJH38iRICjrx/2iWF1h6Eo0Wci26Q0Msbp2JtvabqU31SaeWcAVIFNHeyh
yHH4ho2DnMh6nuRlDCYEiwItGUUlq74juDHnwH1hvI9lU39XiLMvNtrkI8VJ81s4cXBR/1TiPiYC
eN/ZTJVok8dTkiKTW81pMoO7JPouMRHkJy7zpApNZw2APJR3oVmEN221GO+FZAS4Qi5h3SGPKI5z
XMNfm+pHvL5yn0be8Cmquu6JyO8pX2XIx96cQIVfGiNNfXTeDvWmDIGHgqtgZOUVZAimqDMtM25I
gfARhVmWAFSOsqRfW874GR2dxYdcZG8crt3BX+Juh4I5fl9MyBWx2VyMJXRPadNVpJcsC4TODOCV
q9qdmrwWDTMZbAzGoGqCTbLC9Isf+9yTfEo9Py03WuwDdnYzUyKvmzKXvNGJGOhWBD0J8NjCE9eM
9lMdZM+kNUef0y6O0vVYVDYn7FSW2xyKhdgAJzS5/aGzA1vl2TvWDTcfU0gMun2J2X3FbDfYRXq/
nYUzsY9jy5Y1W2yWeC4Tp++M7SmxqwmZCUnXLUPBJCqQylOjOPWsbkPUNRuX2npl0Z+dq85IEPHZ
Yl6n+QjErnRmBfuT3eNLQEwqarY+dN4A7ugRbOXKvcqYZZSVmR+WamEaPyg8YyVr7bsld/0H0iKj
NRJfsHg5NuB52MjGvSP7cXhn5Z8ezaatcTsYRrQZ2p54BdbfNwtxjO0uwaHzCX9D8MXIZWicghrK
59YvlPi1Hs22X0XmSPvCXRhsIamK147c3YLotrp/EH1Rf8U3CPazGsW3lIHnsB7mbn5sGR15B8dO
R9pVOGeHmB6RBs2eHH1xR/GqD4T9Yg9mdFObkfPWS+zlVPA8tGvVLNmBXs/7mihTEThMRMgRXoT/
TH9VklGI5iBfOXRk2aYK23LnoXn75oaR/6lBdEHSSLWRFQsl0cv5N7ciyZBnQpQFsoqgYNret2Kd
NQlKQaKFm9dOOQ2NLfaUIzzXbpMbbF9WHVKCW9rCblN1zQNmBx9XSsz3uTEJMKApdECSVcs6t2hb
l4EaFRV1rDEJPey6rj6lpQCxaraM1GyadT4H0n0J8+REa1gYrQ2/MvdD5sSP1mC4+zI20wmsUhc4
W0c1pGWlkY+hnMN0sEwkWT7AVMyXXZWR+GrXd6kDX5jBmt09NiSJ88Eisficxgl9HiB6e+QwC0BU
hhNiEYK5qq+DmvErOYbXHmrTx9zumnN7cdrGeC9dxQK9FclwP9czo+Z0iXyoXQkgMt9xhp3hRfVX
Oc7jbzWD8dfZKcTZbsHGbruxxchou0xS16Ak60s0+wGgSavSWQpjcIwssLxYE6qnMGVq4qX+eINK
HAoDUgA8Lurk6IJj0KWHr4uQQZcjuFDCbSmcGt5E/kxqRL/H9xPgy9CVTHutapCmFmtflzq1LnqW
a/0z6FKo1EWRea2PMl0qTabQDbyT1ZIiymnGKv68XKurmTQgSi1vTiWFF/Y2XYb115osmAB5W2xq
LgIm2o7JZfMo88x8lEKF9xyL0x6Y2XIcQJK6eDYea+BCj0AYAgbOcRK8jAh3vkBM8YC0qWIk+ThM
X7xCsvVqR75WXlwV92Y/5fdsgRlkhjntaZw6d36IfafEc7JN3Cbk2Oa2g3wzQyQhdWRXA15NmAbn
OTMbk19XpsYOVV/EB5MhjhwT5FArAhDwzgp+/WXqrDMSqABI29IFT47XyGNC6fcc9obHLJh5ym82
GWuXwiDXbd8ZdXk7m7hAfLYdT4BImBDxxt+ruGbONTcuDGKq+olMuK8pWUtQQGpjOYQim3eJMwNh
Fh2w0g7+aAoUDiRtLBZ6Y6KWiFfC7Dwm93XGctKtLfsSoBd2OGTT4HFcgmMpE+uMBCRkAbQwUZu9
vrwPcQJAZpbFMxQ5cesnS3PguFA4BxvjkqbYMLaWNboPmb9EgCadGHKrMRrw6KaK1zG7GQmHmh+s
tBlJN/D94yD69oU0BUJFhTsc+D6Rhwc5pVnZlfIRwYxkZKyWeTY3XVJEI2tcv34Y2eqxz04IeMaI
KbaRG5uHpM6cS5/mAWMufzpCKEcFXcEjK3zv3SxJFhKtzWrXbd36SwyR9ytM9/TYlka1L+wI7kY8
cNTw+EVc0mxz3TWsA7WLhyS9D3xKkIqt7ibthHzFBuFdLMK+tp1mcqxGhGcMssbRXbYoqqzyqZj9
LzHp3ZzYESimm5rBgACI6MFBHvLRf40J0nty6bDqe9m0cXvAmgq+eJEydcF50v3dWrKLucd8MC81
lh9iLCCc+HzypbXMT00dslq3PTYFkSRU3MclHaGcI0Q7HBFNWWVyg5cMPEXfGdEXt7JdgkEkX/E1
nF9CU5txaUK5ShmELPIsxDQN3b78kbXKI2uRvIomT+ewAud+peydPqepUbwnw2S9+F2vnonfqE4Y
SJ9rneqa2+S70r5Va9UPOXbV6VESAssB+N0hFDYhHFb1Y/9mly0VBHMElDmEyKorh0952T1M5u3o
5MYtfxwL0x/ps0Xa1d/txR0KKOU18bRjbXs6UjjODk05dw82uqB53fcO65Sq8cPwGWhks80Xa3mI
gNYQnPojD/d/3dN/0z2xh7EQ7v1193QDW+db+3Pv9Ps/+WO/4Pzi8p0EvIaPw/H/bNy+MuAslgVo
YRDZM97/Q4WDpvf/mibfJwRBG0oks3F0hv9gp4CE52PThCbbpDUT0rU9aBIfABB1gActCSd5k1uV
h/laKozLUnDL1uu+NaquJrGBZ3hcpYRqB3dlMTPAbFwTCNdm6bgJnzKo4kZ+alsJIHJroN50CIQO
mAdwXA0whlSdLdVdGuFaV7u8GXJnvOtMHNYT+hfFbNVpDRC6u66F5HY7OHX7nvId5gClqhaWodaO
/opnEDPmXcv3Hknn/GR4C8K45Xou1D8OCR0/sOxpAVrzFr9o5hIxY1K2qusJk9VeX9/j3Ug5PAL/
taV8Zud5PZkaGGzVjSyaCDkOZ5dhS6fkJWa5bKfr6cbpx0ln60OPyCjvktaFfK31kWjowxEKLPM6
NoK7sp9xelxPUYLcOFHL6+na6YM2XfLsmOjDV+pjmN6BE1now7nklM6m+c4zCYkkbgDHMv8JzkMv
7QtRqOaBXFax7fShP13P/0FfBf31VjCvF8T1rmCFwb3B4oGB0vU2GfXFghw9h4vEZYN6MThazTzu
F30V+a01nxgraj0PjYexChh3HdCYxr/yPLgPyfVWG0rLuEDE9vaTK9H06uuPVVPxHOkrcdGXIwNK
tR6Au7JN8LjqHYy3n43rrSr1BVs6oYZ4sGzIlVLHQV/G2fVejnvsx8KChIEKGMAxvsedPWIlyq63
OsLY5asx59XOizNjD9V1OTqoLN8R+3CVt4LiQJcJvS4YymvtgI16vkz9IgcBmXpwOsSPqz/+L6oJ
Z4jOJBBioIK9dA2trYcfEbZVG47FCWXEmGH0/5Fyyw6XtbQAVwv0GtntskWELMz3/52o/92JSoTE
356oiBz793T+85l6/Ud/zKNI7lG+sNApsmL9aSDl+b9AzNTHrCKzWLv5/v+Javu/CA2bMYFx4osQ
JCP/dMKyEvZtH8Ejcyv9r/7RCfvnAxamJyxQy3NZ3uKCsa7uhp/sFzaAucZbgvA0CNrONS4Z9TCK
cOEZLzpSvtmWDeZbosc31XWSgz/UfxzKoTs02HP3NgzmPcoc0/wxAf1L8I5rfdgn86vx5riJIFdB
kzI/Ki6n1p3xznvyqAaI2xefNcbFWyRnPYekm64EcWQxFS6ZYATVdSFaMKMaQFqwbgp+9YpCPLTg
P+pmW80qV58XnLp3c4QTmgO7Fa95RC5oswV7uexYZRjeJnNxm1yQVMEPhLXfGd6BtESy98y06KKN
yEaHDrQk/aj5xAwhZPBs4Clb+25WP3pBm80b5thIeRAF+iev6YUWTybbCWwfp3tEtpw/evb9ImTP
SKEiy7Gpwa9xgmcIScekfsvn3HzEC1bC3ISvmaxpBlhkevT4YjdgSc9OBFBgNye1Be140tvwq+FT
0guOO9KjXyZyPPdNvDSnOkzEvu/t9j02o+bi5+60kUl7A7T5VBHO8KyKeLoX/jTvVdt3kOCj4TQZ
GP1jtXDiZvR1d7Vjz7dFGEG6INQBYZ8oHw3HfzXtBFokSZHlZkmz6AumkUqtzN4dzwaKvQcisf0J
Lf7cbsd4mG5DtTyZfZiB9ehjEmiYn9A+SBHuvNRw3poWKr5fRbBcXRJDuJnNWD6aXlo9DgQpYPT2
8nt3WBReN7sR6RnEZ2t/SsIGmSnWvctCZCdrQmtX+9n4PJvmhNXGLo6TrNw9sOdiV6mO2ZZoZL9u
WQBrj4g4THZQbeFpGyt7MYmiMKvyyBZ3XFM8ywc+9fqG9BoSMvF9nkIcZCdfSO8UCTMLN0FhZl/w
YrXPpWJtWI+CnM20N1hWt/FyZxfWdMsAR/0aKlgRTtDVoEx49401aO//0GgQAdG0fO7ObsEjRJGc
VtG3lMd+ZVvNtO540giLC8dHU4FVpmcdbtyx7bcMRXyEfaAqCb4oVtZIUsxSdDYmNuAXvQmLIWxi
2AxZk6tgN7LgmelAHfnF5YesSWnhLvUYxLg+cykrTCK6mnn+zSKy71znUDG8aWISAj9xhNGUyFdu
YrytAVK0ozXIpNmUo81MbekUrEVuYDp2YuhaD6hDruCzEiDKCh33wAZCLJnNyKSMZ3dqERuCMOwI
V27EjV+5pQtiygQzoZamXeUii24hWhU3U0TYke2Q4LJ2IM0k7UAs0Wy5ECW9wHlnKjjCvQdo8LyM
VXHrZwD68cfVKW18EmDwAZdjebH+dkVe7axC6o1hz8bSJlmGzNwHVZixu1dpKY9p13zyo3F5U8My
AZRsnaMvwXoiJ0ChUQmSajgJx9chYqq1qjxJulMeLoXYpHHD7JdbeZxJDWjU1yJQfr9x64bkppLQ
huEOrS/BxoL54IroIkX4w9BF+e1MbqC1gqIzHMtQlu6GNR9KkQThwAXAg2xWQxxaF2S844NsBuA5
KDEGStKizS6YPMmusEiyRwkylAZbTVENG7z68k5yHNzkEfh4RohZ/kIhVD/Gvd2VRFlb9hkzWk2S
oRa7Kq17jbUCFjaqkW1EHzsbUytkJc8ogRpaNzssbnMerSi6j60x/VRpfa2nlbbhDPwkr0Z2nlch
rtum6XsS4upACaGlukgb5H0bz5nxpbLZeaPFRNdrXSW+6ir3DSvGXDtHq4CJOq5Pcy7GVxJr0H5r
tbDQumEWz5vFkAa8f60qNq8CY8Bnzk3kD8lOjUPzBDcFKXIgZPQAS876XA45dKF5ymE1NW147zhO
BYgCMEe2tjAIfS0xODEhBd/s7hutgQ60Gjqq/VoQQTIN5w4dOtJ8Mbrg12wP4VxKj49VXGur3aHl
5YgdGr5zviNVNqJxVyuiUaTh8xKhby63DmfzLpnt5Nik0ILqEU03Z8N0TLTOe9CK7yHloeOc50ue
onCEdVZqjefCggWGEWLxROvGxVVCrmZLy8lblOUM1Bn/DcyXbjpsldc/G9a46Canm0A0YfMmB6G2
bSTfExsx5OjBk0jryX5BI1wdE5qFe9+OBK+av1u1Fr1jorEvk1HdJgFH/+Jmt+HsBejg8YErhr3S
NSZ8Qbmx8Ugt3laVk9zNIC72Do0D/2CZrAsORSTco5bju1qYb1m9tckjhl19w39iiKVfEy3nb0hi
unHc2snWbRUh93eZww/aAkCsoNo0OUHMui55y7RVgKfUBTN3dRCAxcFNMGtjQUs8VLTiOm1ubE+b
E1wbBMxatItyNLJldjaIln17NzdGTAADQuYXmXRdsa21zcG5Oh4Ihsb9EOJGDsir0q6I7uqQ8CI1
0kt7Wr589VCQHtG8kkqYvtAU8+ci7sZJhouBdepxNuVTOgXuPrk6M2ynQcRdYC08t1fvhu7BL0Fa
IEHuovLrrE0enbZ74H/g70VEEi4Qg43WV9utc34mJhFL20WQKaFFVtpE4tWtuG05zvgWaZNJePWb
UHfhPck8EjbgLlvpN+SBry10oI07Cxu/QOJXpwTFvEKi5BkIlfBuwCTKAognRlnnj2NkdndlkswP
jhQxgvMB9K5sBUqkJrMMzPztIxgiLmuCD86kskWYVPiK3caWFO4GASuy1dGJ7YJkNgd1uY4qDZDh
vKPrrt884FNs1RfDPyFdJVsLDSGZg3lS+mgols5ZNWOzHL1EqpJJfS9vu9xcnFUFJ5AZqbFoAG6S
DExpFwi4I+cIuLLCkXAi/KT5bCVqNh4GSCbOvufSxzVeLgR28AxAhSzhng1Jw03AUq2oD+TYORO4
oiCCH6Mc6q8ys72naRLOBoiu0bKOneWN16QctJGvA4dKmSXnJprTifhrxTS58KaXBmbFI1YF9bUO
PFYW18VhCh/h3RGBcfJwwhb7um2QFxpEpAOWFwtXRq1ImY31ohK7e5TDhWGRGfaK0MHCdAjUNkPz
WHkJe8+iHIxVa/cSHBu+Cru7kd5sIaP7X1v3X7V1PhjBv2vrbsse+/tHw9qPf/VHX+f9woAL0inK
Wufa2v2f1MAh+lURuaE8wKE/QhZ+n5XZ9i90MhbQVQ+1LnIEZAK/z84sfqBP54iC1wLeYfv/aHZm
I+z92ViPqsHGl+6gF6ZTVIg3+f//1NnFczP2ZSyaI1sN5W2SxBCPZlQvZw99wK6sE494qQozbmuo
4BkyB2FVeRGQHx4Hp5b7H6EubvTSlMWeFHpY94PIEPFTrz97xGBvVFS5OAtMQOECrfxFFKAbEo02
mIA5vTiQRraVtojzrAco/hziiQpLDZsGgv9ahCZrhi5nKcI5JJ964hz+A9rhw/CQT0DTbsCBWKTf
WLbur3/+BBKKNRpVrN2UmtM9slh/T80C1rzr9Pvi9/7pEfk3GBJNt/nJTX99PcaVtgMs11OIRv78
epaBGjZM0+o46iyGKczetNBPozZ+lwf9ZXP8QUuiX0nZFmpX/NqMFuwP72xBKYUMQ2Yoqun9LI5v
KkkC0QiKjZ8GK3P2c5QEj//47SmHNRuzWNI5IPP++e0lpoULiOrzCDWPxFBDmy5ahDXupp9ckAv/
/NVcJhzgOWGPKx2F/PMfL/S9MS7yBJqXObrpuWjyZUe6DOLYnpiNv38t8QFCoT9PUsB4EWWbPgil
Dy82EVMXEQkcH+toylCVRvTym7rOy43XCBTP5AFfetr52xGP/IH8wK7axi15CX//e/zrA6R5GGTU
mkyE4DJ8+LNmolVz3lMx1mzKuGjbud3IMAiefVlhavr7F/vXZ8g1ha6GPRRJDkKnP3/ADY2y3TUy
OVZiWR6uMSCdwTe4wuEXkVsXoxBVhY+l++9f99+9Sa2polGWjMTMD+dSGiZjHMoqORZjPVCU89cc
7X4cyaQnLuQfvZYDigoBsZ6j8ecFPfvhtRxkR2KI/PgY089jOJoV8GWzmW9CgiA+/f1r6Z/107f/
+lqI1/gooZk4rvjwx0vyjh6F2u24zMsoNiXVwimL7eF368xffvc/jsX0e8KUg5uDQ4bH1frz362X
WdvIcoqx7btDQjVDP7Fy5gLB52C7T1Ec5zgQMTOymWWAFGzptKIfALe//B0+PDv6vSJT56DTOUKa
1vvn34HmLI1rt+N3GFr2HWKomTegFjgH9pyfytCjnZX2/B/O8+tH+OEjtjiCSAcDNGaZ2u3985kw
oJgrl0ARfAYj83OTyPwkbWe+q1gz7Bu7KlrQmOXExneeQrUOxn4eSI8opl9xcdRAxzBcnNKgwOSn
V0IB4oxTsCTGDwjAX346/+73xA5DaaCoDnCsf/h4UuiK46IM4wAwRr7NRA0166HOaLOCTI6SfQct
2GpODKWowsf0bMJb1ODrIDj2aenc+J0fHPE123e+IVu1I3W5TDZl5Kth/0+fWs/k02Rl51KR/MuC
zfQLBgEEzBA5a84prnVvSuld2m7796/z4VvPE0MmGH8yuhCP/368G2MDcE5gtPGxJKXhwY+1VKxI
S/cGYYP79Pev9fE4v76YUsyPNc3E+5cUgtlr3daZEo7zskk3oRcMG3TQ/Ro3bYosXYOBpnG+Ef2k
Xo28gKhbut1/+GCF6epv4p8fV89me4kalaKAX+fDrZI1lWHxzQgOLNab+agyi8O08ye7OoZ9tTyw
xTPfrsEsMSmYrLiqCJJ5HKcAOiWhQjctbKqTj9TmHjU4kKO2TqpmXRM3T5hxSmxOFhGPE8HDeVwy
O/g+YDt98eZsOWNzmvAS1Y3UovUUd4Tn3gyNyYGL0Nx6dFF2PsmoMg8dVtnbqICRtDGr2CA1elwe
5jCw+1XGwOmSN2b3LQtm820xKOPYudIk+1MRfM89w61ORV4j3S8wQh2wvTvo5ehyYEepRtcIZQqu
tqgt51vkB+K96HP702jbVb2a4FqSRgwR5Xs2dM64yckBj7atl0Rn3N75yXE5WkQzxG99xOFdtqH7
ncmyZ2F6pmykHTMJqh9jP+zJgJXOfnRMiqFCTe2vniKjB4KwegXE3XiPuCt43vj2h+kuLX1eHouy
8eBZLWcnGj71uuDJ3UypH56V/rctjS6gA5d4XLCiwGwU271npGTzmXsme6nrebxcP95AwpSzish8
qOw6gvyyqCw6Qi+R9sky8+ichmCotwTJJkyar6dVL2aYtqgU156YjK9FmfJEluYETSXLgGH36H8Z
BhGCCgHINKNn0nidz31jEjpvoVe9t1NLaTsDP2dELXSWHTZmjMHxW2P6Y7EKmmYOCRKExrhike8+
4Z+3P3nF0Fgrw+KzzQGuvWVhbu0E9pZvjJkMwm7dFmBVEOfLgzsy6Fp3aTPdm0M9XeKZpeRGOSL+
msmOowml14uYTSfb2vo5zBE/nrweu8t6RpcME3wSFDAiB9FfDBnPksq75RyOc0ZgDK3XDAhqgPHm
GiyOFpjrmz7SVLWEN8AUOEHltG55wLb4q6tv0RiSvzB5PL2uxjA1AWa+Qx/RMWDPNZ4lViONWnDm
c2hkySn1sq2/MKhj1z9dSiODZZsw7Q9HWLHAY931bJQNWJsoPppeU9ywPHHWeM3ijbRa8yzsYjn1
tSmR/bjBc9ipbeloWoIkKmrm1dZB4KpLvqh9Gi8V8bnBtEfPZr96ACA03h0f3Yw9Le1JYjCmhaGj
hcCPBf7On7AdI6ckgJVPFalOPFzisJhPifB3UYQPDCdfSXY3LOLIwNePANZf1TlvK0u9Zk1AbraZ
hw6lbAvmt3Od14ad0xkiw6WZOmK5BnvaDLPnMCGx7J1bx59IGMu3c1tZNxlYDbNHw1R1xbhP/dxc
p4vQ5jhTsv92llXsR49tNL/5lfWt6o12mxi5vZkldimLmdPRML0vtfY8rwa7ytbz5HGr9ZX1Nbed
02J7AjFmfBfJGDGWI5+HIbgpC1TSHaqIbeTM0ynKcg5gR9dIuTXfydi2z1jr6wcRQ3I3BoKSlkXe
pqqevQpeVqKgOehDJGx/wxJXHWZRorIugiFAeBXayUkQfiRWgRGq297N+IXKzLHZh8/W8sldHHs3
jRlCu26w/BvMbfWFQsmJNqPUizMFigocWfiJkeX4NJcu9UPZVl64Amk9n1O12NsgR+DhpJ33a5Ij
5p4ySbB07ee8KFX0uQnNR88dx0c1zvPWXvp+q+8fbFxlNUTruKrz+7ZjKKj4pmVHVpaUAlZaIsqe
qUVSj2VVWsh2LYnZ4ygq4Fc7aNuJD/fVoUpofVAhpJucMm/nLyazrnFgpNtUVn5pze4F6HC9ESza
7px68ZJ1CJEFVDvMsmTHThMDWQXuu0hSV4sp251Uffi5Q4l2Y/fTposDxPJjbwKp8Eb/q51MZBa7
hdXqzL/GIEepiU64l8BSWCPa2GXIeTATagdahMx4yOZGbfO5IYIXI5WZd8Nr7xTe986Z8ADKQljP
Vu6qz9OI5mtvujES5X7EjFn21GPFVB+qZfHvJqOWD2jiwOuXhNoZXa0OdNA+YElhdatK9M1vFYF4
W1LgZoiL9lnljnn24WZna8cXt8yRC0qYQoGGyPyHLKhBLAb4DGj+k8hhTNGIZyMGGy66zD/xRwWx
4eLj5RLGTVoYg/M+LWb7oMCwHCdSGzZeSUwv4TksCJICyEYQuvtREWsqMRABjY6dTylImXs4WjbM
CpEcgZ1bGpoXb2yk5vUQiP3gujzYfnGWjA/WQe5b92GdwUatlX2LKg4JeLXAG3Vrscm9sdxn5lLt
sqX1vvUdb4mDpl4PLUu+tdeVTbxKScjeR0NhAaAZda5CG4QvhTnZd73plRdzIb8bv3YpVxWMsWI7
p0bpwM4Zsn2WFurVJazgmbcWQuJ3vZIwZLDZs+HPv3W047dIo3v0TQZR23bls1Jnn82d7vhjoyeT
7h0dO2ohpDI0AKI8ZWKGPDZ01XlM8uy+km538dppOth1G8Gi9L1DPi0EuXmFsUJo4N2U9RSckx7J
jhMO+VtasD3ZppVff3bwR++kJHvPd3PCpyvS2o6wKZglJVnzotrqa86P3jZ1yfrAdxfCxdtgGb6Z
rCRAqxitcQyrnlrWE2a3rqOCOOIENI8I5nhtlmzj3T7eprn1PiIw38TEHuNJ9om9KcJwPrO+K9+U
KAY4fwnbDp87kAHssp9d3C8s3rp7YQ7tW9KknNlgxvKMQ6C5Jh44pLu7nzqzL1T7jmPfc1amU0zR
98gAy9LF6I/5YncFbVJnfK9lVJwnt7Lu4tHtPxlhMLw5Tey9hr2P3F7zf7LNZC4eg28XR7uC2lrk
xcGQznxi3+qH2DMGqKy4Bc00rzeGN0AtSmq9uRxTsaaKQvBgzWrTZYSmgf4NMH1nk81v1U0Hp0jM
szPGGbbckTuDVRZGGUjpUlJdlhGotqSeDiLQxmsiBftN5xBTwbVFiLeHoWZeQ/DAR+5PXCOC6RDP
JVP5ddguxjPeCnPnkyOzrbgU9rZZdadqifv3it5Ib0eyTWHkfApI878Gln6UmSiZhEZWZHUott8H
adrBy+xa9jfDqgwYcf14G3gwRNxiSdai5MdOzuR/EkU8rKzebb4GlRNTTpr+mg38JwrjgBwQaWJc
rR+l/RKys13NC8drkAU8VPmL6RbmyvSMRzWA2UtUsayRI+6QaBF+XeBexNqbryaKk41SEXnORYPT
lx4bU6FTrv0pfkszKyrWBn0yKKKu5KoMD0jVrF0vx9862DJ7enlnXbM02KWAGnC0yJPVImQX0NpX
udvvvNAP1xhHiVgIeJzNZBI3s5uTdy7w9PODo7L39iD501Wez9kePNb0VEvEylbvheekGL4TNGsD
d8+LlRwGcgIY7G4R8k6nuJmzg28yHrCmARdC1fT7CtTtG1Jpf0WPz61DIXQCduQAFYvrXT52OMi7
KblNxbRPJdFUNgXXmqZabjoIySOyJMjZkzy4DVhIMx88WhPIt72HR5dS8H4SLSkVWYIqrmt/6xqj
3FZGueyFJAMlr308MeTmNHMlbxAOW6uFxQfgqQewDt9iMklKAMLUKf4dfKNTbtSvY76gHg9OmDs/
wT8+c+QyMMI1dUPaxvekDl+E7z8qq9hXVNNr6PXffDNGRZgypFSd/yZcXEkoqlH5GcL9VGbEAJil
9TaR63DKYIpvvMg6ZrLpNsRU7ZK+QoGgRtzJ8p0Ugmpl5Uy1AcPQEYRj339e/h97Z7IcN5JF2S9C
G+ZhGyMiOIsUSWkDoyQK8+RwDI6v7wNmdZkUDCMta92LSrMqywonAIfD/b17z7XmnxPJ66QlIDqB
IDmuVaDiJx2RHiYC4edH9Dsg4YirSOvU2hvzdmjTZ1i9XUiW2qXTftX9oUcY1AbbpEvvPStOQm8M
csipQ/+smcLfTiNCq4EzzGXfCy1EVbC85ko/OlbqPcNxrGgota4PNhMCa9q6lEfHbDlOeAGE3Bo7
9hb72Rve0Z0v5eBoYpeU0xdotMEv+AA4WbSmoKCzyoPO1/fmYI7WBd3vriM/AcHBbWGK5ffMNs9e
wFi4I4ULtGLYHSQz2htz2r9UNe1sie4oDFwWqCxXOfuh0LN6T7uWmMvTTafVGZa7JWTW7UaOnDl5
nKI3o29+nEe/O0Jwmd0dGtuVgwZCsBXhIAVWveZYFDPt+03N8kKdaelpqLqPvvUEJmwjjRiUqjYd
qEwz6F2+cY9+G6krzXY4JaeE00vVuvp1pjnpsJUL87HsPZalEYvCujKW04mRTsNrNsP3zlxlXOoG
SaxGjMQ+ycFt4oWkyB3bnvHF6By5dR3BSYQOrP6jrkfXuZLJsBx5A1mrdeI03VNbDWwdCs3V940B
UZa9PT+tuRX5yTUHdNqzSOw8w+N8Bd3vu1uU5iYVbP9wbTWkjkL5g8FwqEiTQ2JTi4OZE+mbdlZ0
tBKHogDq4Cu/96gRLJ2at/GGhnhmhXLkELlApjkngPOASPr89q8Efml+0V2O/W+8b89x5hBDX/PS
lZIz2CRMqgS+Nd6MM9sejcMmvZ65cu8JcFRXCIbJ90hku3srFDcF0dvmVJOBS5wPCddpQ+B7mgR7
LeBPLBNwoO4sq71LMMUTqaBcQJrxi6wjM6q8HhxyWhjPZa/z1HEX8TePkzgIp5pu84n9LlG1AFTz
Hj57o5RcTzrXZZfUwhuHY187JA2AUZW1WHEazvZ9X3iCuN2ItKd0pipC8ZLFoDc4nehowWt7cNpD
HullyfzXZ+0yqOPmheJfutfzjIqiP18EQnRQMooAejHfDphjVTzXO5mPo31ZgPi+dhCEXBA5Qods
diheRXN+fJt3GoTf3ZDxBKwZ3BdEJxwOsgOVMEwLr7RPIMVoNI+XwAJ7viv65Z4UPV02g//Ks5qu
aw9yrEuRcm0bpDiTvlvt66UUh0V0vvJUBBikAEpe1+m8I+hkvpK2zm8Hw/KDRebex2agbYOEpFyk
zN1GeiRCT5WnP4PinXcoEMThLUe3qSV3y3AnJqxheepq4Ie2CLzIdmpHTX9OSKLIcNPkAdlozPtE
Y3tteNRZgWFx4DcA0vyeDZuiUgY93poZMpu0+oVSYkV8UWUOX6W52JCIHT0O2HhfogQqv0Lr1qy0
hFfYtnp6k6OMjlFj1C+51yEKaycNx243FDqqgSIyvnA44AorJKI97JY4ZweMdmEfVKl5yblFPJEP
wb9Q6kV+7Gtu09DBUR9zAnDfXlizy5Nf5Vw2L62fMvTUd8OxkCo6SEquJTZdHDQznspYpyInW/5/
gUjzCxbfH73T4RU1Uo4esvlZ6T5xyzTz9t0giEWWPB1JbstTO/EGRr0KqFhUwV4KUqjj2lVXFiXw
q6YEKy1GtKzr2Z2NiyI2jRuSWaKjU1j85ZKTj7OpWA73uuVQ/KAt6m+cZRaMWB4uncahpIBbA0K2
j7gPN1PPLPFm/UesZ2DEXV8jfS5pgr1XC4cQO06nKABZHwObOwVbTXvA5xj99qKGCw7kMgeFToa2
BzT3iMgMurgPzyzUvAX/73sc+3w3GV59l3PymgPG9NzV6fR9GvyFJ8yGXFBKbWKS2CrkJybA+Uuj
G6rrZJT9Q6qP/q9msKPfaT2hHnaSQkEF5stkp4SaKcdTUJAAxhyGoI2+Ze5CHu9wxkYbr6bAvSma
9P9h5v8/b+wz3tgSjfFH9fwdl/fqJa1e/xKv//P/+I/IwSUgltAam6xE+gPMP1ou/+EpeAZYXr4f
CNGB3/8FVfD+j+34FPr/G9f4X40DODJUEfiLaCMHNASQP/wL9fppU4FuAgdmfodeFOp196QfpAJA
wlItCoJoq4Kto64wsv5xNz7v6dPLQ+QBs4HtI38ySoq/W060kJbNIfHqZDCu8pl0OlVBp+aW/teF
9T+MslzoH1oNIEbT5CSM4lXfO+17Pb1K59+JE95dyEl70ktrm6M7Q/TznaffkW3Tzj8+vgpCM5Zf
+bPl4ftoWm2aPCYzwzBORSeLtzaLh1aAT6/Ez5r277hlQTC37Gvn0IlAFeMOYvUsej7RnY5DtrOm
LcAkMt+mYdynjRCPZjJbxprPeLYR0rsznXJwNuxFx8sA4gGnA9K/LTkNO6gD0T0aOHZfHjHpD2op
pXmZl1107kB5vaZY4DdAXv0OSLExhH0m1kiTE52dKCq5XPOSq6JpFJjbvl65qag5UPRsB/TCu9Bx
G9AfAm61ShyVXOmt5rJ+FyipdQqjiebABI3LniC0SRYbJO/9ZR+U81dgDsUGZLsJw6b96YIcp9dY
WlvyvYZN583l3ja7Szs35depUvYdSWjGXqNmRYChyNjmQEAqesPedTneY29qjCufE/42s2yS1zjH
fbE8yY/wQbj0ZvJ66tmHIjKozriK4FOHNcWBdVz3yV2UDePPQEJgHWar56wXTRD4BpwBWjq/jhhS
n4FmiGxDOsP8leYk2ZrjbLwKMWnFmjaa/K219pSsp6yQj4GZ+gkyDGnfDQjbcZFyg1FxXNUc0+WK
vgxMZuW4yIIjeQmJjpz1lLiZbQQsB1BcB8cUSq+HAjHTrknEe5UdqsRRyf5XNk9f7dl8DYDvfZtM
iFF2r6XPMgeipisKvyuRtMa+Gu3XZUccrJKxnfEVo/TPaO5NHBtm+djr/F458Xdkk5cfy8DpHlMN
mEAxtd5F6fcJX+Qx2lqOwByBIhHKlJkd4soaNoFoxA5Vtb5Hzj5TFALngWFfRVsfwAIb8cKPyX6y
zRADBwOYM/nxbSb3RLLloDSy4Z4Qlv5eQkzirBkQkJmDTL0DiYEUvojyI21taKUawbEDneMbP+B2
rlrLiDYltdyNydp5Lccgyw4ZbRqiLfCTrQi2M6J1L9gNIYePac6lgGCqPp9WsHCdG4JNsn0Sx/re
sEX0IwL1Bw/Q1KJrcwyoMecJLa1F69yvAJbbNyoR5kbFyl0DULSPqhHtZasth5tyHg5u0Li3kWZp
e6S51q1nlPHlaDuPUdmyP0I7jQDVGXS6LxQgDq0gsLnvJ5BXGCajH5IOJD6OsZYrS+u1fU076Led
5f5vylty3QGFvRBALH8kgW5s4761AVGT6rTVOhlQDw6W+xGBGNsY8/SroFeTrbthKrZJTK/S6AwV
ltDeL4s4th84O8zbSPnQDizNMfa+V4m9gzHg2TejASm+k9zpZauHA+wrIif7iW29lw4Uaqly/jRy
+H5t2ZfXvTWNL4IMnKuqj4MbxPrWA4cAekoYGrTt1BrOxWjG6tYaOBgiWvdvs1RULyB1xjuhyDqa
skReT13rXhoT22mIe85F3nAKM1qHdCYl3fsGGflGIg6B9kylbu3opJKtWpCKJDWYkbwTs+4REahH
OdgN13U29P9rPD+jjkPbleUqKerkvsUK+suZ3S40BhahnEyfPVOD5iXo+l1D/uQeTzVk665JIW44
CWJo3W4vitFFs57UbfIws+OLCX9F6cxLk7ibLMDJSktxPvLXxg8mmQ1Hlav2gt6BWhdOlLbrzK10
ILtlFhx8dgw7NMMuHcGYjLEu4IzEWQKw1uI9SvIUZqBrMSeoEnLMBcCwBYQsDv+cKpMWVzwSXG3r
RX2ECUYvAuIuJfdhqmfAyJySbqtCtD/gh0Eiqof8roB6tk8yXa0lq8D3NA3mbT14XggLd3jF+jrv
TFQnF29nppEgU3/lI7J46WCM/MCiQsOxYO/+uwvokKsOYjGiIQ68yxHLrFwH2CVnI1QjRIPNjrec
glE0gu2Q28HP2Y4yh9/48f7GNuKlM7MMSe+PygpVmGHdK5O9u1UshbVcdk/eJLsNe1/+VVsQm/6W
x/R2nDc7AmCoCrP1tZP6cUhLcBJL6hQn8mibzgYRtNoCzYNAstanZbNf9y84AuWBzBufmMg+czZ+
lANVGBfPvRLDdUDRmdNqAvROGEF65eZ4GAxNEi9Mt2wKa2r7mPYpRhwQ3wNto/RUHrPO4Czg1a7s
lxr5HBLwxR+sT2SiBCmlAgO/zvNbpza1l8rMm5zTaXxST8YlzWhueoYFkxEdJ5J+AGpwoH3LAWpS
F0mXNvHofQsjdO1RBukLK/n1diLMl9NqKVznIgJ7ySGlQ8bYxgj620jz9+xGxcFqtPxxhGi0r0gj
u1/SXLYOVHR6IFQW4rf60fKx6wI6IFpGLWV0qfZYBkenOqAdk1BTurWEsl+Msi22VcMER1GfQ+Ai
VgsRF7RBW69eM77hB/q+3QPxpvMjEym+dRMtvpFZH9xXGW0c10Y8moqm2vvCcp8lG1K56lMzuizG
Klb/nPzMSJtuCU0hFEfTh9ehirSvpddEVHAkFCVfc//znHI5Rb+Vzh872da40+3GuKYeoj3EAOlu
cYLQWShMHMfOlH6r+s6/Cwjp3JET7DxB3rKfBqHZT5nTqGu+VO4uaRNto9JU21BboIYYRfXVHGvi
S40remsKTOGEOkzXb3ddOnTm684HkbHwy6uq5sPXZReOoIfa1jikqx6vDvHj+m4Cqn3h0UPZVkEm
D6WS1raBsE+5SLd5ib1AHXvO0TeRb8QHWv60Xd7m8uwbqHw022df4dsXM0Tpa6+roi1tjBj8NMae
Fee+/EZvs/LgUll+DiL8WTJCWreC+mJusAHw+GcEyznZpVcGNhWMVoFVrhEqJSyBxlKWQPKQq+ma
RUEdzCaqbmAjzZu0dqBX0/FWjzraHuJMZ1ivM8waim55cFnAYyV0wctu4IpjcrAoftl9SQ1xJITK
8EbqiqKZblqv49PtJVhhvbamNDHNpZdvsPBH6co3wA/xbRoOgaBNuYrsjgaYJEN3DcumfuhRou16
Fhz2QDSELnD8ypuWsiFlT3dAFU0BR40GjA40JDvkvhpYorzSHv4JusSAxI7ZBmdcDFQB9bccK+kQ
azu/aTP9oaXi3yy5XEZVPOqUWrdlQ2XKClLjx5sYwi5pcNvjSOBS4FNAmdLaWmn2ohmia7xNUYfS
5ULvI3LPO7qjrba+VAI6rEmpxFIDQpkycDFDyAElz6rqrPlOd2mHYFcpqB1F/JcHW2sB8ARUdi57
uF3riH/1NrMwsBBa0UYhzCR7n+rWfMCJ4u7HNt0vV3TjJZO5pviRXJMzRthVn5b3wMXElt51tZ2b
RNtLpwYzBznJ/K4q5Wd8G9p7oJSI5fJUu6Bjdttj7l0BOQfvlWmvPumWINRgCvW0wopMRZdcRr4p
9JqV04k7sfN9MW5ryjD7KKJvBARGXiD+EcjDWoK82SEmNKocyNCJujWpRazzzi1/epX2k5rfzQQV
YWdOY7ns29oDRiGTOOj0YayTeS18LQ5ZrfbciGGNILXaxPTx6YP5z8RsC6yUtLbJX2mjjT8uFGyL
hoPuS3rsTkOQitdwvZjSbHZVJinvYEspgEZXTUUWdU66wtZNC5SdtTX0IBKy5HvcD06YQ5OYV6qf
hu3kz/V9gy6eHKkYQdSqNJOLJHOb26rKm2ctzqsVX/USm1BDM27wUIgZyGQ2hQ/RpR/UfDTTICcY
K+lDLcF3vKnj1r6FiDTfZrEr7htIrlsUAB79v0mAsIKKs4XACZdbJMkevFC2G9qcI7lepEdMyFDd
DEmMo5jLCwPgMXXdwgnEZqxja6RF1E95ftFVP9jeG98If/WvjKCX+lqYTn03tBmIDLPux9toVvVB
KqrMmZZ0O+kjiTDLEjRdjgMPw5LgKW4wYv2wE7slQhtY841tyOyuciTB6lgivrmC/RWW4cS8Vn4g
v+Fd9o45dsWnSHl6tGpBiz/qyxfSNcqGkrefhFNV9RdJ6ttXSdnJJ2y2TgjdaTwWTjxcjJrKf0o4
jqhoDB5u3cvodvCa8lfZgcUeXMN+oZlS47HDIn00ADxcCkk53cUvQLFzqGzOuh2UCaVJ+6tVeeWW
/r5BHRuD23Wtqdd88Pxns/Yqmvqzv47jYt4h1srW2VAqHNPJTCuFGMd+1WsTfBTwUxdkuGRh1gwF
cElP5/HytT0qThXISK15NRr+JgZ7uMFT9qAV9KUq2RJFRBeHwo2/qQL6VrnRPAkrsza5S12XrrHX
4m1lZ7yvA7d8qPOyvpRzYR6EoIPLfr5EH4FVL2/8XgutbtTKkOOSq70qWaAYGaETg5zzH8FnVWDe
aWpyihlXppZGX6mGSpBaXnHLVjF7mQyr/pq1efvc9M3k7RsNS9sqjdo0x268JCOQZmJymJLVnW0Z
Y7V+q1HmwiWHqRdjdhzM/jUefXp4lHcup8CvLix2tj+rRnfXCt78xtXy67keMCp3llbsJZKjNV2h
+pIcyTFBPtnIa7r48TUkMHeV2UXWbX3faRH8AHLqRGZ+4f3/BeMY1yXftGDVY8KjWyrnI3kO/W2O
mWJjYy54nERn8eGCkWJUZXTXNVb9w9Ka73bWjd9RRd3PJEzZO4+660aj5Aq1a2Zlb7QljL4v7qH2
wC1AHya+ODrYqHUEmtBNen03D0NPfTixsYDW9j6BRXNp5oTbrHLRgyAhCyIkFyX+QQm6o2eqA9my
NHz38eQ9cNThe4JC8XtUkhjSxMGTPdnjhd4Y5p5fMRHNt/LeTu1f8ArFzVBLhaslGnZDjviF+6ay
qyCYx/0gYKwHcJX3cAcmQX2Fm2JF3pM3JPZDOtSY6PuUF1YEuDYr9lQqcYOdA9hPWol5yxnkkQU5
v5ma2T22SMxWcpTutimq6KUO8hkg4eiHWmtl1y4xSPgNNU4xJrCzEFREu46HsfpSYZZnh6vdlWUp
D9JX5V2Uau6t1+ox8APXvDaSwfptxHC26mxstqJP42MEAP6mcqbksnBy595ukDahZJxh/H/LKpzy
Sd7tS5bb7dBYuJHlpN9FUe9CLkdVXMu83ivsq/eSFXfVT/hjg2DQ96LowceRajJ5unu04lrt5Si+
J0HlhVmc8MViI3hkIdXC0gqGS7Zy3hHEVnzdxW3O/reufvcyG9JNIZsfFuLfb50ve1QAMUrTH7We
ZfqF0fTRhT9G2YZqychk68yH3tQmBT4RJgmMSxGb67pq22llibpxdm01zRzNEkF7XYnioSqDChmC
CvZJuqj5KWE9IIN8nSZEhjqYGvrRljjq8/jTczg1OIVZrtlUcUhqURTMBu2zMg2MhfYfaghTjrz/
Dohx97FEUbO2I2IG2BUWG8odPztChje1riJkDnxf1TiG/eS+eBxBpmy+dIR+xx7KpXJGmUjrfeOn
HRTjhV071tZtyfyDxSFu4sgIh0CLfieu5dyCezLvuin43U629hjz6n0l8FQkG1LvW/pjYoJl68O8
1Sqn3uvB1ENeaKsNVCdCbRAlf2JUeF8FxcDnOS5uPhI1wVv+Xc518dlXg+aLcLSp3w0axbi0qZmT
7Z7zePmJ0vxdFZwAYwxDBiJ+ADPuqcnFm5yJfZInQlXHNGnRSa/S0pu2RdwUm48rvOeGwm5GPpJj
wuE4VbTrndtQfjS4sMSPH6bM5pORDcaVLske+HioU4uJz1UZJrY9ADkBI57cQyN3dFVYDFWJqr/M
C5mHrsjYcjJ5V208lXvY4+rfFskZ1DRIgqYOB5DmdFAnjeB5EfUVqpy7aKJFW7lQSVGV8Y+Pr+/U
xrNcHy80LQwPu6DtnpgDchb/uWk0EZaK0M1VEWkZi5ufHXKTiiaRQO1towwqiMWcXPXFNH0y/tK4
+LtSz/gWcYs4UX3LPLVhqdhuEj2Pu9AvSXNn00Uhox2/fnyRy0WcDmKZTMzF16bTFvj7RZgMPhcy
MEUoJaVbb0zYRcSeFV0Xpj6HsyLRYeiDaVsLNskfD31u/lgmVkU9oHkDePvvoQPHnozYtMRSJFFo
0BwZU1ehEOxpOilkaG2clUpktP142HOvvmXr7M15sljgrb+HtbrArb2UYeGPFkejHL6ScQD302XW
Bh7z9+Phzr2QGIXx1hDtQ0TlyQ2ORasb6IEYrpPOQ2u2ew7/wCZIRPlklXlnqlkmLNQp0+YEzkKj
n95QaMj/PEt37sef3dvcVFH/i/CFaaWRl4hfAr2L68/6SwKsOpQjpfiPL/fcpIXE7nqubeFBfffS
eJac8QIIdPmxfefAA7lqYpbYj0c5d1N5hEv7SqfxeequtfGk9HbJ0vO2Cgzkq6EuVhPw5az55Pmd
uyAb4YBvW1TlMSn+PV3yqa/gOI0sqGMLl2asv7t+/f3jy/lsjJOVNHUAzPGhhgZrSsJIxd72y88c
b8vDP33RmX8AkJiKjvducgSZPwpTirBh73oV97p5NGExEj06ps+JxgqDRElfMhyg1Fio/TDwfbai
vX/1IL6SIItmUQ8oXSz34Y8mqu00yAfrgBQhg1wTCVlpTUZEe1loGcqfJqg2//a+LoTZJZnWdPBi
n757LccqX2H6CctqYoPiqjvgSN4nW4n3c9HSceji4id0FqHsyQsexIYkaq9ow1QSitc1dbrGU3Dp
ZfQyPr6cMyNxEb7jAfrA1+SdTJOgS1NIvn4dsrShWtK6CxjcD43IHj8e58xjMjzb1DHMLbsje1m4
/3hMblPmViC8OpxTfSuKF80v1lleLYKr48cjvSfI+eDq/hjq5BtLjcpdnBtYhYaAwn1lx0QWeP8E
dGLJGqr5qyIsZw+6LxKb1pb+Roe9+c3lyLqVsym3Gd3fvdlRRiuFRQG8tBF8OX7WQGEjCzgek/kq
KjgH2m1lIRalW8S5Sm4Lk8RYAL3ktY91TwVb4dtdU2YD2OSm8ycXClX19PXjC05fT+cFMPCunKzN
ZP9oVgCYGQteIp+CstKvjcH/olw3fSnnnpySoqB/WqBEwuu+8wiPpWftHlx8QalDZ9Zomxwx8dcy
4mAk3QSZf/mlGYlpiCgslXXebjtE4vDdiRGLRGahwxxrNFoDqVBapvXrya7tkN72uJESjx7jZBtK
eN5lbqNlyHIgLBPr9SaIx/XsxdOG9NYi4G6ZIHAIEtB/eIuw6+MZcGaumfj5UXDwzWLLfzLXonJo
2X0o7ktGKtZgBNaBpz6FcSYQyRNjPIYfD/h+w2NZWJRtBwcPBI/TDQ+ehGEYm7IOA19C/UrrctuS
KnHpWo3cR34sLxNKrw/Q2+KLj0c+8/qym9MXWiSalXdnDhGrQUt6t8I9qNTz4JIH2dLvecConr1+
PNSZi0TgwWpErYP/nG4d6Yty3lR9FZaDoCuCoUNQroXvj9VEHNwuT/11R4NdrUaTov3Hg5+5TvZV
lksvfEFnnlrPPbJBKTtVVdhFdbpvRzLsF6+3nynxr7cB9rJIGRh4OV45p/gQakBdjHG0CLEcPSlV
jRvTnwgyKyzrX09TthsIphBGcfp45xdvoCj28dAX6Ap6QglcCq9WdjOOjruj8PTr395AW7e4MNOw
ITCQZv73+hunRVNB+eeynNIKsfNWNT1EejpdseR7fDzY+xeQwdjasDVwaGiffr5atCGJ25dcmWY/
JJb2hD3tVzZZDwgCP9mDLO/y31sQhuJY6nJprPlvbuw/vivE9KWq0hBiYEvcWtRKg9ohsrgYZsh5
uHkKgP8fX9z5EeH/IGNbXrrTz4vdeD6G5DxsjeGYB81LrYwHS+Qtal+3gJVpXn484Pu5T34QZKC3
XQcjLnf7j0t0oK3gvvXyUOv7oyqG0LZzMg/1T4Z5v2FchuFoaC2ACfO0oDD4+pSm/HRI7ORiCAdc
1kx8ET++mPerCKMYOpsNUA7uO5M+DpmJYEEjD4VFRYtKD5rS/rdXuXdZK2mok3RvqfqTVXLBob+b
JcvCgb7dgcxwimYgZg4HQEIxIXDwsY9FQBmuanJk5gFd+rmiid0peKwrDHNEDoMGbWh76d5eTm18
KOgj70hffJiV035BiAtdoGnYHCzbgnYxISCLc78GJpAHHIHOJ3/92QezxLjSDMQzdPpgkCQkBZ0N
sl9GWrKZCrKjNlHn/PjBnJ1l6CopKYEmfrflLO2Wz0hcF2ElPQhp9RDqufHge/KzXcu5R0F+MqpK
wBOcYU9ms1dYVdNWLERTYyFkiZLD5OrT7uOrObcCuWwBwC9wKOfe/T3KDLZoIsMjRzyEo2Xwlhga
p0dT3xU/0Ov/+100Z0ZkonwyFkbS6QkV77sL1ZFXVOXRr+XeidS9K0X09PFVnXt5FjAyQWLUb0Cw
/H1VU0cG61zz8hSp49/myqDFFjm/aLbUOxE7/s+xgLBDtbD75FN1bs174/pTODpz6KF0qieWPeRh
DJxUVhoOinjXZI9NNt/zIn4y2rkJz7HHZLIvAWyndxMYAhJSrMuEHTX5njAq7240cWV+fDPf8Vrg
H+ncRM/kc2Qhcz5ZV4PenHqHknvo96P+mCZ6vSPcFT1aZg0FvTlv/JoZfk3WlRxuWlXl107hWfvE
R9M5Y2KjsUzcodHiMcefgR6j77PPTrfG2TvvccLmzYRldrrxEVGnO2NZ8rWZbNoEsn0xZFCvUZV1
h9TznwibJduDNM/LorLSx3wcugPBKN8TFB2zu7gvx9I+UEUKVq7SGrC4XMfHN/LMu0ZPmy2o51kU
F08/iIXH35BObLfHav7VzIbc6Q1iyojUolq9fDzWmdthvGmMnaVQy6777zfAhD6hg/Jnax8Zv3QK
DpvS0V86RRykF1RLIKUrP9lhnHnpDIOOHTsavljvttiDKNQk4prLy5znJI2hcaDaoY8h5pWFO/Nr
K8Z2gxpjCP/9tcIoC5aKFBvE05XSJgEhFX5HSBj6UDx+gqp0cUc1nqzsPH5UPmEtH4947kmyZaMM
AIQ9YCk7ubsu3cbObutQ02OyvIwBVUJlybsR6EFYuhykPx7vzDeHC2QPZfFhY7N48gaWkbCTtObW
TkNM58IW40Zv63ZjoYj9X4YKcL/7LhtGcF1/X1rj2aksK45oRlBXt0CXcWt60r1Ie8P4ZPk6N0ct
XqjFh7BU+k/m6IAkjnymlrNK2T9A9Xh1nPaBjAaxSuP2zsfU/q8PRyxggW6agMhon5y+gMZEr83s
5iokYAeNnzd+Eb3YNNQBPhnozMJMSR0OmUXlGRvH8jz/2Ik2M249PeIIWMTOUzxNe39uHz6ZEha/
cbKh/2uMkzlB8FCe2TZjIOg3VhBcmyOIGueL2btAZAqC89JYxxo1igbaWBZ/rUcB59ahV9uDcKX4
16OGrFI6vTapr6QJGgAbcEOnlhRHEouTOzMgIL1SOLSiRq/2ZYc4i9OtWiODJZbN8WlS6BNmRWOh
GUG1Nb7MQYnYqjLgadRlJ/b6QFjLG3DsBnAru8N6MYfDBb9JJi/ZE/aiDgWG0evBSsqrQRND6OfB
Q1rn3Zo7nO9KakVilSAUDBEnEo4yzs026hMHsXA+Xta2lUI5yvrdx7f33Ny0Dc8zmCfWQin9+wmC
PmmlcpmbyIRf2km+kIN1Y1vaziprTLXQyj8e79wbzp6bzR7lexpCJ+M5iapaK1ZVCLp7qTldj2Z+
GGX1yeb1fVttIZ7S2KKWSZkuOBkG4EhiiSkgvlzP75omFWgG/Z9t/pUm9BWCFHI6ze+xqD45Mlnn
x6VKyx3lcH26IQsaMFjN6FATqdX8nJBhTkSWrd1hdNGLLZoZzjitU8IjyId2UxBOQXO7YiFvzeHg
oPJ3slE7WHpPTJ20q3WEMJQJ1+zpd9LBDrIfjgGQfJyQAoKkiTeBNFxqL968iY3o3szx8fuz065w
Pto5rkLseRl/D+iH5hXPh3GbvcGsJyx4OLr438vZWSedzLYe7ILH1nI+exTnnrgLgBbKLWUGy1hu
2R9rRKp3TlnlJMkDEFN0l1Zq1Pe5IYdPZta5teiPcU43RkMzlEUN9ir0nYWcTL1hTbTH9uPpe+6D
6ELro69Avw0q6d8Xo7dmQ5KtqEKaTv5aLZZFHc58DoE/6dQnprOzg1Gv5MxCmta7ba8rWIyqgndF
S1zCRAAnQPvZoQBFSy3TT27fuYXApezP1wLL3rvNb6GU5WaoqEKRiTuAaO4aUspTXYhXmaJZSNxP
7qRxbl4sPW8OsEgIvNM+zdw1BfeXfVo2FdBEZtM4+rMYDya1+E1taUloNy2O7yawvqR6lIQqxtQQ
1ynB6bGf7wLCYL96WIKwZ0QxyKqPn/TZP48FkTIS9dvgdGEcp6jTCBYtw7FtXq0gfkzM4b6w0JH8
D+N4PidFjr+LZe7vGdUNmkoa9HghJ9GGao58qZQ2bupefPIhPbdtXdC2lFiWf3gn76FF/KETob0M
JZ6RpEPiOlZ3onYAwxs3pKM9lEXwSaHi3AT+Y8jTDWs22wUaPcJ4yQ3aE9vwGtgF4nb3KOrhkzPH
aa62zeENROGSYcT2kbPwyVFYLuEG8+SVLDOm+i6T5jdMQHcNCsdfU76N1wsfgFAgvdqm7eI10IxF
mSkQ/YE2eiLFK3mKWqhWvYljAVcbPqNEivt4DsD/VkVB+Ezn7yZv9B99h1UToFWHYErrJqJvltJm
bf7WRxM7CzyEqdG/Z3V/jRSnIX6yfk39YVyVykq3fanM+wbRNR970/lkNp17i4PFqUuJg3l72oAt
iqbrKvwJS/zxYZazsZK6/YR5/IKa6ZNM1fjJgOce8eLMQijjUWw9ve1NZsSqZTMUpi3MgaHpRbN7
oxNYMXAdgnLRpH/8wrxpJ042hChmiLI0eV04Zp486VhTBV3Sogzdcg7Wydi793ZiEIhtKeciqYvi
ER4aHAIb5eSbXcBPQDGU/QycCknfXhtB631yG87cdzYbiwUaODzHiZODUuAqHw6KVYSgI+1tIpR7
VSVsG1VWd08Z8GhispIfn9yIM0VMVAlUfZZV23t39o0nZ26igTe6myOkrFZs7xCkWrsuEt0e5rK1
YqagnHTAIJKQtFb0ZHBe2J+hiK0za+XiC0eOATObRpv59xqmI41wS5mW+JYzMCpvvobUAn2Btrpy
Lrgz3kFmqJGxWEEpKygiG1pJHxWeyHA7WqO+UyoCN/HGl5ez/sy2uNonI1MKx1S+Q9Tn7JHkvyrE
2CzZw9Z2s2SLVtjeCK2SYeK23nZKem/jxxfm/yXvTJbjRrZs+ytlNUca+sbs1RsAiJZBUqQodhMY
RYnoAUfvwNfXQmTmLYnKkm7m7Nkb3asUqQg07n6afdauc+NjblTymmXLENrMQnhI3ME7FqrzpAIF
+0Vi/lfXTweMGXRn7dC/LxxRbsuKrje4/iKXH8GUokW1ZfqQakqy/flD/6uPQniN1oBpdI6NdwEI
TSd45OuxBIQ0CUXjrtN8UuRHLynih59/1vm5vV9pa/XXIHvlGHyf/leKXQxTmZIcjMB4fGyoZoa9
FlPbRaIeYawW2oVWq9GHXmLhq+tKfKP3CtwSoxA7UYFzOX+hv4VvuExf27qr3/r/s/7aay3mFpeM
/owP+J8/3dXozsuf/sjua331Un7t3v/Qd/9s93/Pfx1/rVdkwnd/2JwdJm6Gr+18+7VjfOdPgsH6
k//uX/7H13/Hp8KgZ8aa+hdK4Ad8w/1XzHCq/luAwx+/8wfAAUoDVgHQEWj5kQ5ZBnvJnwAH4zeT
Ao+6rl6IXZQU/+U/aFq/8R/WANRhYZtQTv+H4KD/RlQE/dtcqQg0Yf8WwWF9a7950SgcYKIM654X
jX4T0rLvNxBXG4clBRq5Z0Kf+fEkcf0sZq7pm3vy4fd/7z+Q6X4gBuy7//rPHyIgwjmu8YyJQNH1
Hj4dDWOjG3UcMf5P4sUZ7zEeKqP6ueoBXKEQMQ4ANHM8zZZePP38s9fn9e0lolJDkWEjfwQITr79
vgFBJxDiXu56+9j06nyL2esUjhJDCuqV+W2GE/QL+nvh+V2VGmG3zOlXSTjOpE9rG/i34T8wD1m6
60eEMkajNEcQ4QmzqSjTg6wAZsvIlth0wO0uh86JbkuGNcJ/cBEoaZBVeTTtkK1+/5zU1hQGBF9v
3yxS36D1WLalQjk5dab5U2OoAHC03DE2SglXRlOleAJTA8amhqEM+NCTH2zc8D6sY4e+Oi7pzvMS
eEn4ah2kN+ZbgiTtrkyHfjtXCwweqNzp7ufX8MMGynPgpFqrYoiOfqifd/CGhhkMBeUfMYWtuhS+
HFu8D7Hu+/kn/RAarZ9EMGCZxKQAyN/dLAuzNkx++KQRpdt+7hl46223Oba90dyoVlz+3WIcn0e/
yWWShqbMDxmLrnVVVSoFnxen7Q07Cl5xzLH/osTxF/cPPQQ6RYq09GTea4w8jNPdgsn1fYvbIMZI
2Ztg0nCfd+7dz2/fWUX+zaawrhh0EGjrWHjIv99vCllMzWriHdzrYKYPi9PpG9go6W6eeXBzaaDu
Q1XQ0Zrs89t5tNwTGWXOBLMW3Sagsi5K6qzM5a8TyvZI4CG0FJ7UqDEsHBcwj+oCz8KUd/PTGDuo
FPF+NBWU7NPCtHbMh0hh6htaium+0+3ugdH59BeRw+9F+++ukvYggkmKVaQtnmetkeU35ZFIj4oh
WcBcTsxKYidYTwcnjrqD0rSUFnNAZLZRv8miVUIrh4fHy5vti5JC4KiJfgt2r73CmwxFdQ9xCzS1
+qDpeXplebP57NAperAae4Nhiv5R8+hb47RVaEFrR8WdruawppeUKtCYyE9JXOlhFafzDm2Ylo3x
M9sZcvvesrCn0i34CXV9wemS7OF66BsjttO9woQYUyBpuUl04oLOqN27NrIgVyhZGVZak/TI9KNX
SGJ2UHZ5fCBNG69FoU2MRODPdSrdptiN0RqpjnhS2iazNPZg10XQY1G6z9s6v++7irFMTPGqclau
LU/MXwAqdr5bJEC28t7YWREjVH5mA1tZcmGHirOgDE4M9Q5FUvngxEn+JrSkRkmvMtMWgDKuIlwT
VcOvq0Q+Om6Vh06JRt3yPNyv50yelsazr21w22HvppXnG2UKVxEfxc+AJa0Xtek2igR0mkT5VyVX
3EulKjCMjdN4ozjtsSxtvrWtNZtc9w5yVKqrOhIRAM5q6vHlZJ4RUcVOFdlpvZ9hDUwroP+J41dN
VVsrjScrsScf7Ip6iPOyPJmRmD8pRd5DpwNed0VlOyoYHUx0POLIULNyMnY69IzDAO76pWU47AN2
nl11gAsADBVA+F1ubqtE8EaMSAGHxjBe6qatt3kCdtQQ0qXyrFftp2ruGGliKo9HIzH4kQzvTPMA
mty40SNI9uxt46Fn+tefgcS7UFn0L1BryrC1NXHDQNFlCngjUPAcDce4GMIhytf6dj+sMPuj0DM6
E7Fpwo+WMdP1mIbE9nMCYWWf9L16G+GVtslaG7Bt/qKXVRVOjKcHSmZ79z3R6NZoW+3kyGE6Vlbu
+TWenQEmaxjoZo3CpDJTnA7zoGxRAz6uZZUFZlbLCwXK6i7vZAX83Y2eFJHMfBkZbROKp2DV18Hc
Vm1GXq5xckKOIUx2Y9cGtD+laQgIVN+1XadcWEvN2KNSM6AqrfkFbql6A9Lecf0KZr/u41Aprhei
Y7apTmsu5lkzD0kli71mYJTu1CwXW5lriDZeA2eGYSTsNf3ESRofv3h0kmpWvbajGT9mkTZ8sRlC
fzTGdjqWrjse8tHr/TEWTJGqeLY3fR4FVqSOh0FjfTGMKvyBol4M5TdzOu1QpZ6z0sEbtJ6lGkOz
VVbSzqhWW8Q/yYEhELExAWwE2TxEvmcM6U6jMXBKZc28IDRv36r540qcAZdsy+boCTUPoVLMO8VG
MNN0tDEADc1vY99O9ZU6x0VIQ2VE/o3tXVvreXjOzNOYk0NbyCh0dRAbdQQMxRW3R8fu9c1EjyXU
E3W+WHq1e1i8ybxGEa9ezanK3GkeoUv1VfKPr1pGf9ADkk2anbWviSPjrV2nzn2S9tWpImu+U1Ti
i6IWyXVOJzyIEABzXkyqbzPjyrcDB4RMixrgBrJkflvEZvOYZUYe5sy5halCXKhYYgaXDTJjMpt8
y2zkcF/3+F81qdV9OQMqi8xk72lXbz9B+GUX2CAsnsn3mg1xZSRM4ztdy8k1GY4WMKqWh1m9jgei
m90sEHOu8fmcQmsw9E2D4HhDxTS+XmBGdD6ea/yO7hXdQ4yODwCQwTfJB0/djSMCqUixtdjvDZoB
ODVk1sbwEutaY2MIIHimO9Hry17NkB1j4BkdiVWg/ke25xNHtscRyy1fM5L5jRh4vE+xhtgYQF6P
GboyrGio3O404Dm7qFKsi76tlduZD0hCpeDkxYSn4WvDv3meGJ2P/chO+lvVEfw/BJq3rao3IYUP
7ZFO0EWXAyhyxqbedTCTJgbnVePCkuqub9gUYIYYNMcacyuSRh7KXF+Ld1myraEOb+pquMNTUQ+m
nsq3lU/WxklVHCAqb8SFMx53rRjnZMftd/LXlnm75NR2ZTPyNlu938tqwGsCE5OwNfQ2OnlRCU7b
lHMXYySsm8mVnHSAo/8gYf03UtF/L6f9fyhhZY7MJZD53xPWyxd40y/Vl28z1j9+6c+MldyT+t6q
zaP/SWBLeP1nxur9RrmcQRm0pKswjRD1T1tFj6yU7gVFqLXXhPb6Xwmr4fxG8Zt+IOqgNdvlr/5M
2P9IHcn1/1dvp/exPcaMNoEb2ZzK3McPw5aVCkGuTHJIfbFmLVhumdUJAfL8qcQ1mMl8Ftk3t+cv
ctc1A/42TOQDHcyDKLHyzX+UQOFTkGDxbc97KenPqMoIjMZmG/35p6w9gHefwgT5OmxpUQ34oZrb
Iy0dGyuRv2crrIjmJq9bvAsdk31amdajjD3XbDLltpsc+ennH49p4Q9fgBqEDjbHZNFxb9cs+pto
mNQMPOvs9Hs8WwuJYce6fTsJ7C6U/Sepc0hIxsq7HYP72G4IXB1W14SU0n5HJvaRGgK7YQ0eni5v
koJn1mBouMuUb2c952cJWMoyMAplGX0poFmBvurW5NSd5zda4fmtkbk4j8DP2Ccm0K7IsRssIqzm
EfzVvFvtilJfxNpMoNRQjPNRCLHBNlK7Y4hMXLUg9+9g84EAMthvJ7sTL25ZpipgAo7GpFsT3qoY
74uB7KPLZHWKNBh7oGRcLZgIvk5JpKLXSmfxhDsmvzjJ1Dt18GU3tJCiW2/ERSccO6HWB25VVWLI
rPK7EdVCwr945DLVNVuCR6LfzfUMzVVSKrBACaAj8MibwJ4AhHBIE+uC7BQ9JFSBrOcs6GxGWRZD
pnTOOZIwkmyP+aA3N/ChOdQGR+7shnTsfExpRj/eZ4Df75tssT/ydDjOaIhuKh2DmYEY4XWuOXZj
h/J8OlXzJyYt6yd86XkyDQXCvb3yIJ0JkK7RV97J1pR03zQcR9NAqKu2/Mqstt2DDVHgFMnYPACZ
0e4GTDEesn6qTrKuvVNZUn0PvawxM98swU349rCozMwWFEQEJ+FUcdBi4ZHfCjsBz4AtE9y+un01
I/4Y5yRoQcyhFO8xuyDaMYcGz2uWs6v0885Oh+JQuzzc2VmzwiGDSN4ZTCQTdhMIiLWc0S+c6g5m
GTtFi/LbmJkzzEGS5spkYgcPnnj8mqtECBVkKMQeqsqmodXPqWzGe/R5y6XXjPxTHMU7URIaaZIr
9iZFXEX5utiVxrpWYoIp0+NabDPz/N5LymCEf1H6Y1IRD+XkbnOqm9exyZM4BztmJeawBFdfAtQd
uK+EeS9O4VkB/scZ5jASZDUskCi6tdWoeaXws1xWUzJ/0qn87nBygZrTEvfg/dF/IY7Q7nB1n8Jk
hY+co4wu5jlmw3qr11e0qGCozy1XvwDmiDEj4EmYNtADU+P9x1NZPBWxEx2LLn+alG7AuKwtr2P3
jRSF9DxVSuK7Lir1Q9JZz9DxmkcdysJ9rPNuwgjJ050Oxic0zeLZjJzxa286Au8/i5dyRTDLhAcF
AazfRo0prgWGRNdeP1nXwxxpd1XaiafBsutnKCu8rQ48t1anBmiAPrjIAAh+lO5qOKRkcJ7daqIs
BwqZuTRjVkAIeHl4vjg3YRF0dafcyllUfSjTbLlEVtQ9CPrGt3Pda3gw0QMLtF4Di1ZkZWBParrv
a4qtgYxkugPrhRlhQZbNW5sPzmqa1TxqKWQqEHeU0WzdaK56GxKZ/oBaSMvtp7EmeXxN28F8SkGI
5DHVpaUymQtclGrDZNg0XM4N0dhxio3BvAUiBk6KQOeTBsUuqO0hqXzNksy5NYu95T20sGhARYbb
kezZmobqaqg93Qdl4x1NJf9AEK7c1Gpxq1jDlVmKcgvsxLpZgLT7loPXTGvFeNZEVxg0YHNFHLqP
9SU5lHr+qUNpu8FmfNgM5vw5dckbzXH4QrJZHpQqfp0HMzkkCwLGShvEqcbXfFNYo8TKJe6/aACS
NnHaXci+ibaMx2rg5XIv1OYWkKdjxaju4/TKXEww/x7xX9ASaduZe1Ry0YQpFYPFF17UHBgUYaxW
kfhvqAzzl2mOiKYsirdYLOSuiF7wCupMygJmdTtXTrrRS8W7yMBNXqIpm0CssGBhlGkX6cxg9eC5
MQafa2CujepBxTJoXzqQsERvuJt6IlDF7oRlWa1MTgLiQFdK9WKyUm8/xNpHo4y8LWqA7qRVnlFs
dO79ayemyQ4s+qiM2i08Qzpl/biHPYXzozZhEBfh/9DhDFKRNzF06GnIejwboFVkN+Ecda9GPQ27
2Io58yg3ulvQR6Of6EwiZpXd3FKg1nytz7stY0aJRDWqwDl35bOLhag/Gbm8qOTKwijy/AmsRu0E
trTnHeZk+FogwXZDDB4ZhxhNAyI1ZUyiM2xSBstwDghjdDWc2USg9+WC6qNgXV2aRScu8HED1Kir
+gGRfxcaScKq6jaA3Bu/QiHg415jHYXdyk/LZGDtvsL2UE3upyI0RqXGeMZeXkShWshDyuVOZKKG
H9d5e7lY3qEcovlDmhtLOEZDc8xLQR1JL8CT2PnoF1Ocb6j7mjdOhyaqjlaZfNyC7lKFu22UEVEg
1Ft/sow5ND0je3TsGK6bOk9bM5rBCHmjsm3AbjLZWd4UmsJZDs34kKaGNHxG/cJYib17sLDarkh5
46nYJQd3lHjPT5F5WSNVwaxpUm4xN3SvtGaZj6spdYErnweYs7Hb8qsZN1fMyzsnTzKoHZjTRD5V
MOjEVEmSX4pu0Q4CeWATpIndXhRLZDwNmTObvmNNzJPqU9FdJDMuYkGmZepXAfqmCE0GaWSoZtQF
lqbxAlEq7W7QCutpKgbKGSSf2cns4+61NDIby7vOHJGMapUWW0/Aa1QQH3kH86muGJtQZEXnIrHG
z3Wm1UFfTGtcIJobGDFFyHR5VW8ASqYXilwHTUFpZQ6vX5kcGPhuT17TUV5oJUoXKm9WClHLjbog
S2vretajdL8klfisC1j8eJrN+fpsAM2vIdI5Jz+7ImZWV508nX6HW4n+i4tpmUDcR893q1Itxa6N
XfiNxi/mB7MS3QpkcqwB7B5PTqSKKIytFW+fpCWmUMK6XuAl3iq1EFxuaiTbIU8p+MUkrEFJkJeE
pi3FZykG5JgJ0wFQ6jidmeNtjr8HX02qa3fQzbovAuK0G+pWwvVp5Sp/kPNM0ToV9keZN4Rla8AI
iXE0KQAkenFAaVadClCFe1OlH1SulYm+zeLMLwU2TWFidRzuXknaXa11h1Q34uu4JNKoLFtcxcv5
W3jNo6GsVe6oadZNGSPFtx7YNSZ+DuGJ1zTaB7bB6oshbNq2Cv65wdlT1I7ZiPyy5euskMRdoikD
xRNMFHytUdwKTx86I3FpzxfqiG9lMoxTGK8Ao5pg64nByDLo5jX8BXfx5PSygJ/JJaBEYFKolPOb
O4t0J5eoxoYz9TBYmUCwztSpMOcTRgHlxGt+Ic9HdPFDEsEUvrsOyIFDXVWm3ycR1qAw+zdDU5BQ
ooLZSUW2aUpv3tbYFIYiZYTTSwznDbfdcQ9dN94qmv7CNPcDEE8DVSrHlGJNcTgwwntJScR8GgUE
vnQx8gtVLY1nnaEwCXNCVOMFsDsXqxUtD1UTd40Uo5JdySPcxx5UZlVLoEvJkjihKL0TBzc2NdKY
LxC6035qGPSs1yerQ7m+HePW/qhYzoypaqxCnqlMGhJGx7sNOoZ4Y6qxXR94cXDSIFYiSSEejHN+
aDEdHn0LuBYY1hojyWppbioGPHmW8LhCE5Dvo4cPi2+qKYoZPF82lD3FVY4W/5QN2OeM2KzCz0rG
+xgTZ8axLb14bg08Yo99sTjjqYmmmJuUYgCoyK6XGyvOEzUYhBEVgN6MbIBtCAFc6cyQC6r0+zqC
7Nw1BkxBx16K+JBzlITRsv6HiEAqClWITHYQpUyGjQzQuPoFUsgOzJghBbsgsVSrJlmFN13CFceV
V28kLz+wZEkI5Ug4ucpMcHVuspH18Gq7ZvegwigMgNFZQWdh8hmUHlYqsiVgdhNTfJ6zId+2aZ/u
hpFTTc2nZQ83nEAuqezhvk+LZ6clbsfAVDy5U2GkYTuvvorrvfNW5tlxWbj5LHblFgCccdBYsDe5
Maa7iMGvKnCtvjj0uOq9SFxGX8xZ40zWC133K8nzNHq3/UAG4J7mRoXyOJFs2UXVPdDh6B4k2LuD
Kvv6uV9j6irxioDS+TgF5lJI3KSKadhqS1weqIkTLVaOQUUzdW7oig33qoZ1Ld4r9Yu1Vh0hdcwX
QiNrCdtqYeX1tdY96GvxtGkKcYUtE8y2yJT1Sx9Vbmi4PRFpZJqQt2prYY10WNlp0BL5y15dmte6
orPrlrROgRh3vpVS6kRw2xwb0VANoTEIedxbt66khPxszQ6Jd6k3j8xMuidtIr2FKu6dYk20x3R2
qpMdc+MQJ867StWtoHar8R7NJGnVNNNlXDNvJI3iqszJy52U9AT14vLmskqXTeou4im3yw+jdMRn
fKZIc+ivXmsVZdlySpCymvyjlbIGLOu3lubq2enSzmqDGoHgaTam4qCtS1WSyXKQ5FOIS514thqJ
N0FbZnD/EPdthjElI12ThlSqJE6JNOnlVi1Pps44As57oKhiekvk2PNFzvgJZn/tRD5tUDGloMXV
FQ7F7RhrGLl2Lc+vITgtNvC4AlMuB2W+PPcfjW5ubs6ZdmXw+gCtKAIb3Cw+sGQfEGbTfWFykBUI
Ik8DLbTgnJYpscJtYH7TCSj0cOvXAsqSgtvOBYn4lCRvrYun6cJyqwI5xxwC08r5d2OqBqqQ+W0j
mJXwCTy8lctO1bmGq9wMoGiB4PKI40mlZQ9+3Efgq5M8LyxB1NeUPqgBU3bJVcrMA4ZvXsYrCPFa
mzYVYPkAZJcFchjWNgeN2lJwGDs8SFsqMZB+m8fFMClQWP3UvMIUw4JZ7edPFYxMP9Lb4qCsFXzK
0mxrZFI4YK0Z8mqF5rsd3PegWlL+pVInyW5oBIKB5uPPebMD2vpS5tTMqjoxMbBVvqp0/wlTHIXH
V5QcUucWxu+vJtaJW2GSklc1/WRVK6qTWDsYzLK7J7fvmsdao3aBzRm1DOb8qtPE7Pn1aBLh4iLU
s7krevcFuEX9LOPWRWrQeKfJYZ+tp4RbmFhY0asYDsD/ywcNsEZJCm0TFvV4KZ3W97lp120YwkGH
P3pBJchL6Wlkecuve30zX6ToXe6Stdo4Ndl6ChAYP2sur4S5DN2XocFwKdGi+NrBaHyrtev7A+UU
bCn1n8LmcqK16nAOK9xVigEWNr8t6dltV/vZ0GZu5O58Nmhrf2Zw4+TaYcsn36d4NSqWee3EisVR
MXnuqfG4w82c63f0cMbAKwGi29jKH0zSkCCxM+1O2ICM04EHCasLr9FCrU4YUlQnSyd4KNdnkBAv
PXVMR4ltu9QERZPGboY/6P08EZ6InLqIWhf63VkcErGPPaInEU8obLDjookYnEsxY0+xyIUFfYyr
ZMKVikJGx24iAsLLfLsa3G+bWmKEQqvQL1nYACgNqk91waKY1bF+LnSFwuBErc5II0K0noDFsOl4
IAagV5auL895m5WoB3Zk7Ph512b8QDY14xGrl2sch7X5UbaG/NCSLH8SDtGSskykimM3cjNVtrdk
ZB3lWI8+qPYoiK0N3jVFjW7lRJ1CL2SZHirTao6TKCjerFvlKvPatLmRX2P5gUuInVpUGzACMBqP
8yEhVWVNtlQFmd5e3Uw17c5onOGrs3pU93x1nJRzFm7qEfzhEiY+d3RHLJp4C93vikWWCvpSuAE8
j6PFXVscxTjobsJSGXPuQV/Q/KvGqXkkKslMf5CYevlgRT3ilsFKr/APY5OdMA+8r+vICLx5nMNx
4IHPLoP29Hei2/MfzwtzLjOOGEUb2ldr4kwVHCoHmq/yAxYW87ZMkD7VU82CTs3mGDsWmwyixPja
FA5a7MVKl0thL0TCkzPjJpO/DeZS2zgq0sw7F+gcLGNN7DBupzUKmGVDKIwZ9bAjgeOKkV0UGRBK
13zCHzKB7rnqdUhkN4OFrZaf47157KP+VwNR2hqNfl9z1xg5RuLiwOzByWhtNXxb8q6NusQ6q9+b
KcXhAKyadX1uhMY9PP3ZZGtLPILvPlblBycGJZN1FvBkgoOYrtwtQOnm2BnjfFFNonkcBtO8xulC
fmJLWLY/L9D/oL1epxRWvhxzjEyc/0BGRJGaO6NidHslXZ21O4wBZ0EupmpZcq0MJCZUKwhEtZGk
CAMEQitKGau5c/2SCUqr54f98y911ph/fwdX+YzJzArzK+YPczIxKFTdS2EYlqWBwS1zmCvnc2hO
y6TQGGyHJCR7XzYz4lkCnYEiWyZ4uk6yZnJMsd9mtHaPYKLYDSKr/iLSwrlxbRri7LIEhkpbN37T
W7+cOP8xU9Hwq1qfvrPKqd4Lp1sdZ9w4Vvp9rNBzjRiPWCv3RI9N1rS4XaydCKNxw5E98bmbOUWq
qSIvHHrrj97L39LW/v/ZqgSe/80L94O29hIs98trMmBQ23ff9yvPv/mnRZr3G9J/mwkAi2qXpn5r
kWb8ZqE3tSyGU2gVnsW3fzQsTf3clYSZhxkaMyyrCK4DDZ7813+a2m+6sQ5+8WYgV2RS6u80LH+Q
7fEJyNMZUSA+4du9a6x5BjK4XChi76bFW0LKuQMTHfmpy+jsN3fnw+/r7luV7V99ks7QPXwCGl4/
TJQWFYC1NW3au2uTHyz7s6iQXU1RMvyiJ/pXn8RneAwfs/xRLny/c8a9Ei2tyAWIyXzAelG97sYy
Y5Zyuf/bl7SKHQHV8HEqn/X9B43o3L26XcR+5lzJi/wtUtK3jP/9Jx9jMcjE0OqPzU90LXDbLCnY
cCZv47k0FzHaLYJcpv/g1vGuouiHaEUL/f2gfSzU0sSpQOBnV7YnqQ6EwbVOLlL9bRWsy6Qv/QPm
JQ201+8nJp2xpIfmTWKfTHiy2sN8O8fyHpOLezHiFvrzO/j+LMV3zmX8wka1gg7Re8/qwtK5Zm3W
Yk+pkSIfIc0+wwXYr5X0RXWpVqW48PjajAfVzz/4L15FOAIrvPM8kvR+edltTVWG6uWec6X+OEDK
9i0P3xqYk79Ssb9XApyvkfOOXYH5Llb19y/jMmTDDFBOQH/CYK+kT7rJdDX6+A8u6JtPWU+ub6KS
VWExKjT19oon8VNq5f1YTtWxav/Zrfvmk97tTFNeJjUNcV6QYphDW2YvS00u+uvlpa135ts4wSV6
wdAaSTFCKRoV7+qC8UDH0yT43/dgAuDGdzXCICYDJ8N8bHCIBrcmaH5Qmd1aWOAGEPt+wTqy1B9f
FEYm3FXp63gmKMJ30V6N7sgta1EyUqPXIeI4JfdnQZi7mOW88ej8h5rXalucw6y92so6zArDI6w3
qyPSDAgOE6k4TnQxOkp6ga/nSraTRcZhda7cDk7+NjPKcYgXbbwUThchj1g629c9Ypha8CNzEpUb
Kl46HXosLBzZlOg1Pf0hd/T6YEVZ9DyWxOpTKa195OCAV88Y2k4ZSyp3JGZ43TzQYyeoIzJpSLP6
Hg7VkBfVhkmv6iPuL+YRi4rptYk4aLTe5rvjo3EzZ2Z9MbndiGbWcZN6M5uF+jnDewe6Dt9HYQbp
pYy46Hzsxbb2YnFNL7EOewvBCiW+KMp8bSg80N9G7+1s3Hm2jUpDLmso6iutUJCAcnVLyd5Zwo4P
0EfoaDjY35I4ZZgCrwRseaS2ZUK07oMRKsLRLMmooLfUF5raM+xZEhu6XqkETqHqD3EyWhcy1rLn
2K2Le3uiuNp0hnhCSak/RFy78J2JMqEozWHhO40oPhNHeH1gGDPbjbRNSjsKZY37bkIHR/5Z3uBW
3D9H3BpMWRpxbQ/Zm6rxTAfMCR5KN32T3RR97O2lPkzr7px0XX0xF2uboyXz4vVFppzgP2fLWyCw
5oFDpUffSM8eta3hE4mkq6HcUGHtCyvXNwdapbEhPLzN4+rNxvjySsMgcmcPBXwAXZloGJxXXtFh
B4j/nHtKbG5ZnnITAFHgZWgmc1AicbxzF7w6QHin+bOHc5BfNlMdIvdF/kvLsl6wjWrtYpfSqBSX
GiVWL7STaHxMIqF4G3qmnQtaNE8X36Z4doK1vjy4UPnvaDCVb7qT1EeucWbKis0bGVazR9Xv3dcs
7jsD/9IssEhWcTtBoYN8NklGfF0k9fUWhhiYBET1fh/J3MIAUcS1j92NAqAH6XCH2DkUJs7fwWhy
yi5YIpH4i9U8AxuH5B6YFWrCwa2yF6YPlK1XsY6AxyIrSr2xwPU5kqSQ3vi4tEu+gzbcQ/tQWj3d
ZsKwls2Cfqjx2y6eBh8ze+3z4onui76wtkyF3mNYTFb3aXQYMYoznLOduWAbpyZsMTipGEf0cCl9
yClVAi3nSVhJnD83sV4dZYTxD+0zPcjb7I1c3EM6ZBtHvoi2xY5uDpW5IzVPUFBcYYxGnzouVpcc
ntBgcPoCRqaO7JJG4DIbfczGdsgxKJXJ10p41r7KbUrLdmIvJ1MbHkU3jzswIFjBeQMvwjK5Fb4U
6VuHEspvFKx5Oq3Y4Xr1tR9aJ0w6+bFqdBQO4+chmdNjWdlUTCNhX3AaOzfJwKKk3y03VNPGS0TC
3qrdF1v4TajihZM/uBieX2DMsC0XSlXxIkUflFPe5fg8Zalv9AUvNbui/JAU6FqqIfOuDeJaOoWs
+hzBcziOSOyNDjfUpWV3K6d+3Gnr0S9Mrlsvs5e0U9xrF3jTSyHxVDPGXmNOe6KwZkbGUQ68UQB6
o+fBQ72hFnMdjtBjNla3sIyYVvAAng2gz5WWcYy4Y89JsGC90ey2obdSvFgWG2Xbsn/gHufcLCnm
enrbziFqWerCljG4N5hjtRTCgd5jKsBrOHhtsyvUcgiZPGAT04c6tCc+uqVGvU/x+0BpoE2vCXgO
URUVFj0dpkLwRDdtWlwbAmOjZDJcHkIprrtmDe1rvb4oNMHLRBFmwBxdM2GGcHfSyKOsZlNzPO+6
6OSe+tzVvqoTu9W4viOWumhXKK3Tq8xCVI2yNmOPI5jxFaW3cGy1th3l1AA7Fz2wDIZymr6WwbjY
9ScUTR7a5agKpeq0AQfuBMWxZ+cu1Lbdx5wGd6OII8zFq+oYLUN50w3sPUrM7jF5LPp8LLnnXj1s
jQyUSVyN6ZUR6epnTxv6C6qOhMT1cO3mXbHvbHXcZQkD/aUXK5d9m14bqTE+KlnWXc8y6S+jbHnA
dmxCQYMSzp3BxZqLZu0XL13orDTltVDa6EORPzkNNlb0gN+YEYT13qefWM/37ajGex3C5yaJyybo
VQNAzowMg2Mx3rG5f1asevB1h0Nvnf4+KGlS3GMgVR3bih1HLV00U6omVv4a9cffN1mcBBmU5xls
Sf8mP7fx4+XcrgI48HLYQwYw2x19H1+nKzH5fedlFW2fgs0sI89seEUyrwwQCOaHampUD48wZyUO
tWUbzmPDCFMhjLSkF9v0KgqRqVl9G/VPXamXx6kxymPt9Kqg1YJiwig6BjQ0yARo4hsJbe9ins56
aOr8Lftf6UzRbUNjByBXnmHJZqZjmRynzDOwhcNIdHSPKHvqCgn4YDhGQDrAGLi/gPh+6+YsYdJy
zMuvwkLro6Wxc5C0c9A7zl67Fi0tldq7ZF+f3XXIGHvPvv9Q2Q5uXpmJeR5NvThjfD9pTSoigzbS
eNa6/2bvzHrjRtI1/V/mngUGGdwu5iaZeypTuyz5hpBkm2QE95389edJd5+ZanvgxgHOzQwGqAa6
UOVKKZMZ8X3v+tXXpkbUNGWPuKcmJI3CBXNlvkdvUXnzcCwypddpZX5Iv99XSqFhmG2IDQdjtuXy
/eLgGO4dRxlnYRcGejgvp8ZAWvOO76mFOUhBWPeZ3+2tmrjIqY7edeJoiqwtTWUpxCo9l+IVi/t0
6bmjocliVOaFtHojDDJ7ufB1jT/jzEN0okVrwMZMAdOtYRzSyTH9rRdji0Ihx/EtY6YTFjY5rkZJ
XMe64hfea8hBaMvZGf6N2vd33/51IKbIxSGuiATWX7fAimBqGk16vU/yXB77oc1/lDa9Tauxw82S
r2LJaJVlGW9bokR3GVwmC6FJiKoEYxW6vXcuruLoW2BUs8Wq06YVetRs7p2TpD/upmhUA5XRBptu
qCFKOvC1fXyNbLbpMy430sujR0yG8t12Mf+vME0MO98Q3j1iPY7baJ6I2UpT9fXnGVgUeHbDcdEY
Zf687/zudUdhjUDcNAMHeFP8zFb/28LTLpQg962Z7QGsOXutcTgTtW965DcxM9F4nF5mQmlQIC7M
WDqgIpzDD0+EnSMWEsG/25uvvr9flhXkC1fBOoAR2MMvmIMXUzRMXmW2b3Lx0uOGaTT3y+il70XW
P0QzV/6f34Hr5vHLCxJYZfFKgt2EjIF/3fgQ/jh5DMOwH2oG0oJOXi5rRpOiSMqTIenc+/Pr/R4A
xNMH3XlNDyG48bc4w6Jh2JOuJvjVpwp5xYlZrtO2GChq58HCWRVsdMuz5jr+ePfzCh5pI3V3iTWK
LfJLI6RH3nmnXHLYTXT5/psn4rc9m5oTcmQQvPIN4X355f0gFW10iWlJ9wH79s4x4vJUyfHffQd/
Qyx4FYAKoszxVRMa9ss+2Kc91seiTPcu1mo4fE6NonK7sAYapnxQ09Q5KyZ3mNjh9c8fgPX7Psx8
AHTuXyMlf696mIWWQ5ONBC21I674TKKRMqIo+Jr3zKWYEJ35NjCc4KWQ84sO5vqHUTnjpsNri9cI
22R6PewaDJ5Z79ubuKuY5aRu9gy/iBKQjH2rIxF1ByMio/IfiMv/x6sRTn7/n//j/Ru5GjzuDCyf
3b+gzhxNQCR/sNakRfG9Lbv3/8Of+idW7WOg8a+EE/0EV1Dub96awPuJOuNuId8UsPjvaRDBXzhP
eF7oxCLXlefmf2PVZEhAq+DnuJY80dPl/FewavJMr6DP3w4jilvwuuCI9vCx4777CeX87TS2edxz
8u/MU2EaZVJjD5OusUaBEqF0FlO10dKGipvtoWq2E5mOiKXR3lJWl6E1yfE0r1C7t2dISeIWQAsY
Aqclk/JFcCnr9diKD7RG8XM+oZJIY9f5MiB4OSMP7u4WcmeibVoq8lRLRvhzPPIPw8GdgmpnqISs
8k4VJ8pXFhY35z5rOvvDGNGKnkw08Ki5Xau7GRRi4mdbR71309JfjE4qc8ee4SO3+29qoaigsNqJ
BsfSXEHwbZcZCeCi23ltN6YNQmL3b2wpI0LdHtfJWdspvD8zqldtNZ/tI+ry3A1ti02alJ8ofRbJ
zLicoIwJm1QN7gGXFJoU2KtHV/bWofW6ZGdN6ltWM2enXnp1zdQpediDZe2UlT7NUMp3rvIitedf
sc8oOKMckwDEOPZyAirZuO1NJ4z3ScsJjSyWYzRInoHZMLA31GwErAGwxOsl8WpnszD+Pwgzc85D
4Ewb0fWeOPRBUJcnYiSilyX3vcfKc6Knppst/wC8aBtr1VZOhuRBtnVIoax6HeBsNwaVG6FmlOE9
AKer+6k4ukGZnbrK473sczzwMPMRxo95Hk/ogGI/NOIqwSroLg91EcvU3EXUtu+1QDXdNaRhWd2I
e3RcirXnY6SmpbBWW3+Oor0sc+u1WmxUTEtrLE9B5mVy1cVcwXtpmH72kjZktz5jD2C62vSMfJOx
obQwaNud1avZbA9IMwraYnCLp+I9biGW+eRoJHYcOk/yVoYWQpsLPeTjZjIj4CnQhkM6LPSJRu4G
bTCbji5HFaZXd6Us6xwZBb7fpodaXV3rXujedCxE83Rxoqz1Sak3vCc9oRp2rEPcN2fn2pe8jMvK
S8uLrJea6EtqfaccT6outoWr22fDSO4nJpFVw8tsWbvJYBnmN2GOy9bz0mgbDfOjSe3poUbtuEF1
qm7q3DAPlSP1totq6xiQwrTSzOSb1mBZzOWUHmWfldvRL9EDZ/NyMPGf8wFl1jMl9GSu+KjxReyt
VNIZbFtq2JaF13VHjH3q0KbjR1M22bFJZXyqXa9fL0tOUxDqSlrsw5aYgK1cKt4fA6l/bhRhXBuB
wQqgEkq1k+8OYgCAPgTuUVlBCploZmSDPBoeDgFoP8dYhCcCHDFa7aDKH7vUwHVfpiTDWE4UykaJ
O356dVLObDSraOqqA5WB/XdUGPPapz6X2T0Z93U1gItyexfxgnGtrlnInMfazh60n94sIgIi6U38
RstT6tKZa7bB0YvHhzZA1rHk1hql+SZGKU2dbBL6g3xu63rnz9NZYVlAhdlP26bKus0QLaRnRfLF
ZeO+lqe2a5Fn3zOJjMoqRheoOOkfU4OAxFqIMOiQlcBacwim/llW4Dgqp6SNsVOsyPyR9yZmkE0+
NUXoBcPIs1WR18bn4e6sNm9DIwn6vd9kn4tH7hPq/uBI6TctQg1NhbTmqEsSdArJBElUfCvEfZzU
9wPluIbPL7WUxWXypXrPrqeZ7iOvAlvHOF9VlnxIrdo9llWXhHxgzbYi5pH9O3k1jRbFvjX9SLpc
7GOPFII2JbUCeShxvEYUHJnG7E3LsX7fURu9QgMdHLTyHiK3uR+HztxyTPinUhmjF7ba7b5wrvRr
a/CiYVXZnbooqx9C/PLdzuSD2ppl3V+c2Eke7GkKzs1kPiyN0ZEjQjl2bFmhCnqQhHxLd2qymlTl
USTSPrR0JfIOXfUEptpiGbf58Ur5nsgUSW3C7VBj4deCZhzVPWVga1srX6LHUY/ninCPcKKR+tkz
1LODUHiVGcN7uwSvboxHAn8Sz3Ff4RPLcGlY4xY51KF01S6wVMS7WMuLJeJ6N/rNZ0Gh78ZplnZP
8uFTRS8ID7BmMc2TbDg59WheEmE/9EF1k7XJi6upBLdQQ5ilnFectBug4K8yGNvQlk6or2dpZfh3
fmvv2lRNDxMfHdDBQAA4x6j/VUexeM3oBsRK7fFVMyTgnTecWbc39H0foea6rTPU1qnBirOqhyqt
QxxuSajnzN+BbiyHpOz2XUU3cxrpHUqiNIwDsuhTfBZcZjjXo4DFix0YkyUlfJ90y3dXwZ/hX2ZC
Wu6T/Cp285r6jIvBCOdxKDc4wJIPCkpkOFr9zZTW3Alj9izksC/woQTDwsWqAuDnpnsc5vYC5ZN/
DlNBSdP8qjydbQZ+HyDbUoekHaanYUbWy/q1lQhFrDB2nOUyIT1EpxzV1bpfEnFyUifezoY9r9o+
tt+isq8eEGfRrm40HRZ/X3MyDbld3MXGwJ5fNshRO+61Cj8kVa2OWgshqm3RV/2NhW40TC0L/rI3
kfPbxnNijNfrGTF6iWff8J3LCEH9QtJIcWvG1TCt5ZwROULIneofCmX4h6DVy3Ea7Gc5mdUHSdOU
0Uc5sQ1bxxvtdmWTvULAjSxR9nLPWpuhCz5zY7gTiQfyIsfuoXWKu7EwjLDWdCjPSX8LB/2lbewG
mN0tj1jHvvgtYZ5Tqo+WIbqN4NdbW+jNv3K8yv0IBvOuFtFsRkJHD5SkWRtVDsnORaq28umYD3Mt
+WXb4S2ISbQtTN84092sXyBOxhWRnP4PlzaGde9U1oogl+y99L35ERTSXenef7O1U4X4Pr0XJHXp
2ohcM4Q4UE+Ib83VNJrXCEQiBm0bOmmS1y8RH5haYdlB+OcjplQBP15MSsAmV9+qRn/MpuE9BEEx
fLHbgY71PrlAtTjAaVzZnqoEKEzayCRcqkauKrPJTsAGJWLIXjIjFPFZWNmeIA4dIuJHONYH5YOP
7hlJvp/09/jj/P3iufUXgwgtOlGnpwGuZSuCNEjDAC/ODe7Qb7X2PzmdMzhAN1j3TdQ/p0qc3MIO
dlUAjuyMRroBVueCIOJ03VloSBPHMovQKJV1KZAxhpTQ1DdKtMsq69r5Jofr2I+lmHC+1J9ZTM9T
P2UpvpBqEI8ckO20sXs781duNybZThZxu5W51FxerVG81V5gn1AsO1tSzNKXK1JM7I+f+VewbLYf
88QWH0XmuB8yLfB/LV1MbwZJJobIGBh63nMLmgadHkgvfNvR6xcDIShImW3dRiwqNt/bosExjdZ9
nTN5QFSkQ5yEeSTQcJ+afvS2Oh/ix8BgEBVnBq0wRybeBMsBuOZbGbnurkYNuM67CuoDJeghKkpr
tUxOsOKS3PGpHR0luxV+tmqdlaVCCd5/HToJur5U/arAT06xPeB5E9Xcf7rEA14g5YyqblX5Itvb
HfVRSaNAFs1xEzX2RSXKfk4lfZpZ5fqnNMnLk+pQGGoveJyXZJsNlLWTcyl3pvjos4SBSSFzVXn0
LOImX2W1tY4MacOQVSTYOw1IqYqOjTsXG68mV7bgucuhfVakQoqwNIoKGcOw9sku4ThB+EmS1oDJ
Aup60cnXMaBnjgF/a/q8xfgenoHoyg3qoAqlfn4aXRgBJfx8zaoCKN8ZqM5ir+JOzMpDWcqHgIaQ
Hd6gz6zonwlgxHjsLvddzp5idQ7qyrHAxlV160rOlLtXTnM2mmlArmtYL9g0qWzP8vx56uinpwec
q26mAlYJAo/sEmY/cSC9LUV8js6XZwjFaYuRNgjTMkq/6UasxeQt8CY85VPmrmaTOHx38qNnT2Q3
UBny0kjY1b4ufjD8Ip1N2o1QSxkmhrb4SIfbCSUlMbR9/txIRW865OcWBj3YSLK7Gbp9Sn8NlZ0x
Q1/zyHW+JW+ivrh+9GG2TbwOaEXcJaOe7uvZgwNsXRHOmcfUIwADSWy6FNPcX8B/w7ysaTJsGyha
ac4XUPmjQckRWH9pY5QcBlKIvPHGt71vJfsG7sE3y1/e48rdeaLtb1hzZ94MvR2z5RD5etgshrHL
kh+GX9Pm47bmjWhVtSeX8I7aRQyaCcdjUvshkmVzW1Wst4PV2Du8+GQ/OWJlK3VCw8kFqkxoVP8Z
/SpRsOnyPnn9Z9THH2WpeX5K+77vzl4ZPZOd1CHgLeKvhoGBpkeZjUR4CWPbu1kC/9WvIKKCoNxp
LscVdmRM6Qiv6VE3xY2U1b3CcxcarTLDrl+wC2rsS/BH5ch4ZtzhlRv8lc6nhStBRfy63AT1itii
ZDuT+HhoeIK/zk3y3dYAgXY0zqvEttoGFBw6GaV8/paVikKCNBU5pTsWad9TaWcMeCXEI7kDxf3Y
Wd1+MKb6yvPqnUqNuAkrC/MQMVZwrYCGKZ73AZbVqernsfezw4DX6cBUrdFOJMVOBgXpM/MSn6Dc
3S2F409zgxuSuOjbwO/VXZEa4oeTtv1pSVL3iMW32VvZrI89ptKtM8rmSRaQCn5jvbPDq7MuJAt+
bN6CLg8ovsv4xp5gR3pCTc6gsXg/F1oz7BIlhRrYlgYSBLZd4EEgYrKK7KLYDYUt1/GEUze/QvNA
RvEabMNYFTZNupLCNLdS9sZKsujWRVBACO38gdM6wAXhoRbPeMcYas9FT9Y61ekHp6ELrxmHi8hL
xoo28biLg6/g4+m69j17rfJkWAH1FYxBzbIeNf/5NoDF47sTuxPjHlv/ltBbguMmC/plUtsEh/iB
ufHgXZO2siwfttcQWxL7spmP3ik2GboJBZzLMuU/9MqQO1ZhEBd7Um+DJggSy5Gpz1zV3EIj28Jl
boMTGdv+qqIBZG1FnrPqdR4a6EBWpbBqqPP2muSUkc+nJaF2TaUoPmjNU6fr7tiW9o96wQ4fwNNe
dwtrSS+C030z4Zy6Uw0fY6kx9gSaZI0sGwkrM8SKBKlurWvfOI1S3aVWbqH9zs+x672UftDumK9r
Uul5/Ntp2hbC3FH/OqB7IO2sot/i6iDlP+X31ipNu+9LWd27ZXeeq1mtmjlaL1gMQRnYsyy7CInP
LKBbEn49fBK4I0IzmTiVHTPaJ6TvEw9VOQwt83Hkmxr2V1ep2XeckY5o8L8PH4OnPtBcH3xZ3+EY
mw5pO1trVsgTR/QLAdEFBu1pw6rFkyxoPu+GFn6JLMQLPZPWzp9GYJSFS1d29qGpxAMM9MFX/WYZ
XB1iHi0CFp2l+FJLA9hkHEd/a2XiibPzwZrjmd9o6DbaHdm8/BHVFOtgZ5gEBWOMARFYiygdjwnq
55Uji4+iK4N7FRt8kL6zq+GmEX3Zy7Mv5B09e0QpVMJa26257Vpaf2TTKMKtS8TXLr4pIl889ZRH
yXdf1Jd2sU7ad99tYW2r7L0T+a7v/B/N1X9h+ilcslhU2ObBulZFKFSl1rAFP6qOXpjM0F+T2kg2
NVxdeKXxtUX2W7b4YCWLCuJ1UYAFJGJhbEEOoEp11yQc0GHbN+4UVqhSb/GNWEeDmb4CCqcucBxY
yod6bviXuMkrOM9VYFb1piBxrlknnYcjwj1VBAkgYAldNeUMYjrrt6A4Me2UvbPSi/Bqbui57lHG
LM1OQjYHKyJlm0Oa1dGdz6nWrcpWNE7OaFxDrk5M5N2TAYvYbnO/xTHRGHpsQlskQG0uO8LM8WH1
iFRkIGpMiLxHTlSBOeA2M296YkU/Wj15ukNTErQgFv+gU/678fr/m0KuhGP+GyS+bVP+ol/mX7H4
n3/uP7F4/y/K0q6gPurRfwLu/8y5CsRf/5CLW6gI/zPhiv/7T4G4bf5F3LxHcLJF3qvrOf5/BXT/
lYiCVgZrRyVGljwFEb/2UPRm5yfdkMSHGufw2bwav23ForGSWYBoyYyT5hNtTP1ZCdJ6/kZQ3P0D
1/+7ZBxy4V/xfomaMYCEQtNq2wE66ysf8De8Hyi6djQNf4dcEYXjxRgscc/xvVxy7LlOh+Wsq6/R
Tpborgw/LjO5Gq5hSSV77PNC7APDMPZFEHvtYiAMxIy5U0ekDYMgkswzG9XbUulmsUgUSPvlFKXe
3PO9rEi8Ex35Ox4pvfyUHLBzQoHQ5WemDo5+uw9rStG3TWIHxPzR8fVQG5yjjcJK5Y8j2s2rIfRn
dI83SHJlHUJ1qIfAE8iPiRuGRuvqnWbuZQsVimsKmddh7mfFZZNI5vl9Nldx3zwK1DDG0WfCE8yn
fErfhpiU1e0YeEzW5hDF6Sbv46nhmksM5y0hyrSkFoiRPzmVHfHS9mpknh7vasuj48CL/TG+LKRg
+kTJziJ+GGPT3eLvz2tJbVaO/MBqwczWRmLazkHI678Z4zD1XqdGV8UO2NRdxfjJqbuYE07NSLRe
vBajv9g++jSyB1OMqW6EGQAGN/7Ilzm+Hby53JSYK0GnvbmuVmBV/uvST53BiTxOG0wsBK64y7rj
71ZY2XF9qXq4eIysbajN2N5nri3YARDJjhHKwYbyQD/IdnmTX1Mq/AyF5rZqBl+REuhy1zGR1LKu
7upEWzwwlUeSQp+WoTEH0f3gztMzF6l+NRMavLysSEKbCh8yqbXz3Sgm9UDwOKrSYKrXRWAQi4u5
9tCRL/BG4ASXHvWJ69RrikMaFN1RRrDWQmQPCfqS+2Eip3vlGfRPI8Uh/2l0GT4KIq3nJzyplOYZ
QdB+OFcjaY45fD2xoR90TBKnOXb5yTMzYPNKAsAuacY0joO1NkSyi6cy+HQJSSG1l7b1u8Fw6/d4
4OpnAJnNSzD7XE6dEsYR+zV/ajYL8765RjmMxPu82Fb2pIzKenPxMsUhqQWfKRLKF9fnSyWRPW8Z
J+Q1W3YAIJ9wk9vj9yhq/fcF5HITVKU5Ey0Vd+/Aixu1pM1eJKNc6Wo8DZKYyQwJ1tYeFiQ1LqqO
fRNLfSgD4Z7JjhFvk9X7F+EVRNlYY3cIFDnfcMkBG0bZPrV9Gd/ao0PGr53bJzKnpktGO9U+jyuH
0q5EXFCOqte6SNQbn2i2m6bePvXlku37oiC5gH6ZzwpBWRRGTewd08Ze7mqnG1iqEKTkKW7nVVT5
HhNNl2do14DsDbLNzv7c2PfBYrpIXfhK7LOpiaAO/DQ9Fiy+tz2AyM3Q2OmXqTXxU9rzaJ4rPaTn
LtH1U48k55FiiupoaySZBvlsb6CpCq2Y2506p6S3AqBcHc3FW6ytyJP8zjGD6EBDzbjrFjNemyrw
t009OD+cAemf9Nz5y6Qw5AKEHgpd5WQHRGfslCQf9Im5Gn/SZ0V8sILqNDvmDKRqMxjL/ltfjNbK
1jTomlTwrQqHbU2IFudbWnhbklQpqJnc+gOfXn8y6zHdZhKJlVvI8V6VrL0JVXf7sunt+2ge59ce
Ne6nE4nhnjckup3Kqv8CAyCugtl8zfekW5f5pMjmkWpXSeUite5L/UzLWrbjY+fbYlzrxTxdfSOX
pNstfg56MUWmvaEWQ+Jeb7o7IuGQEA35fE1iGxLs2471Y7ESKBzTjXoeZRYpAI8n7OjDGcn6XQVO
ebFKK34lATLbLU5Qb0nSMIYVJlrz7KbaPAedDi4GzN39PA09FwUtzjdleZWpZtNtVvcV0Sx8UY99
H6MkA2DOw2jsGJq1iI9VyUpD1i/C4t4uzn0NVOTZHDWgrSfDddTRqqV4dGfItdDEfhS2tTt/Jmqc
2FUNv0kZeJXat8hwP2AqIfWUPnKXBJuoLq2vipX9kLVOtqvpMXwSjWofYq/zLhZYIN3XNbZc2knq
57boA6BmbzkPDKbvVdlDEaP/fMjSEjSRb493U4wjKdggfnOo4xr1buGMRyPOh13UCnoGu8Y+kjdR
bP20rl9GVKl3k8P+geFx2dnplNxzs1VvbtCXH35XeD/mVHcQLR2RqEEQfwP9UFeTMzgeGt0RneBp
nlpnjfetA2jk5wwDo2VTEFqNK7PNhvcKqWMWDtZo4zNfDHW81lS/0A/ZbUqvKg++k6ekFLtK/yik
qLc0L9Vf/Lhw3Y0s4/zDjmN/V9RTdO5F5J8Gv0AuNy3NIQl8IHGN5nK2uN9A87rs0kkTMbuft2ct
5m7T04xK+baB4rMz4MKkBivPPDbZoei/0GOBB6ICV4Y6JORv1dpjf1/FrX+zGMH83bT7rL/qnLmu
cUrEp2zsjKckcdw3dGocPRpyh5nbUIT+jR1lv8sSUeNn+iWO+MK+UFFWcCzhm9B+NouVihx/53UA
dDwTY4oiMjBQbRJBHqKv9N+1udDlltrvqM7KsxEXzqMPEL4S5mTfjF0gOQZn645yJTPE53u+foDH
OrPFbiEtd5iL9Bp4aJ2R1qpDbKETItG8vCtjy372/G7YTJ4BhFyXzs5wFSAm3SAbH/ZnzSLero3S
rg5wKe09OWryE3d/1hENVi3rfhyCR+EgSCjq1tqaSSOeMIUkkl21knc6qvF5W8MU3GcxsWmoh8tw
NO0bPyJZPnRzaaKiAJ6V7nQMOsvfiNSovyNAtjrEl8DQUVd7e4ivKmyzdg6LaG7vqiWr6K+u6j3u
G2s/kcgW4uk2wnFcgmUXicb7wixgPU12oBBkYsH84edG/5aT+LmNdPXq1Jm3MVRwT75vq/j9zI65
A7MJws0RLEV1Cr1q1RgHKijaNKRZqiEh3KiXz7Rqcqx2JEkdrX6irYLrjfrPmEdTsk4p7dxFzKZb
QWPsqSdAQcFqN55a2/XC/IESor/YcV+zdDcvtN7ktwOCkSqMoKp23HfFdkBkCULAWmakwttbZAzc
esKbuBW89I0BzQVtVoDp9Uw7SaUiGGxNCJ8nCFI8OFksQp7s7A4DPBqFRk7KWXlmyfg6tDOd6Xp8
cJsmWY2LPR5ccy5uQUAgRzPbbXg4Ag9YdUlAP7W10ybHCsIbhumJSbUglcYcHwczi59NXWbP0mIG
lIgVJHnidX1b6S44LdplWomd6ECYHRqW2FQ2OouSGwy4OjogYwMpmmJbHVWHvAMqT6Q9I2ZQ7tk7
4/a7jR2nDZDWd7NApoCr+SYa8ItPBOEcnQzm2DVa+wxAO1+CGhA40Ckqs7iejkkxLpuYwf91AWFX
0n2KXYTIvZVeihTAM7PlMdee+EpMrQXGQhJ+HSGlWHm5+0oaunWYCdpfDWNCQUJPSEJlL+9NQiCh
Z9z7FWBiQATDOlsEYRs1zFDZFePOpFwq1GjNJ1aEU5qJfJPRLsvHYm+JqZUhW3K/tjOGGyNLCf5I
7XPryDfRQohOQ0fGnNbZWmsfHDLPeGPyER4iB5pAm1WtSg9LF4y5Dffnb5O4mI8QHrfJLK0Xuyky
HfpTmYemWzRbQepxuBjTguSxt9dLObP/y3znAd6sllTZb7NhTYCeCCJyDC1B5Hi3k5vosHILfSbP
VL8bVP5ZV6VN3rXuvsKKcgQ8N89JnqUk9I8yXPyGa65N0kNaef52brslrFrc/bPsx1VVdvGlMDJu
dq3mW1prsjVlopt06XL2hKrpACJRePx5Nfx9LXUtBB9whmSh/V5LmURAF2nvpwdFyy4j3ERyaLP4
nNIOuVSP0izYSJmlCq5sAin+/OK/mvUwkFouRSkkLjuU4/4azYCKDBZmqdKDmMiKXRR9sUQDJDgP
Av3w55f6VW3KS5Gzxf+u26/v/epcTVFhuVNC0Mc1R6rY8B2ZieiY4/L7n1/nN53z9YWkJ68tbSbJ
Wr9W+OhynlHBePGhr8CsMQPJg9v/zG1NOwJnNOGjQ5DAyM8yf6+uMmROFWJfjCi5LtdwesXm54/0
340M/b8Xko7GkQDuPyg5qfR6L37Rcf78M//EjgCO/kLB64KkX63AKNf/V0Y6Yn7y08HsbTq9TM49
EJX/zBwI/jJNk39kkZfhEJfxNx2n/AudPU3vRKc7mElRwf8Siv6nkHR5bRX7FxknhVeUEvGXTeMF
vtfrU/83WKcCXye7dybnBp5KALnm0BhjQhiXU7t6pgSDmj4A85h4l1VqV2dyqY0wo/DtWxuhIALB
yC0Se8xrJUCy1GDljL7u50JyxoZuKF9CJlfzTQk7ln1JF1nflO1iflN2PJE22OupX5mO8K4RyMNg
71IDgxIaMw8tZB0MwxEyuxnPDafkJuk0lyEOGPiK2SVxk69qKPqI3ovZuDF7kgyx0vrEjqpisdZg
vF+H3mo2FszLQQ4TK9lMlep31zEBcX+2MQY+X5oN6A/UgHST9Ewd6nhg0PT2RtM3h6HMFRBsWkz3
Q23sLNXTAmMFxBBO9i4xsg7iNy6vPxXqji+T09IP09soT+bpJgkE6/hVYiEEFA0y63VPgwyLlmc3
VB5g0AAtg0FouTgiMOUVnzzvsrn04i61UueIgau9I3RWuaeReIpP3hECyzAaRc3T4tIf2jWyNeTJ
a+JJU8VC3LocCcPcNX6VkFk7WeOZ5B8ST7Mr5yQEVSIIhPIBW49Mks7eK7aMsibNV1dD750AgArY
+pA6FGEBAiW6VzBNdFOS23wQOWKpgbk7wNTawbS6ga8PsW94XrWu8EO9DbYlHtp2nu6gt43pW1B4
lfoRoHL4QXskW8fFKiibFo+YSsTW7VKvJITWi7zXirTT694ZDDeEweqji9yGN6rREa2YWa8OKdyf
vWkyfS9E2WzMFLFclOjxtqUHY3U1oPBYQn6u50pTJQv2c/SVLkmwNZctEaJ6dy1jE2k1PXRuL4k4
NDJrnV5bhigu6uKj73eeDKXNux1ayo/2IDWwJpk9OwdKaZstY277XlpV9ml1tbC5ZMkCWzX1FeDx
Ix+KnpA0NIZtIEj7QSIj7ThjpkAaspdF/zVRcujCpZTOncE76DAfVDEV59I8YTPNtwiVjd1gS4Su
vNwZeK3aiUVM9wVR1Veu21e3UkQeNIGPc1VTDnW6asygioAI1752i8Mwms4lxcoHy95l8sb11XIs
GHMhSEwWnz5552dEP2simuqz+OImLYNvL90b0/Pa12TS0dekSYJtSRTcDtpSbnSti2MvvOpZtcuF
IGbn/vpk3wI0mmvPtBHF1uK8KKgfQnC60Lcrh5UWZpd3oDJ/lGI2b0tHx69xlS6nppbjTTngKmkz
SJk5deOdUoPeRSlWeGRbWHExlO7IGg4eY2mAa+K+uSHW6GWxzNvCVkiOERPd6GVwuO1rY4+TcPzi
1KS2rRSFSEjLbOuNtHCwln5eSu7HzLQfXAIvN6Jo7R/Gf7B3JttxI9mW/ZW3ag4tGAztoCZweMue
dHYxwaKCEvrW0H99bVChfCFFlDJjnoNUZkqkwx0OGK7de84+WNsLslj6eJctaXfEIPw7Sdcemmxa
a4HWz43nZ4NtPtRynGJUS0P1u+nO0RlxSqTTwG6tz6gtANUhJeY1au1IX8zYUDVik+kBto06IqwM
4/7GxdMG6T2ddrKM3MNk2bD8wJK6Pvj9dNdZkeBC77vkQnhxf2afx+SL83NWU3PHZY1AyZjhzGPB
t7LQO2iwrvDqwQo7ua0GxxEmkfs+2WV86+VuAi+kKt+JXvGCXCdRAUshtIXtXJkwnHUBBzW974rW
PaLMn4KMq/tBANct2InNBlt4GW7GjlmfnopgnizUv47T4DLNB1b2Xpe/VXmEnTzuEfuPwkyDSbet
VwxAXiDxBt9XE0op02nHZ0Qf1IAyra6MvM6UPzjT7/CJ0SAasvsaISSgeG+gTuex2k+mIV8MxLY3
i0i8mwFw6u1cWtVO5Oj9DQbHF9hw9Qf2W0tGU6fNml1VqWirqkZ/c0k1Dsypr+7BRwANmNlIbOK0
13yTTclXpsn6oRxK51Ua3aIFC5fWdmHJ2cRYZWwfaN4YlKQOHd0RCYzjDvaV0RDXwx0p2WkJ4zFq
6Oq5oxWfKq+tbxvBQLlr9IEz68Xzl2RuuwcLBWaKLygke0Cf84bJJPqacGpsX4DbOi7tPPcb02i+
kDYht5SsJJZZRnWFZJXcLNm0l0tZjXe5o21p3nhXDTLnxEfaG4dg7bTsKtYFAVFGk/6WqwHuH4Hk
V07tIv0ehaI/RXTCvQme+jC4dMyqKUzoiIQmQDhQjjftUGfPBb2T58gt21vkBuFTnYXJRT81iFiZ
GDyK1py3sV6l+5nx4zacu4ZmX6niwOTT0hhhK9ody3wZ0PU6/aNJMszsJ6YqA43GzMa2TBiNeqzf
Nkwh5NZxw+pUjhr6rSIb5wsrnYsMWyJsPLcyJeexG1/MCd2ANSBqRsTL7hld7nISibB/N3h9bVOF
ZXIbdfHINFb3nufFQklrLjzoXWJeVsSpSnY0F+1LQML1mcSBFvyt1TIKj0I3MQN3nC77pmp3tPD7
8r82p/8o8tYg/Int2P+/OL7+Mry9/1gbf/uV77WxoDYmyIbkIGgrH/is7/lB7Hz+txg2KIZX/Brr
swW8S1CRf5+vWvyTZbv4QimfXQtv3j8ohpnn/lQM28xWOQxTVoyF7LR/svrFnTkNZLPLKydUDjBL
02KVFDgLrCUHnB/DLEH7UJ3YiDbCr0SDBnVBGjsSdr7vDdVcws3ujRcrXrLrysnb+KJB5ouJpG4w
fPTcXE9yMIeXLsMD3kUzjNF6NqaNN7gDXPQuRVthxyV0i3EW9z1c6ddyCIebpfXCCSxmuT73l9bB
ZEQvb5cg/zw4oPgR/mTwMZx67va2x1v06zidMmKOKlZoDNXTrTnPjr2LJ+aNB7aeSx9MWQrapafD
56OQyt4bWm03SWQNBSOXYroJoZoiSMHDpAeESjCVA2OSOcdqbk1KKtFTaCJk4V+lQgK8skdnhntW
Mx8jSCFpUBTzxLCUN1hdmOECkAZ7TCHvDNRqd56ZRvdLmg03TU7rIkVpFIwxVO1NSAzPPh1b51B4
edlsQNKQWJFMIHiw82SsNGaL0+NKZsYjhsbOWWomkHrVNYdQWEm/L0IDXdyeFgQxmU6b6IseTGnR
lvomK93pmiS2ohQbln7taCpRAW+powbVd2qbbllm4IpzLZ+eVZ2bSt4PEFf9lj0UbSErCYfpOmsG
0wsJak9aj64LGtFdzcCOYEPJ7DnCZhCnIfXRrO14GgvwCpbqJNU+pYHTXSrCoeIgYnDrVAeo8iIE
34Q4LGhMNawXDgTShQYio7ApBQqSFTaI01PX9X2tX4O8TzuJz0upYVyA/IwGXrmXiI2MsbxOST6X
7Ttw3q5AepItSx7e/bcb8J9kfLPgeb+MTLv+Mv7P4a2o6b+1NH2+raLH9//7f/74zT/WPUf/ZCOk
+HB1rrqRP7QkjvHJQuEBFp8mGj2E1fL5vR9gfZJs05E24Db/A0/4nUFofCIsnB/HLCrYwv+z0LSf
e1yoSnghSt11SXWxmP7YDUA9NqED4PLL1g2xXChVDTt6+tNT4G+0JHzEP7ccINpxEI8lf8Uw8l8/
KUmAz2i150EJZ1zU+JOjliB2BmfDqLTb/vpQPBr+ciiT0+JYpu7oYAN+/DwVpKomjUgTnoak85M8
YcdkoE0EQIesO0q6Q4HmmfgDy4SijSTi14f/y+lEMQfMEQWQEJbEqvvj4fHwuNZoG4xMyvFsFM6z
y1zn14dYX+JPNlxAZRzCorvk0UcCqfcTa65ttbnXQ9EcLDGeJ0s+sfusNr2BVRAO/JdfH4wY7r8e
zqQrSU/KRG/m6Ws76U/tIlAlDI3Y8xzQJgD5zQoBn8TTilNmhcUpxxlnfnBMzKjpYJpINMF4zz1Y
J0W2ck8UAnLfMSLhwaugeYBlAEbKUA0eis0Pdor64KgYjYCpUkBXaVMPv1VayM9GOu6jQXVMJl3U
O22nG08IUOtVQNIXATYeeR03PfsQMmIDgAzT00yn5JIN5hj50nBaqtjGK84245pnoPYVuR2oDMKI
dBOrA6ttWzS/BhPJfx/RSu8JB/KjwguDFcECGd5qdkO/LEcmT1foY4edLIqvppPfV4n5O42VO+I3
C1orbnGq9em3iHE8h0htsip4TfJbliCrl2afNSsZqxSBpdLxC7vt5uhA560hgNKRoLthGgRcjNVo
X0+YYZji2uGJZ9qTQ3LZKY0T6APKWd1Ywxf2BR5QLpUEs0hTpERNdO5sbKm9m210b4gCB1gOdptw
gDCfh9tUn+IrujCbPkaoGroYcS00Rxmxrlo3E9QyRx66mhRPY1I53rlxgEDGFF8bw02cy1pPU0zf
taCBU05taz+apaM9x9nQ3gBi53XcaTLOlcjoFLVJf6CKBCjetl3hGyQXXoRF015VBAURgEBqGSMX
LpGiSW+bCuZ2OpZiO8y9sRuSXH8yK6JegOVM6FsTo3/tEx1H6kafxaW2ONE5idlAlglQl5C5ZhA3
9ioFSoR3XEAGXRJJ0d7VC5udolWXIX7pVwaC3dnE7nJAWSquxCTtQ1FyLaDPTHZ9V077klznmC0+
bcYEW0LqyAkAQ+Ld6bBr9iAI26sl0qrbFWZlqH6+QgVUNxuP9KNdOxK7UtlWBIzMJmVVTFaybz2z
v2B4CcJzie3bxFG7MJRVwdzeEcgGInQHWYx90HqehgjaXbjWmeMdCTuP9M7YzAwpQB+8NBdMhjI/
iQe203003mnhKPaGJK1Y6IBBZrwKR6tWZBl/xBoTpVXdFPMadtxHNJt9Dan7nQyb+U2tucg5N83l
EKXaRRfZBsQXD6lvrkGbSwuChJgkO0GjNxwt+ohd9hDoYFwiizms4/k0rfnMbtaVJBuCEYzCcLyY
aHdsnDXR2UbVBoyNlOciKzQfeCu6iLAnA3pNg5Z2Pp5Qk4jLyZMuqcS2B4W8Stkngl2wnfhNhvLZ
WzOmo4606WTNnTYG+Rt280vNzaOHrNJNXzicaZwTp86sGLqvCdY42rsgXFOtG1esuO70SlMNFogm
zIOyWd4Ji8abHevZ7LthNBxDLaIxpOl3OEZ23ZqjnWooUyqvHvcLHCum+3bz2ArNKXylRi2o1zzu
non+m1ozuqs1rVtNO7h78mxZtbcpRYYQrXQGddtrtXxj3XaPyZr9TdoM88qBpnMcIxX3LcLWr8M8
6xAIrdnhlXDzSxakhYmWR11sWK/tmjVOIqfmj+ymN/maRK70+JJN/D7mAYATnEalH0WEROSFKK9V
4R7zwXjMCmRJRijwBDDBBa5G54NOcxCuSegRkejhmo2+EJLu9Ib51uvErqS9JPvdRJANbY97jyXB
vknWrHXPJtECoGJ7kG6SBdW4jC/VNEqafi1H1pn6z4SpcwPhOpnWrq+WPwvAV2zIF/NOLqnNLJYZ
g8iLVPmVlcu9s6bD24zIuU/s6Z0Ng3aTrSnyijy/jAH+kwVP7TB7CDw2TZuvlAki4lImdNt8TaXv
F/LpyX4ZG1xOpGoXytUOyGdtVPHO746QERHcUOKCZk28d1PXOedqEvsSn9W2NciTc4Y5ORAsjsHA
9uIDgkSwQVNvHazOsm7sRMBe0qLoN9faghEiZ3qOOf1DPD0KVq4A4a+74yTlZ0m4GFg2gX5J6zLj
wWzsrQ0X6rlDYvrbNED8s8lIe1alDAArgkJI67a97kXd4ZpLufJAORzMDCsEFAot4OH5tcyUQUu0
JV0oCtURtth4HFLJmvENAYacfgWCGSsc7ONR/9+R37+Dt0haDH+qiv4CG1+L/NOXVn2Zf6zwP37t
e4UvP3nM7uDHmszVPmAr/6ryLap8FjTHoCDF9EBx/L3IF0z2aECsQCM4QzRG/rfP4UIuX1nC/AtK
dP2f9TnYGfxUxWGVA+sEVAicuWNyO/xYxRlNyyMO98OB2Dx0T2Uruy2D7Da7AAEKSlVHNPIQWQqh
tJ7E/XFIyu4ursnh22e4HjJ8PAPGXQQwqHTCHghYj+DZqKeIjgNktztEXDo2nFJCQaQlukzaCO5S
oO7AdRyeJ6O0Xrjt33JBwcFLnQfuz4cuq5Y71Xrnqo5wKJVsCPyKzBBCeQSyBeYWy1VPU6bEN+cy
Z8K/53d1p7945JbbiEcT474sx+ykWgY3FYzWb3qH0aahil98uoaFhtlFE+I+hI8K30PzviqjxTZZ
VxKhxlAgZYsGegU+mkAU4QPG6WVUHmRV0vU+TlS2oFwlMv0z33+y0WAUo/0UQ3u0UPC4e+p1r9qk
RX9c8ERtQMTwi8oalYH5enUY2YVXeM9DujTRpsxd/YWs4OXKrgdvYxnk1RQ60BrobgwfNXh2i0DA
7mMbn3cq6bzNmFSy9+POa7GVJgkN/lGxwWlTlxoYlKr22vfELKM5Y/8P6U9ctq7y9P1oifxpznKM
a0PUi5cW6nfiZxOyOp4a8XTj1rn2dYlHbzPJJjwRnxa/ayyW1zWO4P3H+1Pru+LKbsES8OfRwFJV
+h+hQY6NiHint32573uiZSqXOBsAl9pWkWq6LRfiLH2nSwweW6IncanviHC6tGmWx4cwFwR12wpB
5C62HGxocpE4fVKaRuBSquy0mNVxaE2eklBIWCqTyHghgMW1d6KeXYzDGQFXfVdwLeBcP6W9UgFH
x7OtlJUAsQPGw0Qrf2o1mT/EdTu/NHWsLl0s2+d0GZD3oEqzAwpReSqtProIGzN+TonQ9HFXWBds
WRN4mClutKyjeh/w5m/SxdK21mKoco94GNW11TD2A/9irxSK5XUpx3nvmsrb57khv442OAyE0EVR
+UIuEz0gI02ynZfqXXyd5RWv5UH03tkVdmmDWSSSpcQf2sqBrBhl6j4kI4+QuzHbSB4hwdLp4VVh
FwlEn2h096LzxK7NY0l0tZvtC3fSKj9jKJAj4koKd58JXT10lflidTnGVkt/ph82w3QcmnV2huN7
2TKZuyoiotY2CnHKjuguSCsOM37UO8ihyLDGNte7LY7JvLpV9gIdVJNYIOYZDXViilMflYz2MdVv
CyxRq5++2xpwA09oTbOcweUoN2NuyUcmyGwSixlZXdiCQhkn+pumYn5bGmUybEBaZruyGybiV7s1
eQNS6KYflYaLXKqrHqXhzeQS+Vdqo3XLJA1SQjwgkdUdAtHYuuUwTV3No0TwmqQPxkl3XoZFS65C
Ici2bdOUJk51bGe++qVejR+w60eM0BUcgjmVNgGL/M7b0njc9FoKEO9Avkvz0GAZS7fjIOJtHw8w
fghfXh5R7+rQhZv4emCTcFr0unpClDzvjcaBA4sSuoIMBNofkwV4QPJx8g7bZFwC2OxLdHIjC4Xw
+3zUg8G254sxpFMaT4t69vj88kgXdUqPZB46KrCXqD31yD7Z/xKmTR+QStwvqGz4/E2PMSeGibxx
yrrdtLkRn23sMwu7bOaLRlukF0OXZoQctSuwNzWAPki7JtbTGyYCcaNyM84F6D69gV87G8eKvcB1
BVb8jGaOxb83CKPyxinFQ13mHfFD7tLSoGV27zDcpD5kMTfsgVVJ2X34+rGyNFkXfvWmIjvlFXeo
wXgbysN6F9WAzh+mhTWqHQs3sDWdZRUAO7pzTEBIZyu73E8EJq1wXcPkdhiNe2GtB2JiOgUoRnkn
+UBu0aiPTKfiUfPKa5728zXW72oOqmrptqrHOkXoknXx33LpP+uJ0sr8ZblUtV38P5u3tsqTn4RS
VDv86veSyfpkwlh08JGvTVB77ZX90Rh1kTwZa7dUByG3ygzpSv5RM0n7Ew8fgfjP1aXBr/Fb32dD
8hM/KhBeSY+qe1Ve/YPZEM3Cn2smwQSa8AgEh67QAeT+WDM56yy/zVVKMpsLT154q01oUdEaNja0
ILO7odYreGtODNUC1y3hWAYpXew/ueg2xoiTdMeiX2Tbyqqi5qDllYDyUg9loft6LNV7kZA1SEaX
SVLzSry2csD9Jk50NE90FaBXSEoxwa5xhE7LQppTshTY/y890kZfyzVjrdaXsN2CeALlSiuFLMeY
rR0WJ3FN3QHppioj2/Z7okTqvUHuYEusnbb+igxxWmRpMt8aTec9UTlw4JG1KvE75U73EZCOpyIR
032LL/oYZmTBsemanJYEgDKrMNW1lYtR2VHvytUFRCXCz30Rl2DSSyzgm9pEGAQ8GbtetqK7/Rrc
F5p/I2oPupDiTO1rvTkG8PCq0vqDHGL5uIzudFtKGNtK6qiF8M+K68ho+PxoH8On1M556QZ0LSoK
L4XsVqPTeSfTkDNQmgjSE6bkr/Q8dOJYZcuPmZOoLorKst7miN+jNcIboH/Kux3hpdzqMmK2Hsb0
8npJ5AtP9IlPbWYc081k/ZqnOp8d/C883H7U5bVtgu0oYye+lpmWXqK3Fn47JtNVGibDUVYeCGhY
RquafT2fOPSJtyimAhcE1zV/8+0LzfUowzIO/fvJ6NdvmEbYdMtXqtQLKGQ0ZSOSUMHkjoZogKEj
S+60wuAjVDjCASoPMX+6Ks+XjZX3nJcx1dZsZaIjEZ3MiGmQzjjRCgMvLNhCa4fgmSevKXd5sVAs
MFH6GofI/Xx9KL2nOR/vu0VZuxn3mrmBYAgQkJX2zmEAZuL8aLRNLQrjXJpcgKsrkqu24ELPwLaE
OzyTvNISGvxJlBfvLV4vok5nHhmzx6UV3A1cDUar+GY92TlyS7ElccqL3rzKHacDwxQpLj6N8JYg
HAxuPWckVRr97BhtcRCI63hsuAkdb+ILrmqglWBYIkWdltYotkvgAckm83hmbQcuUbQY3JaXVe1R
mnykcmiEWEokI5L3nSw9kQdFRoKA5BkYAqhi3uOHgqzGaTI5ZIlrJuLBzXUyM2l97devyJUY8wsL
s44rFC+GViLZw5T1tkjIk/08DN62NkX9Cv8gfPq4hBPN4fxmZEZU682+SjleQ3uY7kfZc0pG4MK3
E26x24JcArKIU/pxhm16WAY9TlxHOLPc1LnLBdNjNLjIS5u//rglKCGTPQwZTt6Mq2PPoFEe4eQ2
r4sD372xakKz7d4WZ3OsQhJw9AFrnYLR7qcNHP68dbg57WpGJEPPF9SJNQ50VQs+jk6QRaImvtBG
n/kpBklcYBpkbjSEQLAg7pjiPBjk9s4g6g2fcYI8EhdBsiZJm5dLs4aPdsnMK1SA5aAf4coCleKo
WN7iMI0cUkJQEPKEX7xAz2vnYBMlgSWWyE2rmbRAIoVqcUZkfF45tdG4W4g7ibeQ17jDKG14Q4tk
xSoMFGH3s5pQraa9t01mYkMkqrD7Dwq8W2ZEXZDTyutgyzePWUY5kRJaetYZqZw7kiM4g4AS72su
dNCVOAtfMz1sDh5N2X3YxcbZkVzzIJLHcOfGabs8KFjC5mGCTH6UCx94ytYQDc0z+KKIqxTnUAe7
cIoqB9qmLIs8PhUh0YmpDqO/N40MZv/It5QnofmmEoOlWYQz1xSFNxf4bC98ra0Cq6yPHnf4VApx
bvqZcAQLb2DAmEUSr4otETuM6rztRxTwyI7cxgXciOsE9+e5KOhQ0uSF8r8dvPXKgdxTzShOW17e
oNn0HmXo25LY4urG2HZGm+o9wTIS6YWJ2uqAIFBvdh/XvGkgDtroHZ8Zcs96/feOjTU0Gbwni607
n1Nfl71hFE2HjtbKJnxVivWtVZ0bsF9Zr0dvJnKkblzvCRMoX+S3JS1VIimC2iFiFKab2/bH1FUN
IjtmK+22Zi9/a9rcXaTZ08vsR06vzKfdxx1XDK75NJbdhBm3sdp497GyVlUsbExRbvMkEvAtT2MU
zdmzNUrWidxcVykxkEFrxp315iF23RKvWtyJuDc2OOHey3jyjm1drw+DRl8fzpi+MW9hTrkeF4uF
LKd+6DcuW2BY8zE+5fjGmOP5wPIjCZEmRIYSwo9gPgnSVxfvoihVh2PLCSdo+gwa8rslzb+kesJu
fYMpKXriUQrnu2OvdIK5y12T9RNrLfckyAqWGAJURsNKN2jI7PeqLJ6qSLQnRCO9Pvoz+ifqENme
DdPF/Ls+iIAj5udkjmoYer17K0pHD7l3B4nlle1MI4DJW7qsLhQqUXixUfyYOI2Fva8Mf2s6Y6sZ
VYOSgRCmlhRq3cE5TIZJIQptPHTdfFRxX4NY9OgN3+qxWRH62D2XTb+rGU/sNJont4T3+mkBFxLh
j/4823mt8Zyo8Kof0fgWrKproohpszeTyGrIYqppcdjGAg1TsdvDEW2mm7oyioMQDTm8iVlDfDQz
uctKY/AAqpIU3UNPsUACg3xzxnmAw8noYjfb0KIOHpdlu4kggRCR4MQerHhzuXGnzjmp1OMxR1QG
yhMNuFgxikdTDBgB0cPdJEvmnhwj5OoVRFjbsYvS2E1rtlL1ZKBCdfoLgFv6lSMjHei+Zk1v0LvT
x9kpHs0Uathl3ijzrsnge2qdGl3ygFtv5w5yII2h9T7HLvtYNWIxW7jItg24w8BlowrKMPUO+tAM
wTx1kPFc0mFIkU7X8BiVXrltnM5XnC/7Pe3ccreQqcVzPNG3UTI+eivGOMMmv3fC8TeCcjZWkjqf
8XDN97E1l4EAdraTmUM7r7PaOwVVgvKntLfWVEy/p71x1mAPIxZV6spN4uUOnAB52U5f7CoYYvvQ
G5gReom5jRp1bryeiWprUxltVdFUV90SskQBFdtATa63EXXDqS9acTJUq8F2qNQx83rzspKYKjlp
Je2Iho2hTTdoahp3qwHhgwdka8zwi+zWbFLmm+5JWzJxw0NgpuQDp4Mm3T7mEPDuIhhfspTlwdBU
u3fXJ4ScwcFOEeRUgBb4yZJZe1UIBQL68R46ZuuuT2C+QgzQ7zP6apfVnHePiOm1y7mokXVqBGPg
5KN2/dwNOSOzEOXNqZvKBn9XV72kqxELxzWhVVzfRnY22tA9QHbUrnW7gTJNGxgPqkkUGKy2tMoK
5MKO86ZlxcukrS0SAReRnXmrdhpIYyjazoh6d+n6vU52/cZyM8aNmDCChVE2wOS4Ow6l9V7Hkbk1
IDZsRK2vYeGwimf03m9hC+EmQM81vVARb6muWyrBRC+DmXyObcdU/xw2rCis/G2xZZ5KRyMxHNRJ
+BzAlM6BMhjvWCNkyku0v4wta0m2T89C4racu87S72FD5gILYt7O1OJws9L7JBQYPERarA6ERQ3R
O4t/tItTowkWsoRQ4Q/Q8qI4RCJQRTLcd3assTC1iX1wMfE/aYxAyIC1Q8Om7STiAGYSO5C42Tpk
+l0livsiQW3/BNsvPy4wMHwIjKRjL91Cb0bn/6YO8lB0ao9jNLlc4iQmmdopYdg/QI7qi8T7HXR6
dBk1xTXtI/W8YnUv0Ehf2VkJdJVq4KHoDXqLo7JbH2hk2J2yppkBbtp1rx+LjJ7fSWvEYoDjBWG6
I2qxb8ZtKjQqJ0hyEjkYGYtUs2gdfGbClfsaNjmLepimYz2zfM/gB2h0twtjsRTGirUxcijWfqQ0
faSxjmlFvqJb56m7sqttSJeuRN82hlZx0egtf89EdAEEYxWdy9VjeO3W6qlB0fNTbZWjWtO8BpNn
U9LU+XzSxTLdzwa5StSiOblhgFJw91Of/WnH/zeCn7862oQFtMZyYNIj5RTOTzKcwYsSTTKzBfM6
0Fr35qlXYLIz5uMtMYANgQoFLoJJNW8oGuf7pmOX2cTswpJqau8LRID/5h39pPSEoITJZxXjSRNJ
FQvoj7t5zWq0pWfFp2/O2MC3ET7ddzQTnhSbcziOxJGxGTSIh4fHI4/1QGVYjtCu9wL3KlB2Va/V
MyXpr9+Y/Ls3tvq7sP3R/FwVrT8IbJxBx+rcNvGhtpGdUyRQNeN6H5FDTjzPpCofsPa45nGuKDjg
lFQqOw2mMdz35gD8Jh5G7wlNNvscJDpUNKJjA6IllL+RuVB4JRFRL3mIV9lv11166ZEfFGjwuigq
nHaCxkZL5/3bdoKR9XTfL+v+rZxxzsRhAtuH2cV0uz6B35ISM2K5KLp+PjxVatdfn46/eEsFYxkT
lKqBPIcGzE96NBQqOY6SJD2EFYi4oKiY0jwv5tKrF3NelgYAqkcdW5XMqm0fcHOy//Ub+JtL13TR
3CFPJuWJd7FKvP4keBpjW1SL0UUHa/IQeIalipKg90RoXAuMuBHblLDeJzKJIyj34VLSyVThdVR2
4uzqvbhGwcJ+5Nfv6m9OCyNECaTKpiP2FxJUKfuQBrUZHUptDfaaqBu3a1KQRy1PIhpTFmrmvlgo
q7Uhql9/ffSPa/DPmjNOBoe31/+weUO4/eM5KWcnA6OAJteaczbRqWhmht6qcYuULySeLcjPcnTl
OXNC7SjWjVtpgiKBSNPUxo1pz7RpfXKhovjQrb2XuolItcXHzO63lDyif/2Gjb/MO4VNgrdpC/oG
pk2m7o9vOBZak8yDo+1lTAo9nruljE9uv251yol7gIXfuwRCPmgPpbHQPJmKmIt7BkL1MHk291wk
IRptrOUj9tTkf3LL8eeEqy4iE4AtpTTwnfkj+Ea8BiNRjocqogO2SeC2RttoIAl2mQuObhkZzRu8
lageXDYE7x8f9r+D+383uAcP8stO9E37hS3VD0P7b7/yLzuC/YmLg1wTaAs8GNbF5o8OtDDMT5iy
XRfho+fq/NS/OtCm/YkdB5hnslu/D/S/S3PFJ4KDuD25T/Bz27r3TzrQ0vhJ6qlDWCYGzDK47THr
6qtF4s9LUab6JRt7L7lNM48aA3KgPhFjGWX2jRfWpnln2k2r9kjr4BEQEkRPHNphYsNYw9Q6XTcf
EnYHO5+voGp18j7+pnO3uPAzfWPTOljb0dkhWmAn33Z5o7+TDs48xXcUVt5NK2IXRVEvKnYFVWxk
7rCvPJM5X9ykpyItxVcZEUbleywGnzWDx89ku9HJyczGr6qIG6tDLYlZLNxHS7UE0sv1Gxok1bAp
pd33fkP7JvNBjTDdXqSpPTq69tnFE0FaBjsJprUOlkUYPcBvU3orZnJ0Bqv/bWRnsjV1mno+kX7x
feu4GS6sappvUWyGHvbUsWi3suYT+26/dO5WNXkdeHqMR4MpYzR8sCxG+3MyDt2jQq6TXlvkhQR0
0p2bpNXRcs64ZekRANneEDe2Jgt4kwfYWaef9eBYXVcGfBPzSzgTs6chvgSSRCTog2PK0PNVNcMd
J71zOCZ2GF8s40Q5niTC2tvmpB+jUg5bj7QPho5UzOQOUguzIcZ1/Ty3E/tU7GVq4xLYfdJUybBB
szC+gd9eXIAHo9MDjje5JMCAwT51QCwvQWop1X5wOV87bI2ID1uurI1BguMUkE87BQl15VbpFAxY
v+OvTpub5Cgm2UElZr8bI2kH1jo87avYuWsWkx5FST0ZGHNX3WV20Z7wFqL/KhpxRxTVCPGksE+h
Cc/Pb1vLfh8xlgcTN801SJOFydxcFTHWLHJdSVEutfoSTyV7Vr3sdac+ocUa3ZqQPeYZoGnYOkDM
gPRX35pZE1fHBean6euS5kXpQyBfK3KCWi6ZFUOE82m3uC6GDgGvPCCkNJF3vSJtxCdt2Xko6hIu
iaORE/SUt4ODqrfCxTrHHlJ3SMS0/MmYWKerEFGqU1qFrXeJjjN+LxpnrkkFdDLHz9250C4Hi1qK
ttxUXZNXmlwOJYw/OyzHN6NYcaOZGvvtTNrefJyiObZAIRslpLnc1mMSbUgKpv9gAq7vgCPhyEZT
2h1g0zi7MkqSWwSPAsR6MzCKrtqw4M4OXbbesp7B3+KpQWJZh1Sml8uSgLYxIJRvqphvM6hJhxYb
vdTaxU+10otu7ZKG26ZlT+pcTUsxXsO40vdQJvogBmA4c8WZGoIGzIRBrjkJhK4qH3CvhHnMpkS3
Kb5yd3wxElXtOxh8qFR1dU8OTbrcscn/HV5+yT2Fex+fEi4/67qrpFp2XRMX3S7q5+plClfBpssu
/bwsrlHtzbBuS9JWcAL5azpNd2AlmhHOeVN1NCybx3OCcMLe53psjEikidCWVd1+xU/4aPW2eykT
Ml8fhswY6sOYxYJRPnmEgVtr4kIq0CkLTug7k8odxKPppcU2jVjNrF4vQQg06X6ZpHsikmHOMAlq
03Q5ibG6cCizl4AjZXvXDdU2F1FIADbfVbWL6iUNjMWUdxqAPyTgfZwHtpcaF0yoiQF3U8owLVlb
7GY8iXO94DWnJ2nwPWdmlH5uGyd9Q/GhPco2H14V9Lp221amyb1mTgMqg0XSlba17thGEUMX9tlq
i087ai/4AZPttLY2H5mm1jM9MJcy7wQGwDIKiCCOVet+SuAELQ5kNhuD+FWiqO02wpk+1MOBYBNZ
bcOuGJFGMqxhzlKVdY+juAzzs5hRmTMEeqaOw+L/rdPvlf+PvTNZjtzItu2vXLtzyNA31+xNED0j
2DdJ5gTGbIS+dTjgwNe/5UzplZR1q/Q0r4lMSiUZZDTA8bP3Xtu0j344B/c+LUnbdGSHM9oZpvWI
tSGKCOtATMM0suIHVQ9NItybioLcKa6HoLauZypyrzmO044S9q3z2o/qFWWDBd3o5xxirDypmKgm
cxSxJCgtr4mbWTfrYokHaKPg6YnmqvTeUlMysFxz6SpajrUDl42VJ5XNaXLFMm0Ob9yw/K108T/z
1F/MU8z1FhPQv453PrYSZX/7Xv5UZPfbF/42VUUMVS5HWY+E0u8ok9+nKtP9BYB66HDcxUD0Ifn/
7oX0folchKwQxR0Vn7K632V916YYTxsFfIczvKkzNX9D1ieIxdD0h7MMkBWL3g0TGIvFcgIx4s9D
VWSKZkyS3jhTujndM/9RTe8O3qmuVipkOym26Fv2g1P504HE8rqzpiWCqBdi3qL362nhDsilhs8e
2kZ4pIp98mJ2Og3t6RZGeGL5Ow46D2nn4O0FlZ/QMs+6FtlBlnczygnGHd2CpgtTLTwCxB9dMv21
NkG7cFbj3q3sx7Gh2ajrqFdbnbS+oeVSPDEMsb0McBAtcqi+mQbTRug884H51enIbePMvF+iZXwo
CBYc+hm0d+wUsn7Ii1XS7BSSEgjYd8U4G0rAE3S0FFWjLgt+yVOdKi6WxQpJdUgiQN/S2YDTWH08
a6Z5M/jQrFiBQiuclCJMFajeyQAMNMtxZRe1Mzu6Yzqv9y7mEB65ij90JpkkB4faNRiRc5Ooelso
FohpyOWjzDDjs99N9iNL/g1vmHYXNtZA/LScY+zdGwIIILsb+G7rSKVZ4BkBEyesjqSl/Ei6VO4p
O8WfpRqSWBtPcCYuq/Wx95p+Oy/ZC4xk+3muPf+k3GB6a6zWjjOIKltzcdrkBkugbe6qFjd7tNHR
EPM8NYmzPmL6LEu5y+ErGl+xXFikb9nJGOte+qJg+GgA2mxMr0XNIOcOkXLk/vfQO014E6UoDLs5
7B0F9QyT3aFm0X0keqwOYPhh0jLLwAGrm/HBCEaY4Utu1NlIT4hwJqrscu8SlAMeKYvo7c4oV3o5
ximqK8x6bnlj0LTVGWxvFNaoAzesdSBbU1S5kWEPaWnT9cAoTiKIWDxCjW6uaP0e/eGttRPvYVi7
OS8Z1tvcQD4YQCEW831COBnEI10+sF+DlWajfZQwVqyUcnfD+BCR+V38ZwoYhPloTAsDPlv5oqoj
dMMaUNUefFZIDhXnYeuZ6nrO2R31+14kDf79yrQ+oYyp+xkieo3JjkL6vZ1bRbspjZRxlBhksjEw
cGrBdjJestIjbmCvQb1wv6gVLEnCi3ET9d+8Ne25T0NceGiqzIC9E3h9h/rSZS8J6d/6xigW29oA
IKLgYZr9ac9wMwPpZ5BsgClSbw7jOTu2TWWASUOs2cyhXB6HJKPY2jEG9anMK5h4wJCcz33mwmZM
6/S2p8bx1u/zULt+OlrkLXB0/AAMHKbQQYHe3CkoCcd8YW71xdC8MDOxCaeJGpiduyD3YyGysNAW
RXLKQiQv2sENRhMxBszGI3FxtM2RNQnSHC/5Cqa+8JxxQZzU4RFTjA+EiZu7PuzSQwAsOrMm7zYq
pvQpqTp17iqyI3FvpOuP9c9/boh/dUP0kLj/3Q3xJR/SvMnf/7higBivv+gfJjfb9fkjm1QouC29
bfzd5Ob84gcBawIcZl6oEwL/b8Xg0AXLrZN3ten4vm2xR/j9bqj9b6wqMJX55AY+/G9/424YWD9v
n4l0atIC35KfQlMV/nw3hHtCBGtJrWMYLg167tRy6Nca79os/SWfwQMj/y5NiBBM3D97NiXUalfr
xCxAYWy22EgjrSJ7Ab3Cu4EUwl2mVeZB681tg3ocW4jQfTI+JciP4WaR/bvpgH3PKVQZ0md0wObF
Hn18T/WMwWSyjeGbR03Uuc3oLHZh0rw3Zq+XdLbw3p3O5y+xJ8VW5LfGdwoS4IiTrVPfdYc2hOec
yfAma4PdQGFimKriDPK3w9E+Jc3T7LhQm+CnU1kkRxtQl521xpPheki+KySGXRdyOgmI4MSiznt3
G9iOurEGVW2HMgs/V2UV2mcxTiFPSwsY1VJzeik6S26gH3LTZpnDuI2H39tbPeefRJRf3HptzumM
a8ALV3frYS17hTTc7DwrcbdG4HtYrZz5xba5kWBUs1I4BRh5SC13d0m0msFBaZsgRwfjbRTQISVN
J89cFLJtmReUoPbr1AcvncghTgW+4kiyghelAqNI0ImSSNvxSGWN9i2NRezRDZZrT0MfkgLrXO14
q+buzU3d8AK5w3oi5qWfZWIWaYyVx3qKSrZU2BLRjkhRa88DxSr4epwKj8qgDU3CcSgHCEaBfcrB
s1vvQm9C0QiziK2oMfT4U2YKxc8W5mT84PpfK6vgdU0gP4GqByDOgSartfHDWUpU5Qa7FQkJbIre
WOP8Y9rPNx/nwHFyUXGqLOU08eFTDMHWyQ2jXfRiSQM1dgi18BZpc5INOlfLs1N+oLGF+5oaIw6W
2u7RKVT5gwvwlHyxEus5apga4qXGMEhoGX2j4CaojYY8KcRo2GmP5YqFhxMkPwD+FqaOIOUGzMoi
wShI/isBQkPJyNaDaF5sQ1bGAGkCHP43yaRtQ2JMzPQ0dhO74bQtxm+Ifxw2y5X/dunlYqXREn07
VEXBgZhysYn+TfzR/A9oFXx75etfPlw5isdINTyDw6z4k7VHufowNimV8bKsYgQmrfvLXQMTBqEd
27wDaOpfPh6RAlfkocnAK4bKy3sT+hDPbzFjspyHEkmRQR53ljvb4KmHwXLfzUV7dlzir2ffHLq3
nv0Otb+eGo5pXnju/YftqnT02gaJZBC7hESKAyJJmzNTp+LXWuowvKDz+J8omF2Ml4+fEsa8TI/V
QlUda04CrbHX+bzLDNuxbqKBrs4YsD0+J+Fjl9tAx+/Xx3GmF3LfVvolZUbVz4mu+L0Zl6g9s8Vv
zwtJHwGTX4tYPzyCtLfkgOG0pS+qcYcFc8UVimbQ4ejWprXstVL667pq32DhG/o9RYNgG6eeEdaH
Vk56W2BRUU0za6nQA8px3o6RvR7F6s8PpjavTqRI3hzeac4GILBFK3DW1ET4XPo+x1Bu2s4LF47z
BqReYTP2yLpJMSQOgl2nGSTnIlqiF15MtqBkvayHIlsYDOAGdm/Yg0WyDwpbPcJed8CmhPV+JXe2
MadUGxlG8bUwKN9mZ4Xzsooq9Rj6Rr0JbBhMsT1wNifb2xoX33QNfrta99mvLcu3zTgPFWV7UUMX
Jk/ZBEUBEsVxtqLgaw+wBYJV09IqT+KfdYRNwdMpBWR3chr9/C4qS14G4m4XH/QSWQ67nm9ny3N3
7gSyFNOLQ7cz7fO0YA1udwL677C7DjPoydwx7hurax6gMdKZQCKlADRZZvZz1K7B3piH5bsb1M5V
Moz5sZhC61sFiv0lTKUK9iaXwAs+qPy706v5SXreQmSiqXfs3JINs+4zou/wgi9abEmgU1JeRbgc
F4sFMwvf6mKphhq4SDUU9NU0FBGb+M62kWJiZ67EGaYD9pgJ3p2L+zqB7FsW4jxSiIUpAxnzJNeh
vAZA79EDOYOiopfY9jd5sgYXL+05Ow31d0KCmbuD5ztVsVp6fKqjCm+q2XjAQQV6kaMq5x0W7MK6
VCiI/T0rp+w0mdFhnHy1XzEKbUVfdtczB5C4NGRy10wQrkiRxrSgdfLBappXJ52Jy4+RWNPDJHPn
0pUsc56TzmlfaJEcHqvZvcu8qccHoOWrVBCNI+r42FBEHlcSs/ttDy3kmAdVt8MMZL6m9qzA+YRP
K4nyT5LTwKFVXjscvLlpdfSZyfM4DSralc58pDUYF3Vn3wmRtpi3u4zkLnww3KBrtVmSfjTvRda2
OwVAFXwzDEuCHAM4smnEIEQSpjG3WZLNn5NO1dXGcqVX7M1ayvq49BWJYMNy6YV1+hYaszk+YUUP
33Kbgz23QvrXZMHGrKbJ7jT5Du9qbL6fFbf3M8BJeTPa5ud5CPvrTqwQm61ZdT55lgRID7nx7USt
z+MSgdhcVGHdU0o+/jq5avi8RGnbv6vRrKZ7NtAJ4i9culNalQ0exuHVXtbkPsusZFv6JabU0FKX
abRIqDD4TzhXrqRwjFuoCP4Ow2S6YPGpv1cjoLIeWvQu8Rb7HjPR9MaCO9mmbOPuoi7ybpWcQfKV
DSyq2ERyvwGFWF7jSbWbbSZN494tWxoAwEHveLoCaBZA3jtRN59zOcILb7vnBIrQVWkOLyO3xB1W
HG9LL+CbZaenYi7ExVg895XSDSpDgpKeLIu2gl1CkfKZKlTOhGErr2UwHEM5s7wIgMZnJhRWnHud
Yg2fjfT+BCG4iMx1KgrQbDly8zMwyfNWIU96qensppXP+pQUbhCnlV/Hg926VLOM5dYHA7K1uon3
gd2hRCg/4k4RJes2JVEdNz638D3LIxPHnt059xDgfRyq4PfagRJJ5J+p5ffJxk25KuxT43RNsNWL
O5k++2bP5gFoIh4gheuooS01Guv6EcoieMOC8WNvIyJslU2V+q4zlUFO0ff6eBFZdkcPN85Cx1ye
TAKw54VAwifKe7lA+Wl7zRVowitI39R2rIHcjyb8zEZm/KftdmenXnssdnU1bZZGzDvZNgSvMhpf
r6RbSEiPvrkdEv9EchPLWZkuzxj8E598nHzJZPZaJDXNDJ4VMlBAiXieOiDugVDslHrhXPldrY7K
THFcR1m496XP6zByoEfXqU2YrmEgfdyDZebxSahHwOMKnomLM4TBK4tYNAV1dehmN3zpIn7xqVPD
Y1K0wR4QZVLsuB3OR+rBqSDUJ+IwQfNRg4UnBD4gmJaMto4lFefWXVyHQMsiz2pwqZe3beXs+Rp1
HdQqCzcB15tvRS/9X8Mqm3d56XvrkZ5ymmJATR4jWGe7So9WHUDxuJqWHqQDTYgbuAH+jqqCblc0
E2lMOmCu544qugSDns4w6pb3gL65op5uVtIwzjP3t/J6bConm8CuKzoFRwLPovTaB1mr1H+o6KrF
jGhEQ0wejrGgmd0vJXy6dB/5DUfvyWQWLH2rJOWiHgkrqwupfLFbZBmpTSHC5F4wBmjGJb3jzeKk
BHqnpsWzCuUA0eGNtG37sCYzIOE6zfZ9KZeLJzzvhtocKrCjvjcQ1zx5RfXqeFa4KQ5hk6s7yxvF
UzbXV/3cn7twVds+snsQB634Cr3OPExjP1xx6k8OQxq+MKjN+wCxbwoG976YgOwDVSzLcl+oOq2u
RLbO1j6P1nXR3kWIk23VULBb2/76IB2z+6LKugLREdkAdZGtqthpJE+Ik6yXUg5G/XWZlIBdu6y3
tA0O+Q6eqyepJumeOrk0CGNDLt3EPtT0BBinRNH2mznBA+Uunzpc2dmZ9ukguTiN+T7OUXet2NHE
OWXp8oR1J+F1Lhb4MWWRBQ/Rhyk4xx4cDXM8lE1y12rnsI43DtgwvG7+tGpfsesMYRrcpTD27rj7
nWil1x7kP5zk/xcLmz74/mFNDOmI4BeLbO0AwIr5s4OkZFhKfGG2WF700QnTLGOiZJmVnv79A3HM
/+cHInrCHYHNuP0zgSscGOZ7SoWOVYbFn3NqXe9Y/jKr8TLoQIAOn6W44qg34YL7Y7fzVf1P+p1m
EcwobfNfjazvWhL74v/89z8/Ojm6MIp8sgQwunQI748Wg85YcPUvipqoorOf/HkOt3DvF0aJaji2
yuBR/TFgHjRmupv+wqZjYdf46XfHWwFdKoJOhVXw5999LjyDZe7QHoXV8d2nOUWcwq9AvKgQnKBc
S2dHJndpz2Oq3TYmBbCcAZo0qI5IY9bTv38tfjJc8KLjs0BmcAgfgl37+edJo1kurJSHYzDA4J8d
1g9eTuZjXYi4RYP1V2Yz758yhqZOLHo2iodJGtJjPfTHp7/K2KZ6pmiPTY3sPGac1wR34/fSGJET
7VZ+zSrTdW/SKZTOaRiwlS4bYRlZfV14BbGHD5+f3zfucFsPOvJHLXR3NdhW9DJlZEGmsuWd5K6N
7hSrffHNxJ0escVxx/XR9nUOsFeYUnNJlGnsCu+99aZ5fBR4ScR+HSk4EhvKgBz3M5QdKuJRvzml
pwmZrdxJdS6B28RTHRCSm6tFfNOtpL+G69Q8OlHKMW7sBX8fW1n3ZhKsUdAAVGDoG6bJqdoykvvV
EFIQiee0eAhhUhwX/uJw6xIW8g8D0Q21E1ZI2EwvQD4CLR8v+n/Wm3+13nRMm/fjv9b7nr43zXch
vn//037zx1f9tt8MqcPUTl8d0tWa3W+7zcj8hUO6E+jkLGYo/vmP3ab/C0ZXQIN87jXYRF9xfrNP
Oe4v6H/aWBUR79U64N9R+rD1/nR1CW2uazQCkCTFigX65M8froD1i5HNXnMyppILzGEKkrSYGGxn
ytnGmioO9LfAni+jdrrXol+2lna/EzINjn3t5nHiJaLe2V7AdqvHMa+0d97XLvo09QGqzQPCfeqr
V+QYSLELy+H3SHvwbe3Gl5E3bzA1uzt491TCdXj2HWJkXt6kW187+i3t7ce3LgkMmiZLJgfr/xop
sadCllheExINKHBSuMSkyPSK+iTRfchS+XspgmBrjpO5mYo8vaUBNDw2S1492ZlDDGESLksw7jft
a2bJ/mBPxnoFvIrwAqc4/wvOEiIN6iPeUGM7YGZexueSBMlFFav5IOfB3jZVcD9JK7qmWqjfhjVU
JNDdGOydErZcIBm/8h6Ee2EOByKEzXHO6efRKYy2a4PTQB56D8V6iVc5WbdNEF2lTUmZkyrvAInB
3SYoGlvLHO4qzDc0SZP8GDRffu5dc2OurnuJqE84SbEax8RYrSuXks2rSjTdDpQkZhm8E/os016T
MiRyQkU0Z/p5lk/ss0hGYFG/pEntHVxCq3u7dzy+q1jvu8kW10FuJKQBuO3ppMtSSk5mc4HHKyjF
/VpCkpiJKDFYt2prdORlXJ2ckURoiJl+NutcHKzOKY6S9cYBbTt5mcK83aPv+N84xJXLNXeT4jr1
MLhVH6EdpcjvhJwItnkWhkeyBcO+921IfhjWWZd6+L91CojUT/SF5p/513Reov1qNuzN+wTLPJ8b
bH/LLKrLUnTPmbSKZ/xIy7vhk0GLm9Uzr8GnTOfQYF3bYuYjJBVxru5AoMXAVyD76SRTojNNjk43
VcSciAuz/TYct+eM15b3qu3B+OJOu7W5L53dPvdVDBsXY0ZuGXVwlIbM6TMW2ulMeoeo1apTV5g7
9sVHEGvVJ6dMp7Psj6BWrzNb5M6KTbNGBLlsF0fOprKBRTgzevuWHGqwFVadx8pe6zvD8I7kBMo4
k01/Pfj2e/sxSfYfU2XHfOnnQ6BX5YfECC3jJH4MotXoEMWCADY30dfVJf+5SxPG11UPskLaYf2V
VgnmW/oZ4iYc5bPXKecOzHA2SPrQgyc3EcWOrmVyLVUTXc0te6w4SgSJmA6TF8lQoy7mDUpleuxc
tNpnm5VKSUcZtBRKwxsYv8EVuMVQGHgYweYgqvo87/UEIAcYPwfaHYBGE0BGP48bszPSm55lQPDJ
BNvXE8/3Fuu+QSlPvhVJL5g9KfzjCofg5xruzpTtI+9cjxNZVFMCpVfcJYQ5jPOxOUbFFxYEi3EM
m8lsT17LhimGZknnwwQzWu+mMoasGcrlC71XjBpWwITQAlhMT1bGGTZuemIhzRi43zjXjeXBThRu
K0pjg2Y70T+AIG3hNt01XslDrlXKkEhfBolRLJ4QBUTFNtCciSRz7eMRxxJTGTw7wUgDUa1w4onG
Vjr6wsVu6RFHm3XGM2lCz4TZQTI5DVRA1Dtr/Fsoamrv6Ri2yeaFZJnHc7zxCcg+VTM6zEBD2fBR
embSSxzNh4IIyHUTuf2pzCM+98pLtl5JOeHGliCiYStkBzB94aGlduGusavLmuIQjgfLay8q07hK
jnX7dh5d1mGgbbWLKidLJRuJoavw7auQMJ1nNIhInNy5ftF8thuInRl7k4TVI3uzYufbYrXYHuKM
942muQkyqgpC9kA3o99Pb14BMCIGZHFesP3HVU+5Wqnc9DAOpO/pMZSVGddsqL72S/+Fe9RwwwgG
cgd//SafcuRw2+zNR+SPZE+jZfjsUQ9372KN4ubQVIDjAnHbjqGB/r2YV1NjJl9XHDl3S2JtReCn
Jy6dyZHAmvlaBixA4P+FbxNyRhuPid0dC5LX54Cu1Gvm1jAmL1huu3kpPmds5K+o3phukAH2o9G4
sRpNKt1HJwNwU0wUiBRLst5hkSt2EMMOArDXM2eX8bRAhyFP06wHmOMsWQprnjerwIc448O4RSsF
Ij4oOzyT0+3IdzvethvY+s88PsZ814ttiyVKCkTqDi8cNQdrVu7cIkoPULbCPZWArFctum64NK7u
q0M8lnuhF3XvU2iP11g5rO+TtNu9N2K6o6LHOvqidz5RU9GBLGrTbUfSe1/kXbcbGhotS3PuXySf
w2vSA8Md65joEgYQFtEKiwvMLOIY7BpuWMKxVbAr/0hVwmd0tfyy0LjzKaFC4yZh6c03ET6TAEyq
WIagONvaMW+Ewi25yfnk33lFoA4ckob3MGjAvfrl1lHreD8IkpixW4f+qabfDgdutp4trDlfZmAk
MUtSc1dC/zzB8PmUDI0PfKOG9NkEAYS0xdmBDBtCbAXGK1quuXPhEV17eW6eHUNwtubuD3wUyCnH
rcwtaPkZnw1WeCEaYyqAZxDnjoy5jcXEam7TQ5rbgCBZ8rhJbbi0dWgHPuGOH73TCCBE8flQQ2Tb
wv713m2F3qPgGaxxYBZcCYahhADbTCT3gkeHvGXKLS+taZh6Ej6VTvf/me//f0g9XA90ouBfz/fP
43v2p9H+xxf8no4w6STzgILDzsQx90En/G28t3SPAyV8ET7gj3gEHrrffXz2L1jrAguf0T/m+kCX
m5mONtt57IE5dfwNz8KHJeEPmxk8CpHjEOWDYeGSw3B+Wlm0fZtn7RIu15S3kwLehKQpl33tE4Or
a9c5lUpppEKKB0F4rvhmLUt+UEwwFLc2w3HoUfDsrlV3BbnO3QffJlsW767mk88I1VYqT/CTO/id
UMDq2kfuwqu1kPZlpJ/CyH3O4KjW3VHWuO5hTU9a9a8S4zaqXaz6mKoGAIJ4C9oQYx5tLvI4c8xX
0ykNJN7XUxIomnijIOynRxbfpvtoNMwZO5R4SFdpMQ98wgPiIbj8GTdNHpaLXqd732ubzzzBPlx+
Q+2itMxVfgPIJzv0gb1qWd1Pnpoa+teKH/vIL9XSoimNL1Qt5E9h4Q5EUuusYMbDsa2G/rTiat9n
bSLfI8tEBRfQKeIce8bGZ+zfRC2LxWATqTWwm6uC2ISHU4pgCgWF80ws/Wz/aFcoIMvdZGlJx4Ka
Ww2mwN61PLJhktQxALop0n3idp4dHGxiFfIw/ahwsMw0sfR1qJz6Uj34lZkP1x3xAU4/MaKaXU8/
Vm7/OfH/1YmfNQuH4H99Rfj0XYz/9b+6mn585e+upuCXgDMieUAo91wZtHXpt0tDSDuBh42X6F1E
ThDf0z8uDeYvvmNaZhAGfGpDTtZ/vEKAJvWJCvsEIHS46u9cIfyQB/nTXpEtApcgkqRw+Lla/Jyp
TRcXVb9Is5OowTK0YeMxxdmdODvAXbYMgzgLSnhXD6zS8Hqk8PNylVOfheBRZoOBHJfIYD/A3Hwk
s2Jw4K2il5yj2YG4tMZPaw0FEbTHEqqVFaVFFoHeO+xlIROtL9DLF7PnqIB2lp6/nSISB3B41LFP
3Cve2hLbzJIOfKLD9JmSMrLgkzckm8gviJ3PL9aHFsRpZHlecQNu+JUwJ0yGuR21epRqHWn8kJRg
wc+7kXa7aQPsuX/wOPVc+BLC9oMZoEm1xn2edIXYZrSLHAeU0+t1XppYCfQsDKTTudAaF0EmZ48J
IbtjVqdBPlr1b471Quzs2id0r9Uy8mroXxmowMc087w95ihCMoL/DR3GOtMT99wyC+nZeLoO3QXA
BVKNQZXUNkV9TKEvuONjiZvgjqIUWPwfwl77IfIBGyTEXIXGuuXwE8UEnzjDa2XQR/nd8jMzEglE
TbdlgLBpIeQ043ySZdkdGQsvgdYbLZndpiwgx629ELbZBrgnN643u3FTpat7GRHwoKE0hB1C0Dpx
Uo9HTovjsysW5CAK66ydMdnDxi0WBNFBQK6NZk9eSLAcR2TTXOunUiupZTK+JA3jdTQPz0u50D+M
H/ozRPjlysoQhwBdZpw+AJpbo7elqjh9EC5sChSbtrqGTdHfVB/CbgSQNaC4rfVvUyn8u9KB2m1Q
kvGWDIl9v/RtsfNYNF2ovv0+fsjH8CR9Kuzz9G5Fw71SEYNV4cO+0MpzpTXoykJIlg0rVssZX1mw
NNiogvKUfcjX84eUrT5kbfY/4jODrvw1LybrHtHeOxdp7zyW9FNuocNL9CvR+5sRXu4II64ervES
fZ4Jp9wYHcxXeza/u039OZjnVmxqLNhgq9HhK63Ic/+wxLYelvANC6F8Wg0JMHdKqp0PoR1u5Ye4
b34I/YmPNZfhdZ4/Y+5qza21yLwjZ9RTd1ZqtwCnenvnBWxS8kZM5v2kfQWldhh0PWbHjYI4fD9h
QACA+7aK6A1GLUkvJ8KcaHLXjvwcYLsbIMUdqOpGoda2BlBDTwS7v5u2TIDdavPDoG0QXgUJ4Dar
XNhymEY2Rebbx5RrzgPfAZ+gIzJ2g/mZ9PR8UkzegM59ckAbmYrZvhYfRowwgVq1kUP3Vn8YNQbt
2RhMsQc7n5BXxM8xaGfH8uHx0Edeie2D03cGokpbQeyVzcVRJhaea+zKxRlRuqC2SOCzi5XZetRc
O8kucNrslNG0ueu7ES5tYBgo6374iYaLxYvH9dyYgXFMR5EdSoj6dCjYxt5LgORE5jLvG91Gmqqq
fFU48LZ10c/nMA/2Li78WIPoUAfJKMRAUrx7onPlrvNLvGnMFptwKuG0g9O9KkoHjzaCwmGiRGEz
WXV6PU8eSAtZrOsTYpd38nDcXePeMF7mFBtDdZYmCcO6ooGJhvI23HEgqfdFd/YX9coCwt+2g7BP
ak3WncffOlceSz+rcvo89lxDkRvAFW5uPV1Dfyp9+L5+MPT3TjQ4T2yb2Rn4JN0yz6JUbunWhbVR
0jLWVGX5thakEuikoxfDtYqYCwQuz7DAkSIzBeYgGvaE00A7rdNNtabLrzJj75VNQQC8OHUrEpud
xKApvrr0BmypMmBHkvnUfbS2KU9JvVQEmnQxSSU/c2PhHD9W07FZe4rKNZlhhWo9z/6GlsDxK7A6
pwIjF4gLvRDRfkqtxzTww6Nj1OY5JzG5GZqwOFAaCJF7BZMIAi+2uMHuaLVYOP0Z09Gm++pkLoG1
SeBWnvzZVTscxebZHwHLMMyHe9GZ9kUGVnRWTZBjx6keEn+Fjy/S4ECEk8aEZMh/ZdEnNY+GXt+6
49o7W1O1jRy7P/WRVRM3TMt+a+odGjU0RqtsoDF8RK+zLs1vcpPFZQnmabOsZbT1sP1fLWOf7GfZ
n1Vd99SpKfENM5HapHUHP6Wq8Mg5DhOmdLPTsLIHxbBxSr3hWx/R2iDL+QtjvtyZ1mLtpOR2Yw3Z
KRxEemQWdrZ1Et5MVvIwCtphnNqGHS4n734G2LgfDHGTLsWDNIVxP2fFneJ5vUoUe9fBrG7SoF73
yi+pqVfUopmwU4S/91YkdheAHN2Wkxw3Ax7NZ6AliOqS5/Whl3nqX63FuEDSAJ/UskegAjhmyKVS
fjSdhew03D1IwX4TruYuS6Jufawp7DReoYSrZZvjmlu3RBu1i69syJuo0qqI5QYIcMux8/JHLxj8
YrtOK6OMYJ91M5X4aDdYhZ2YSAF2OdPCZba09I/EZDf6WxsWd7btQNR9cjqpPtWtqa6CsbDOsm/E
oV8Mto9THSgWBks5XdEIM3PprxqeA7RDqkVMwk81V8ywNPz3pQgL8tWyuMKSBp+XOb5+CFeZX9Vm
LfApejtqoOb9Yofpt96WxkGMMJrFEvZ78jDW3hnGAk5dw+W17B2eoHLBfsrSIn0hVdRtg6KGlUxv
KENH7bjHfFjJNJqrJ+MZFyWQZt9ZZ92h65yHTtbZbrQHzmyxvcgojLlzmXuPlXpC4jRj0SwCiSW2
xKu7CHCk0IfEJE8fNpUqK42T0fe+JkybtMFx3IxuLc/wx007rn2+L70ekF5Ij9E2c6S/LQl4vAmo
YgSbC7O4D7OhfwAYNkOx9Jd806KXHkSeqD2MFf+4WpnCpVMCBIvNZQiQOpFXPlXgA7aJiKxLXYS1
F1e8+K+rk7t71KSDMyayj3PkoEW7Uhy+Pk/IEDsT5lqNFTJy6k8d9s837uJjYGUC6qH4oMKd3Nw1
P1F+U2w4JtKgnEonLPfd4jZYTMvRpIFzHF+5eK87hyfpjKX7C8vrkg+2Z9YxryhmjKrECsA+ucx2
8yiLJR6kZ2/GEUl5Q1d2fdv0ApuXX2ZyN3rZdefN3T6a6/Eyy8A7+VnYLcT6Q+9eVIMsWWQ31cHV
++6IFw3+hsCwUzXu8k0lYfY5YuZ+JlkUnBOXXa9eqQcA5hjNtklqpdF1bXrwBZfgdawd8YksPeHX
1HNZadLUaivPPA3Y7giJkQp7czp3mjd4gBCznYDrQGVH1xUVJd9t8qIAOnPrnetpfpXPhrVbkPNe
J3TBBb2qDpK90SPJbFlkIsGMNbapBlwCPh5n5/kzRbggUHbAB6IDniK589Q0nddgmm8Wkc4PAhkg
pvILe5BXskwnjvS+sEXvIY+07t7KWwDxndUhttsTxaitAnOXjP2O/lZ/b09m8M1ubHXBvr/ehP3a
PXa6/nvD9bz4FW+9ePq/7J1Zc9pIEMe/iivvUEJISHpIqja+EhM7u0n2ygslgwJjhAQ6OPzp9zc6
bCQO2xnVlmtr9WYLWk2rp6enj3/Tkev/Ne5o/pjKujvnip6NwRUlmtqVNh8sLiz0ta8txj2mriSr
05U2p5/6HiTv1j0R6I5lzM83gdXB92cysGkOqEGm3HOKaZ4FF6ve3LwEXzj4uNYospsDgfgN4KPu
RUuLzpP54o4ZkRFg8bLI6k6WW2EklqDNUHEXWqRuYgAFmc1IwGAiS7UYbcKM3Kx+aypLuUJZ1DXN
yrsEPooPnhUOFMVfk6wOjIkwlITJ4rBlEq5G9HtRMTaXxWPLrI5sJUvK/o8IPisiyOg9QnVHzv8A
MZB8rgQF8+88BAWJ/JlAM/U42stA32M/ExPvuEXq/rGDt4wJMrS1Q9dLCYoiwwVFyt/QJGKKJfv3
AFWTscGXHPxrNVuaTbwSlAfCkrphcO6XYYEt6KZBuuoIc7BY3aSz0Tj2zyb+7ZY09lRLyd7gSuix
9oBa6DFad/3ZfM0DbKaPTGy6UB1XLG+EczopUH0OFmZlpT+VZ4FaYVK332XrMQ1Tq4G/0Arf8cED
71Do4280WUpIL4TW2xBU0MmTf4/v1mN7SNzOTrRLba7HrXvq+8yNCK4IxYLqOyJSatPSSU3VRHOs
y0E01i43dpB6gomUYvYpjQARMPpab37/0WcI3yAiPqht+hSkhYNvm0VycacL8yrGZQCnN+RowHS9
RUAmLWCyqd2NzOS9vuy12ANXy65Dza8/W0ymjErQx8votMfeY4VnMMG+LnobPX4fpPpVRKnX75u1
n/b9wSIllUB4cXVBIsrvzvoWnbRn5rqHFexMzdV3RpYB69wiOfCepuEI1FEZFDVa1vy+f5c4k9bX
FW0fRnDeXY4HDv2gCRUM68Elk3jJzv+3rEYR/pTzi84za/Bb6kWbLx54rUlcBtzl3awW8Fv4cx86
TqgYgfpEHJIM4Q5yU8ZUxvExGr6biCQdeW/fAAtAvSKFc106e+RF9Y8PlH1xu2WZbSwUs6IJAGZX
ngrZEtIhMRz/hbk8j3+m8guGYRok8j2MRR2MCvtVscUHZFCj8CgD+kTBNAQvj+rBfTJwyOB0iIV2
6SzKrvyB/74M3BHbyplgnI8YJtu7C00v9LY+Rwg1EltCsNo01xKM7ji5EKg121YEDr5M37VowzE6
uRS2l/2x9XD8Jb9YEWq/wMvWqBwW3AVAg61KTQodoMy6NsAbsmuYqyYFVKHLUnFwz3Ih5HmAV6QK
MC6n9SpJQbfboIeCoVm8aalc27pAdkJWbFBrjbchL4wGD3xFUqDfWyY8laRgGCRaAJ3Pqh6zt12T
gtO2UAXW3quVgmkbKLCaFKy20elgHUk3ZRfO3LYu0NHBYL4eMdys0T5bMa9LF4gp6rmC5l7jg616
yTaptW2gZcEwLK6aXbCstg3MIXaBCll5vTq7oBu4taq6oKELsjRn61du6wJ2gTtEBYzHjfR16QIV
1jup2wPuQm2fedwpOWxxMJIOQeEO1K2j0+YxPVog2JWz67VZR0omnNyPU1gRRtsmeE5xRbFJoPEV
XTCxjpyHwAXNhfACx/EZG8mDJ346Ef4o88GFF+9z1Q99oHRLdu8Xfqf0KTgAP5yksw9Klzx/du54
yL/fVVQl2wa3bpbb4vbXix+4++i9TJX//CC8yI2GEzqncd83BZs37gw//hffvXVn7rZTiAeD2Xvk
5O2bCp9btuAJwvG0RlcCFyvTjcR9WB1sRo8B/ps64akbxG5cUpKvkagxBluV8qnrix9hVEOqyX1v
ZdrAK0TuKCy5lFwD1caiUadM+8kwEcO0cmQgicCKVSV+5vnuyo28kpJk2wb3u/x77wn2wR85pnfl
Meck/HFCwCWd3VYBgugua0ALL5C6GFXVO3egVSVz6YWgGlUpc5DGKVWl/AGJC1HSydS7m2EAqhL+
OHInFQUEQk0iHSnTZZBcEIrqisw3YmXSwUi4NSsiEaIaYDpcVV8eFZq4vqoM93dtU6+jN7Be+nCW
DqebksVML6RbXv7j55fipzAV8Y6YHU5/6rSvGXVQsR7k15vYXq5dxkm4wajkUIqDTrkmXuG1G8fu
cJLGXpJUdBoYTKMJkYjhRIzdKuJ67rGpat+1kK2INdxRnYhOAwuGiTFANADqPa/YJnrDtIaoh2lU
J90I42GQ1GwIfdS2U6rOzy+cG+82cmvek65TwtQE6aVb3bc43slMjaqK3Hirkw8usxnB66wsTOg7
DRhASf/Ki2JvU/KaLU1KYBsifu2txbCyjREnlyGxJiTzN5AnJaWCbxmCVyb95LDfw3nJZ3lTN9kD
djGHdSAVG3BJPk9EVeJ5sEFVLJ+nPh5J9VRDHMNpwMgeHmqhKOlf6faON/7SrR0TiiiUqki+TMKR
d/Ix3tnbrF6Gl6nI/dcMm3rf1GmJTt2AL5E/YFcRS/BrRf6P9tor015XT5VFwkH1lR7qH1Jk9w8v
mrGzlcZJWis5+KgBQ7i3s6HAa1Vk+k+XfScYU3Bf5TuLY6sK+sm2DFXmRTwMg1hUec8zEcq8Hy4p
Ocr1vkjTQ6ZmN/5UZuP2fa0aXJOfGPqeG737BwAA//8=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666750</xdr:colOff>
      <xdr:row>11</xdr:row>
      <xdr:rowOff>38100</xdr:rowOff>
    </xdr:from>
    <xdr:to>
      <xdr:col>7</xdr:col>
      <xdr:colOff>590550</xdr:colOff>
      <xdr:row>25</xdr:row>
      <xdr:rowOff>19050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781049</xdr:colOff>
      <xdr:row>10</xdr:row>
      <xdr:rowOff>85725</xdr:rowOff>
    </xdr:from>
    <xdr:to>
      <xdr:col>11</xdr:col>
      <xdr:colOff>314324</xdr:colOff>
      <xdr:row>34</xdr:row>
      <xdr:rowOff>161925</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28576</xdr:colOff>
      <xdr:row>27</xdr:row>
      <xdr:rowOff>47626</xdr:rowOff>
    </xdr:from>
    <xdr:to>
      <xdr:col>27</xdr:col>
      <xdr:colOff>85725</xdr:colOff>
      <xdr:row>45</xdr:row>
      <xdr:rowOff>152400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581024</xdr:colOff>
      <xdr:row>9</xdr:row>
      <xdr:rowOff>171450</xdr:rowOff>
    </xdr:from>
    <xdr:to>
      <xdr:col>17</xdr:col>
      <xdr:colOff>857250</xdr:colOff>
      <xdr:row>31</xdr:row>
      <xdr:rowOff>95251</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28575</xdr:colOff>
      <xdr:row>17</xdr:row>
      <xdr:rowOff>133349</xdr:rowOff>
    </xdr:from>
    <xdr:to>
      <xdr:col>54</xdr:col>
      <xdr:colOff>323850</xdr:colOff>
      <xdr:row>40</xdr:row>
      <xdr:rowOff>85724</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395285</xdr:colOff>
      <xdr:row>26</xdr:row>
      <xdr:rowOff>38101</xdr:rowOff>
    </xdr:from>
    <xdr:to>
      <xdr:col>45</xdr:col>
      <xdr:colOff>228600</xdr:colOff>
      <xdr:row>46</xdr:row>
      <xdr:rowOff>85725</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41868</xdr:colOff>
      <xdr:row>5</xdr:row>
      <xdr:rowOff>115243</xdr:rowOff>
    </xdr:from>
    <xdr:to>
      <xdr:col>1</xdr:col>
      <xdr:colOff>7536</xdr:colOff>
      <xdr:row>8</xdr:row>
      <xdr:rowOff>96193</xdr:rowOff>
    </xdr:to>
    <xdr:sp macro="" textlink="$A$2">
      <xdr:nvSpPr>
        <xdr:cNvPr id="7" name="Rectangle 6">
          <a:extLst>
            <a:ext uri="{FF2B5EF4-FFF2-40B4-BE49-F238E27FC236}">
              <a16:creationId xmlns:a16="http://schemas.microsoft.com/office/drawing/2014/main" id="{47E01F74-6A94-2198-17F4-0844E69DB437}"/>
            </a:ext>
          </a:extLst>
        </xdr:cNvPr>
        <xdr:cNvSpPr/>
      </xdr:nvSpPr>
      <xdr:spPr>
        <a:xfrm>
          <a:off x="41868" y="1057276"/>
          <a:ext cx="876300" cy="54617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EF72FC9-9270-4EBC-9858-D80D02BC30DA}" type="TxLink">
            <a:rPr lang="en-US" sz="1100" b="0" i="0" u="none" strike="noStrike">
              <a:solidFill>
                <a:srgbClr val="000000"/>
              </a:solidFill>
              <a:latin typeface="Calibri"/>
              <a:ea typeface="Calibri"/>
              <a:cs typeface="Calibri"/>
            </a:rPr>
            <a:pPr algn="l"/>
            <a:t>$2,787.25</a:t>
          </a:fld>
          <a:endParaRPr lang="en-IN" sz="1100"/>
        </a:p>
      </xdr:txBody>
    </xdr:sp>
    <xdr:clientData/>
  </xdr:twoCellAnchor>
  <xdr:twoCellAnchor>
    <xdr:from>
      <xdr:col>2</xdr:col>
      <xdr:colOff>123825</xdr:colOff>
      <xdr:row>5</xdr:row>
      <xdr:rowOff>171450</xdr:rowOff>
    </xdr:from>
    <xdr:to>
      <xdr:col>2</xdr:col>
      <xdr:colOff>1000125</xdr:colOff>
      <xdr:row>8</xdr:row>
      <xdr:rowOff>152400</xdr:rowOff>
    </xdr:to>
    <xdr:sp macro="" textlink="$C$2">
      <xdr:nvSpPr>
        <xdr:cNvPr id="8" name="Rectangle 7">
          <a:extLst>
            <a:ext uri="{FF2B5EF4-FFF2-40B4-BE49-F238E27FC236}">
              <a16:creationId xmlns:a16="http://schemas.microsoft.com/office/drawing/2014/main" id="{C817B824-DB51-4AE9-B424-DDCF159432D3}"/>
            </a:ext>
          </a:extLst>
        </xdr:cNvPr>
        <xdr:cNvSpPr/>
      </xdr:nvSpPr>
      <xdr:spPr>
        <a:xfrm>
          <a:off x="1647825" y="1123950"/>
          <a:ext cx="87630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7EC8D73-0891-4C5B-BD20-CAD749EE3E93}" type="TxLink">
            <a:rPr lang="en-US" sz="1100" b="0" i="0" u="none" strike="noStrike">
              <a:solidFill>
                <a:srgbClr val="000000"/>
              </a:solidFill>
              <a:latin typeface="Calibri"/>
              <a:ea typeface="Calibri"/>
              <a:cs typeface="Calibri"/>
            </a:rPr>
            <a:pPr algn="l"/>
            <a:t>$348.41</a:t>
          </a:fld>
          <a:endParaRPr lang="en-IN" sz="1100"/>
        </a:p>
      </xdr:txBody>
    </xdr:sp>
    <xdr:clientData/>
  </xdr:twoCellAnchor>
  <xdr:twoCellAnchor>
    <xdr:from>
      <xdr:col>4</xdr:col>
      <xdr:colOff>0</xdr:colOff>
      <xdr:row>7</xdr:row>
      <xdr:rowOff>0</xdr:rowOff>
    </xdr:from>
    <xdr:to>
      <xdr:col>5</xdr:col>
      <xdr:colOff>47625</xdr:colOff>
      <xdr:row>9</xdr:row>
      <xdr:rowOff>171450</xdr:rowOff>
    </xdr:to>
    <xdr:sp macro="" textlink="$E$2">
      <xdr:nvSpPr>
        <xdr:cNvPr id="9" name="Rectangle 8">
          <a:extLst>
            <a:ext uri="{FF2B5EF4-FFF2-40B4-BE49-F238E27FC236}">
              <a16:creationId xmlns:a16="http://schemas.microsoft.com/office/drawing/2014/main" id="{6B5F4E14-C41A-4DD5-8E8D-9954459D6B2B}"/>
            </a:ext>
          </a:extLst>
        </xdr:cNvPr>
        <xdr:cNvSpPr/>
      </xdr:nvSpPr>
      <xdr:spPr>
        <a:xfrm>
          <a:off x="3152775" y="1333500"/>
          <a:ext cx="87630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CCF3BD9-A77B-425D-A8F2-6321B52F0B01}" type="TxLink">
            <a:rPr lang="en-US" sz="1100" b="0" i="0" u="none" strike="noStrike">
              <a:solidFill>
                <a:srgbClr val="000000"/>
              </a:solidFill>
              <a:latin typeface="Calibri"/>
              <a:ea typeface="Calibri"/>
              <a:cs typeface="Calibri"/>
            </a:rPr>
            <a:pPr algn="l"/>
            <a:t>8</a:t>
          </a:fld>
          <a:endParaRPr lang="en-IN" sz="1100"/>
        </a:p>
      </xdr:txBody>
    </xdr:sp>
    <xdr:clientData/>
  </xdr:twoCellAnchor>
  <xdr:twoCellAnchor>
    <xdr:from>
      <xdr:col>6</xdr:col>
      <xdr:colOff>38100</xdr:colOff>
      <xdr:row>5</xdr:row>
      <xdr:rowOff>171450</xdr:rowOff>
    </xdr:from>
    <xdr:to>
      <xdr:col>7</xdr:col>
      <xdr:colOff>0</xdr:colOff>
      <xdr:row>8</xdr:row>
      <xdr:rowOff>152400</xdr:rowOff>
    </xdr:to>
    <xdr:sp macro="" textlink="$G$2">
      <xdr:nvSpPr>
        <xdr:cNvPr id="10" name="Rectangle 9">
          <a:extLst>
            <a:ext uri="{FF2B5EF4-FFF2-40B4-BE49-F238E27FC236}">
              <a16:creationId xmlns:a16="http://schemas.microsoft.com/office/drawing/2014/main" id="{4990A43F-F6EA-4356-B961-99A182701B19}"/>
            </a:ext>
          </a:extLst>
        </xdr:cNvPr>
        <xdr:cNvSpPr/>
      </xdr:nvSpPr>
      <xdr:spPr>
        <a:xfrm>
          <a:off x="4629150" y="1123950"/>
          <a:ext cx="87630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E614D49-C843-4649-B745-CC6E7288324D}" type="TxLink">
            <a:rPr lang="en-US" sz="1100" b="0" i="0" u="none" strike="noStrike">
              <a:solidFill>
                <a:srgbClr val="000000"/>
              </a:solidFill>
              <a:latin typeface="Calibri"/>
              <a:ea typeface="Calibri"/>
              <a:cs typeface="Calibri"/>
            </a:rPr>
            <a:pPr algn="l"/>
            <a:t>$1,439.98</a:t>
          </a:fld>
          <a:endParaRPr lang="en-IN" sz="1100"/>
        </a:p>
      </xdr:txBody>
    </xdr:sp>
    <xdr:clientData/>
  </xdr:twoCellAnchor>
  <xdr:twoCellAnchor>
    <xdr:from>
      <xdr:col>8</xdr:col>
      <xdr:colOff>0</xdr:colOff>
      <xdr:row>6</xdr:row>
      <xdr:rowOff>0</xdr:rowOff>
    </xdr:from>
    <xdr:to>
      <xdr:col>8</xdr:col>
      <xdr:colOff>876300</xdr:colOff>
      <xdr:row>8</xdr:row>
      <xdr:rowOff>171450</xdr:rowOff>
    </xdr:to>
    <xdr:sp macro="" textlink="$I$4">
      <xdr:nvSpPr>
        <xdr:cNvPr id="13" name="Rectangle 12">
          <a:extLst>
            <a:ext uri="{FF2B5EF4-FFF2-40B4-BE49-F238E27FC236}">
              <a16:creationId xmlns:a16="http://schemas.microsoft.com/office/drawing/2014/main" id="{20102BEB-5CD7-4C19-8FE4-A64663CDBCBD}"/>
            </a:ext>
          </a:extLst>
        </xdr:cNvPr>
        <xdr:cNvSpPr/>
      </xdr:nvSpPr>
      <xdr:spPr>
        <a:xfrm>
          <a:off x="6610350" y="1143000"/>
          <a:ext cx="87630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4157409-565C-410A-B821-BD1443D867BB}" type="TxLink">
            <a:rPr lang="en-US" sz="1100" b="0" i="0" u="none" strike="noStrike">
              <a:solidFill>
                <a:srgbClr val="000000"/>
              </a:solidFill>
              <a:latin typeface="Calibri"/>
              <a:ea typeface="Calibri"/>
              <a:cs typeface="Calibri"/>
            </a:rPr>
            <a:pPr algn="l"/>
            <a:t>348.41</a:t>
          </a:fld>
          <a:endParaRPr lang="en-IN" sz="1100"/>
        </a:p>
      </xdr:txBody>
    </xdr:sp>
    <xdr:clientData/>
  </xdr:twoCellAnchor>
  <xdr:twoCellAnchor>
    <xdr:from>
      <xdr:col>39</xdr:col>
      <xdr:colOff>457200</xdr:colOff>
      <xdr:row>2</xdr:row>
      <xdr:rowOff>90487</xdr:rowOff>
    </xdr:from>
    <xdr:to>
      <xdr:col>49</xdr:col>
      <xdr:colOff>361950</xdr:colOff>
      <xdr:row>16</xdr:row>
      <xdr:rowOff>166687</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C3D26853-CDBF-EAC1-7965-40A895FD4F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2108775" y="4714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35</xdr:col>
      <xdr:colOff>372627</xdr:colOff>
      <xdr:row>3</xdr:row>
      <xdr:rowOff>187988</xdr:rowOff>
    </xdr:from>
    <xdr:to>
      <xdr:col>45</xdr:col>
      <xdr:colOff>265863</xdr:colOff>
      <xdr:row>18</xdr:row>
      <xdr:rowOff>105089</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E71047CF-DD68-2A35-69C8-0370502966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0157302" y="759488"/>
              <a:ext cx="4560486" cy="27746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32447</xdr:colOff>
      <xdr:row>15</xdr:row>
      <xdr:rowOff>114719</xdr:rowOff>
    </xdr:from>
    <xdr:to>
      <xdr:col>21</xdr:col>
      <xdr:colOff>239695</xdr:colOff>
      <xdr:row>30</xdr:row>
      <xdr:rowOff>31820</xdr:rowOff>
    </xdr:to>
    <xdr:graphicFrame macro="">
      <xdr:nvGraphicFramePr>
        <xdr:cNvPr id="18" name="Chart 17">
          <a:extLst>
            <a:ext uri="{FF2B5EF4-FFF2-40B4-BE49-F238E27FC236}">
              <a16:creationId xmlns:a16="http://schemas.microsoft.com/office/drawing/2014/main" id="{23943341-9427-19C1-2510-3245EC8CE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61128</xdr:colOff>
      <xdr:row>10</xdr:row>
      <xdr:rowOff>43543</xdr:rowOff>
    </xdr:from>
    <xdr:to>
      <xdr:col>2</xdr:col>
      <xdr:colOff>372208</xdr:colOff>
      <xdr:row>23</xdr:row>
      <xdr:rowOff>118382</xdr:rowOff>
    </xdr:to>
    <mc:AlternateContent xmlns:mc="http://schemas.openxmlformats.org/markup-compatibility/2006" xmlns:a14="http://schemas.microsoft.com/office/drawing/2010/main">
      <mc:Choice Requires="a14">
        <xdr:graphicFrame macro="">
          <xdr:nvGraphicFramePr>
            <xdr:cNvPr id="19" name="Month">
              <a:extLst>
                <a:ext uri="{FF2B5EF4-FFF2-40B4-BE49-F238E27FC236}">
                  <a16:creationId xmlns:a16="http://schemas.microsoft.com/office/drawing/2014/main" id="{8946A914-9DF9-A27B-F6ED-FB9E2965FCF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1128" y="192760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17375</xdr:rowOff>
    </xdr:from>
    <xdr:to>
      <xdr:col>2</xdr:col>
      <xdr:colOff>311080</xdr:colOff>
      <xdr:row>31</xdr:row>
      <xdr:rowOff>92215</xdr:rowOff>
    </xdr:to>
    <mc:AlternateContent xmlns:mc="http://schemas.openxmlformats.org/markup-compatibility/2006" xmlns:a14="http://schemas.microsoft.com/office/drawing/2010/main">
      <mc:Choice Requires="a14">
        <xdr:graphicFrame macro="">
          <xdr:nvGraphicFramePr>
            <xdr:cNvPr id="20" name="Segment">
              <a:extLst>
                <a:ext uri="{FF2B5EF4-FFF2-40B4-BE49-F238E27FC236}">
                  <a16:creationId xmlns:a16="http://schemas.microsoft.com/office/drawing/2014/main" id="{7E5C3E90-1CCF-D40B-664D-3F33B736FBB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340869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113462</xdr:colOff>
      <xdr:row>36</xdr:row>
      <xdr:rowOff>95878</xdr:rowOff>
    </xdr:from>
    <xdr:to>
      <xdr:col>6</xdr:col>
      <xdr:colOff>508278</xdr:colOff>
      <xdr:row>49</xdr:row>
      <xdr:rowOff>170717</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B7B0062F-C63A-2755-F625-F560CA8FD1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14121" y="687851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142980</xdr:rowOff>
    </xdr:from>
    <xdr:to>
      <xdr:col>2</xdr:col>
      <xdr:colOff>311080</xdr:colOff>
      <xdr:row>43</xdr:row>
      <xdr:rowOff>29412</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EBDAAC04-A954-55F3-6FFF-9F5465A07E6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560677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94204</xdr:colOff>
      <xdr:row>32</xdr:row>
      <xdr:rowOff>20935</xdr:rowOff>
    </xdr:from>
    <xdr:to>
      <xdr:col>4</xdr:col>
      <xdr:colOff>10467</xdr:colOff>
      <xdr:row>38</xdr:row>
      <xdr:rowOff>24703</xdr:rowOff>
    </xdr:to>
    <xdr:sp macro="" textlink="$D$28">
      <xdr:nvSpPr>
        <xdr:cNvPr id="23" name="Rectangle 22">
          <a:extLst>
            <a:ext uri="{FF2B5EF4-FFF2-40B4-BE49-F238E27FC236}">
              <a16:creationId xmlns:a16="http://schemas.microsoft.com/office/drawing/2014/main" id="{BD7AE18D-6ABA-F15B-0B76-294B8D0D6F74}"/>
            </a:ext>
          </a:extLst>
        </xdr:cNvPr>
        <xdr:cNvSpPr/>
      </xdr:nvSpPr>
      <xdr:spPr>
        <a:xfrm>
          <a:off x="2763297" y="6049946"/>
          <a:ext cx="847829" cy="113420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7666715-964B-4311-9053-A69441BFB29A}" type="TxLink">
            <a:rPr lang="en-US" sz="1100" b="0" i="0" u="none" strike="noStrike">
              <a:solidFill>
                <a:srgbClr val="000000"/>
              </a:solidFill>
              <a:latin typeface="Calibri"/>
              <a:ea typeface="Calibri"/>
              <a:cs typeface="Calibri"/>
            </a:rPr>
            <a:pPr algn="l"/>
            <a:t>$12.99</a:t>
          </a:fld>
          <a:endParaRPr lang="en-IN" sz="1100"/>
        </a:p>
      </xdr:txBody>
    </xdr:sp>
    <xdr:clientData/>
  </xdr:twoCellAnchor>
  <xdr:twoCellAnchor editAs="oneCell">
    <xdr:from>
      <xdr:col>0</xdr:col>
      <xdr:colOff>567522</xdr:colOff>
      <xdr:row>12</xdr:row>
      <xdr:rowOff>3873</xdr:rowOff>
    </xdr:from>
    <xdr:to>
      <xdr:col>2</xdr:col>
      <xdr:colOff>878602</xdr:colOff>
      <xdr:row>25</xdr:row>
      <xdr:rowOff>78712</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0D9A2CC-736B-EF4D-F0BE-E83421E5725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7522" y="226475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21</xdr:col>
      <xdr:colOff>171450</xdr:colOff>
      <xdr:row>2</xdr:row>
      <xdr:rowOff>161925</xdr:rowOff>
    </xdr:to>
    <xdr:sp macro="" textlink="">
      <xdr:nvSpPr>
        <xdr:cNvPr id="3" name="Rectangle 2">
          <a:extLst>
            <a:ext uri="{FF2B5EF4-FFF2-40B4-BE49-F238E27FC236}">
              <a16:creationId xmlns:a16="http://schemas.microsoft.com/office/drawing/2014/main" id="{6F68A10D-F803-EBC0-E591-CE2725221C49}"/>
            </a:ext>
          </a:extLst>
        </xdr:cNvPr>
        <xdr:cNvSpPr/>
      </xdr:nvSpPr>
      <xdr:spPr>
        <a:xfrm>
          <a:off x="0" y="1"/>
          <a:ext cx="12973050" cy="542924"/>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bg1"/>
              </a:solidFill>
            </a:rPr>
            <a:t>Retail Sales Dashboard</a:t>
          </a:r>
        </a:p>
      </xdr:txBody>
    </xdr:sp>
    <xdr:clientData/>
  </xdr:twoCellAnchor>
  <xdr:twoCellAnchor>
    <xdr:from>
      <xdr:col>0</xdr:col>
      <xdr:colOff>19049</xdr:colOff>
      <xdr:row>3</xdr:row>
      <xdr:rowOff>1</xdr:rowOff>
    </xdr:from>
    <xdr:to>
      <xdr:col>3</xdr:col>
      <xdr:colOff>295275</xdr:colOff>
      <xdr:row>5</xdr:row>
      <xdr:rowOff>152401</xdr:rowOff>
    </xdr:to>
    <xdr:sp macro="" textlink="">
      <xdr:nvSpPr>
        <xdr:cNvPr id="4" name="Rectangle 3">
          <a:extLst>
            <a:ext uri="{FF2B5EF4-FFF2-40B4-BE49-F238E27FC236}">
              <a16:creationId xmlns:a16="http://schemas.microsoft.com/office/drawing/2014/main" id="{3F110950-2799-818C-D5CA-A2DAAE58137C}"/>
            </a:ext>
          </a:extLst>
        </xdr:cNvPr>
        <xdr:cNvSpPr/>
      </xdr:nvSpPr>
      <xdr:spPr>
        <a:xfrm>
          <a:off x="19049" y="571501"/>
          <a:ext cx="2105026" cy="5334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95000"/>
                  <a:lumOff val="5000"/>
                </a:schemeClr>
              </a:solidFill>
            </a:rPr>
            <a:t>Total Sales</a:t>
          </a:r>
        </a:p>
      </xdr:txBody>
    </xdr:sp>
    <xdr:clientData/>
  </xdr:twoCellAnchor>
  <xdr:twoCellAnchor>
    <xdr:from>
      <xdr:col>3</xdr:col>
      <xdr:colOff>295275</xdr:colOff>
      <xdr:row>2</xdr:row>
      <xdr:rowOff>171451</xdr:rowOff>
    </xdr:from>
    <xdr:to>
      <xdr:col>6</xdr:col>
      <xdr:colOff>561975</xdr:colOff>
      <xdr:row>5</xdr:row>
      <xdr:rowOff>152401</xdr:rowOff>
    </xdr:to>
    <xdr:sp macro="" textlink="">
      <xdr:nvSpPr>
        <xdr:cNvPr id="5" name="Rectangle 4">
          <a:extLst>
            <a:ext uri="{FF2B5EF4-FFF2-40B4-BE49-F238E27FC236}">
              <a16:creationId xmlns:a16="http://schemas.microsoft.com/office/drawing/2014/main" id="{0AF3102D-0487-456D-B163-FF41D899871E}"/>
            </a:ext>
          </a:extLst>
        </xdr:cNvPr>
        <xdr:cNvSpPr/>
      </xdr:nvSpPr>
      <xdr:spPr>
        <a:xfrm>
          <a:off x="2124075" y="552451"/>
          <a:ext cx="2095500" cy="5524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95000"/>
                  <a:lumOff val="5000"/>
                </a:schemeClr>
              </a:solidFill>
            </a:rPr>
            <a:t>Average Sale</a:t>
          </a:r>
        </a:p>
      </xdr:txBody>
    </xdr:sp>
    <xdr:clientData/>
  </xdr:twoCellAnchor>
  <xdr:twoCellAnchor>
    <xdr:from>
      <xdr:col>10</xdr:col>
      <xdr:colOff>390525</xdr:colOff>
      <xdr:row>2</xdr:row>
      <xdr:rowOff>180975</xdr:rowOff>
    </xdr:from>
    <xdr:to>
      <xdr:col>14</xdr:col>
      <xdr:colOff>133350</xdr:colOff>
      <xdr:row>5</xdr:row>
      <xdr:rowOff>152400</xdr:rowOff>
    </xdr:to>
    <xdr:sp macro="" textlink="">
      <xdr:nvSpPr>
        <xdr:cNvPr id="6" name="Rectangle 5">
          <a:extLst>
            <a:ext uri="{FF2B5EF4-FFF2-40B4-BE49-F238E27FC236}">
              <a16:creationId xmlns:a16="http://schemas.microsoft.com/office/drawing/2014/main" id="{C5DA9C63-E539-4A07-8E0A-A56BF49E965E}"/>
            </a:ext>
          </a:extLst>
        </xdr:cNvPr>
        <xdr:cNvSpPr/>
      </xdr:nvSpPr>
      <xdr:spPr>
        <a:xfrm>
          <a:off x="6486525" y="561975"/>
          <a:ext cx="2181225" cy="5429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lumMod val="95000"/>
                  <a:lumOff val="5000"/>
                </a:schemeClr>
              </a:solidFill>
            </a:rPr>
            <a:t>Total</a:t>
          </a:r>
          <a:r>
            <a:rPr lang="en-IN" sz="1600" b="1" baseline="0">
              <a:solidFill>
                <a:schemeClr val="tx1">
                  <a:lumMod val="95000"/>
                  <a:lumOff val="5000"/>
                </a:schemeClr>
              </a:solidFill>
            </a:rPr>
            <a:t> Order</a:t>
          </a:r>
          <a:endParaRPr lang="en-IN" sz="1600" b="1">
            <a:solidFill>
              <a:schemeClr val="tx1">
                <a:lumMod val="95000"/>
                <a:lumOff val="5000"/>
              </a:schemeClr>
            </a:solidFill>
          </a:endParaRPr>
        </a:p>
      </xdr:txBody>
    </xdr:sp>
    <xdr:clientData/>
  </xdr:twoCellAnchor>
  <xdr:twoCellAnchor>
    <xdr:from>
      <xdr:col>14</xdr:col>
      <xdr:colOff>152399</xdr:colOff>
      <xdr:row>2</xdr:row>
      <xdr:rowOff>180976</xdr:rowOff>
    </xdr:from>
    <xdr:to>
      <xdr:col>18</xdr:col>
      <xdr:colOff>247650</xdr:colOff>
      <xdr:row>5</xdr:row>
      <xdr:rowOff>142876</xdr:rowOff>
    </xdr:to>
    <xdr:sp macro="" textlink="">
      <xdr:nvSpPr>
        <xdr:cNvPr id="7" name="Rectangle 6">
          <a:extLst>
            <a:ext uri="{FF2B5EF4-FFF2-40B4-BE49-F238E27FC236}">
              <a16:creationId xmlns:a16="http://schemas.microsoft.com/office/drawing/2014/main" id="{752C99EA-3016-48CC-AA92-916EE6CB1829}"/>
            </a:ext>
          </a:extLst>
        </xdr:cNvPr>
        <xdr:cNvSpPr/>
      </xdr:nvSpPr>
      <xdr:spPr>
        <a:xfrm>
          <a:off x="8686799" y="561976"/>
          <a:ext cx="2533651" cy="5334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lumMod val="95000"/>
                  <a:lumOff val="5000"/>
                </a:schemeClr>
              </a:solidFill>
            </a:rPr>
            <a:t>Max Sales</a:t>
          </a:r>
        </a:p>
      </xdr:txBody>
    </xdr:sp>
    <xdr:clientData/>
  </xdr:twoCellAnchor>
  <xdr:twoCellAnchor>
    <xdr:from>
      <xdr:col>1</xdr:col>
      <xdr:colOff>457200</xdr:colOff>
      <xdr:row>4</xdr:row>
      <xdr:rowOff>85725</xdr:rowOff>
    </xdr:from>
    <xdr:to>
      <xdr:col>3</xdr:col>
      <xdr:colOff>266700</xdr:colOff>
      <xdr:row>5</xdr:row>
      <xdr:rowOff>133351</xdr:rowOff>
    </xdr:to>
    <xdr:sp macro="" textlink="Sheet2!$A$2">
      <xdr:nvSpPr>
        <xdr:cNvPr id="8" name="Rectangle 7">
          <a:extLst>
            <a:ext uri="{FF2B5EF4-FFF2-40B4-BE49-F238E27FC236}">
              <a16:creationId xmlns:a16="http://schemas.microsoft.com/office/drawing/2014/main" id="{B301B36A-4FC0-49B7-BE6C-3997FD33DEFD}"/>
            </a:ext>
          </a:extLst>
        </xdr:cNvPr>
        <xdr:cNvSpPr/>
      </xdr:nvSpPr>
      <xdr:spPr>
        <a:xfrm>
          <a:off x="1066800" y="847725"/>
          <a:ext cx="1028700" cy="2381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E67D1B2-C8F1-49E9-A7BF-B3F13CBAB80D}" type="TxLink">
            <a:rPr lang="en-US" sz="1100" b="0" i="0" u="none" strike="noStrike">
              <a:solidFill>
                <a:srgbClr val="000000"/>
              </a:solidFill>
              <a:latin typeface="Calibri"/>
              <a:ea typeface="Calibri"/>
              <a:cs typeface="Calibri"/>
            </a:rPr>
            <a:pPr algn="l"/>
            <a:t>$2,787.25</a:t>
          </a:fld>
          <a:endParaRPr lang="en-IN" sz="1100"/>
        </a:p>
      </xdr:txBody>
    </xdr:sp>
    <xdr:clientData/>
  </xdr:twoCellAnchor>
  <xdr:twoCellAnchor>
    <xdr:from>
      <xdr:col>12</xdr:col>
      <xdr:colOff>371475</xdr:colOff>
      <xdr:row>4</xdr:row>
      <xdr:rowOff>66675</xdr:rowOff>
    </xdr:from>
    <xdr:to>
      <xdr:col>14</xdr:col>
      <xdr:colOff>114299</xdr:colOff>
      <xdr:row>5</xdr:row>
      <xdr:rowOff>123824</xdr:rowOff>
    </xdr:to>
    <xdr:sp macro="" textlink="Sheet2!E2">
      <xdr:nvSpPr>
        <xdr:cNvPr id="10" name="Rectangle 9">
          <a:extLst>
            <a:ext uri="{FF2B5EF4-FFF2-40B4-BE49-F238E27FC236}">
              <a16:creationId xmlns:a16="http://schemas.microsoft.com/office/drawing/2014/main" id="{0B1B960C-33E2-4369-9835-133AB06DF17C}"/>
            </a:ext>
          </a:extLst>
        </xdr:cNvPr>
        <xdr:cNvSpPr/>
      </xdr:nvSpPr>
      <xdr:spPr>
        <a:xfrm>
          <a:off x="7686675" y="828675"/>
          <a:ext cx="962024" cy="24764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82EBC6C-7AF6-4CE1-922E-DADE812802F5}" type="TxLink">
            <a:rPr lang="en-US" sz="1100" b="0" i="0" u="none" strike="noStrike">
              <a:solidFill>
                <a:srgbClr val="000000"/>
              </a:solidFill>
              <a:latin typeface="Calibri"/>
              <a:ea typeface="Calibri"/>
              <a:cs typeface="Calibri"/>
            </a:rPr>
            <a:pPr algn="l"/>
            <a:t>8</a:t>
          </a:fld>
          <a:endParaRPr lang="en-IN" sz="1100"/>
        </a:p>
      </xdr:txBody>
    </xdr:sp>
    <xdr:clientData/>
  </xdr:twoCellAnchor>
  <xdr:twoCellAnchor>
    <xdr:from>
      <xdr:col>16</xdr:col>
      <xdr:colOff>542924</xdr:colOff>
      <xdr:row>4</xdr:row>
      <xdr:rowOff>38099</xdr:rowOff>
    </xdr:from>
    <xdr:to>
      <xdr:col>18</xdr:col>
      <xdr:colOff>247647</xdr:colOff>
      <xdr:row>5</xdr:row>
      <xdr:rowOff>133350</xdr:rowOff>
    </xdr:to>
    <xdr:sp macro="" textlink="Sheet2!G2">
      <xdr:nvSpPr>
        <xdr:cNvPr id="11" name="Rectangle 10">
          <a:extLst>
            <a:ext uri="{FF2B5EF4-FFF2-40B4-BE49-F238E27FC236}">
              <a16:creationId xmlns:a16="http://schemas.microsoft.com/office/drawing/2014/main" id="{C80F9EB6-EFC4-4B05-BC84-6002E5A95563}"/>
            </a:ext>
          </a:extLst>
        </xdr:cNvPr>
        <xdr:cNvSpPr/>
      </xdr:nvSpPr>
      <xdr:spPr>
        <a:xfrm>
          <a:off x="10296524" y="800099"/>
          <a:ext cx="923923" cy="2857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54C795B-38C8-4BB6-B4E6-2FE1CC0FBD6F}" type="TxLink">
            <a:rPr lang="en-US" sz="1100" b="0" i="0" u="none" strike="noStrike">
              <a:solidFill>
                <a:srgbClr val="000000"/>
              </a:solidFill>
              <a:latin typeface="Calibri"/>
              <a:ea typeface="Calibri"/>
              <a:cs typeface="Calibri"/>
            </a:rPr>
            <a:pPr algn="l"/>
            <a:t>$1,439.98</a:t>
          </a:fld>
          <a:endParaRPr lang="en-IN" sz="1100"/>
        </a:p>
      </xdr:txBody>
    </xdr:sp>
    <xdr:clientData/>
  </xdr:twoCellAnchor>
  <xdr:twoCellAnchor>
    <xdr:from>
      <xdr:col>5</xdr:col>
      <xdr:colOff>257175</xdr:colOff>
      <xdr:row>4</xdr:row>
      <xdr:rowOff>57149</xdr:rowOff>
    </xdr:from>
    <xdr:to>
      <xdr:col>6</xdr:col>
      <xdr:colOff>552449</xdr:colOff>
      <xdr:row>5</xdr:row>
      <xdr:rowOff>152400</xdr:rowOff>
    </xdr:to>
    <xdr:sp macro="" textlink="Sheet2!$C$2">
      <xdr:nvSpPr>
        <xdr:cNvPr id="12" name="Rectangle 11">
          <a:extLst>
            <a:ext uri="{FF2B5EF4-FFF2-40B4-BE49-F238E27FC236}">
              <a16:creationId xmlns:a16="http://schemas.microsoft.com/office/drawing/2014/main" id="{F47BDD49-7D6F-4A15-9079-542EA20E0CB3}"/>
            </a:ext>
          </a:extLst>
        </xdr:cNvPr>
        <xdr:cNvSpPr/>
      </xdr:nvSpPr>
      <xdr:spPr>
        <a:xfrm>
          <a:off x="3305175" y="819149"/>
          <a:ext cx="904874" cy="2857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CA437D7-19A4-4AD2-AFD9-198EFBA4C8F0}" type="TxLink">
            <a:rPr lang="en-US" sz="1100" b="0" i="0" u="none" strike="noStrike">
              <a:solidFill>
                <a:srgbClr val="000000"/>
              </a:solidFill>
              <a:latin typeface="Calibri"/>
              <a:ea typeface="Calibri"/>
              <a:cs typeface="Calibri"/>
            </a:rPr>
            <a:pPr algn="l"/>
            <a:t>$348.41</a:t>
          </a:fld>
          <a:endParaRPr lang="en-IN" sz="1100"/>
        </a:p>
      </xdr:txBody>
    </xdr:sp>
    <xdr:clientData/>
  </xdr:twoCellAnchor>
  <xdr:twoCellAnchor editAs="oneCell">
    <xdr:from>
      <xdr:col>18</xdr:col>
      <xdr:colOff>276225</xdr:colOff>
      <xdr:row>2</xdr:row>
      <xdr:rowOff>180975</xdr:rowOff>
    </xdr:from>
    <xdr:to>
      <xdr:col>21</xdr:col>
      <xdr:colOff>190500</xdr:colOff>
      <xdr:row>9</xdr:row>
      <xdr:rowOff>9525</xdr:rowOff>
    </xdr:to>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862AAB73-50E4-4EC6-B714-7109F0F1156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249025" y="561975"/>
              <a:ext cx="1743075"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269630</xdr:colOff>
      <xdr:row>23</xdr:row>
      <xdr:rowOff>57150</xdr:rowOff>
    </xdr:from>
    <xdr:to>
      <xdr:col>21</xdr:col>
      <xdr:colOff>180975</xdr:colOff>
      <xdr:row>42</xdr:row>
      <xdr:rowOff>76200</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10FAC87A-0B41-42CC-9636-C8196D7E52B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242430" y="4438650"/>
              <a:ext cx="1740145" cy="3638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283343</xdr:colOff>
      <xdr:row>15</xdr:row>
      <xdr:rowOff>57151</xdr:rowOff>
    </xdr:from>
    <xdr:to>
      <xdr:col>21</xdr:col>
      <xdr:colOff>180975</xdr:colOff>
      <xdr:row>23</xdr:row>
      <xdr:rowOff>38101</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4C638C1F-6201-439F-A970-1C52A11A1D7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256143" y="2914651"/>
              <a:ext cx="1726432"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283343</xdr:colOff>
      <xdr:row>9</xdr:row>
      <xdr:rowOff>1</xdr:rowOff>
    </xdr:from>
    <xdr:to>
      <xdr:col>21</xdr:col>
      <xdr:colOff>200025</xdr:colOff>
      <xdr:row>15</xdr:row>
      <xdr:rowOff>38100</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7B80F666-744D-4177-B2B9-57CF29EC1AC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256143" y="1714501"/>
              <a:ext cx="1745482"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19049</xdr:colOff>
      <xdr:row>5</xdr:row>
      <xdr:rowOff>171450</xdr:rowOff>
    </xdr:from>
    <xdr:to>
      <xdr:col>8</xdr:col>
      <xdr:colOff>381000</xdr:colOff>
      <xdr:row>21</xdr:row>
      <xdr:rowOff>9526</xdr:rowOff>
    </xdr:to>
    <xdr:graphicFrame macro="">
      <xdr:nvGraphicFramePr>
        <xdr:cNvPr id="17" name="Chart 16">
          <a:extLst>
            <a:ext uri="{FF2B5EF4-FFF2-40B4-BE49-F238E27FC236}">
              <a16:creationId xmlns:a16="http://schemas.microsoft.com/office/drawing/2014/main" id="{F8487C7C-F926-4BDA-8514-791774270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419100</xdr:colOff>
      <xdr:row>5</xdr:row>
      <xdr:rowOff>152400</xdr:rowOff>
    </xdr:from>
    <xdr:to>
      <xdr:col>18</xdr:col>
      <xdr:colOff>257175</xdr:colOff>
      <xdr:row>31</xdr:row>
      <xdr:rowOff>121208</xdr:rowOff>
    </xdr:to>
    <xdr:graphicFrame macro="">
      <xdr:nvGraphicFramePr>
        <xdr:cNvPr id="18" name="Chart 17">
          <a:extLst>
            <a:ext uri="{FF2B5EF4-FFF2-40B4-BE49-F238E27FC236}">
              <a16:creationId xmlns:a16="http://schemas.microsoft.com/office/drawing/2014/main" id="{8EDA1D28-F7ED-4104-8B1F-5ED504F17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9526</xdr:colOff>
      <xdr:row>20</xdr:row>
      <xdr:rowOff>190499</xdr:rowOff>
    </xdr:from>
    <xdr:to>
      <xdr:col>6</xdr:col>
      <xdr:colOff>114300</xdr:colOff>
      <xdr:row>42</xdr:row>
      <xdr:rowOff>39670</xdr:rowOff>
    </xdr:to>
    <xdr:graphicFrame macro="">
      <xdr:nvGraphicFramePr>
        <xdr:cNvPr id="19" name="Chart 18">
          <a:extLst>
            <a:ext uri="{FF2B5EF4-FFF2-40B4-BE49-F238E27FC236}">
              <a16:creationId xmlns:a16="http://schemas.microsoft.com/office/drawing/2014/main" id="{788C2D9B-A13E-406E-A2D0-3A7888887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390524</xdr:colOff>
      <xdr:row>5</xdr:row>
      <xdr:rowOff>171451</xdr:rowOff>
    </xdr:from>
    <xdr:to>
      <xdr:col>13</xdr:col>
      <xdr:colOff>409575</xdr:colOff>
      <xdr:row>20</xdr:row>
      <xdr:rowOff>171451</xdr:rowOff>
    </xdr:to>
    <xdr:graphicFrame macro="">
      <xdr:nvGraphicFramePr>
        <xdr:cNvPr id="20" name="Chart 19">
          <a:extLst>
            <a:ext uri="{FF2B5EF4-FFF2-40B4-BE49-F238E27FC236}">
              <a16:creationId xmlns:a16="http://schemas.microsoft.com/office/drawing/2014/main" id="{3B8A45F4-9842-45D6-8738-001508A40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123825</xdr:colOff>
      <xdr:row>21</xdr:row>
      <xdr:rowOff>0</xdr:rowOff>
    </xdr:from>
    <xdr:to>
      <xdr:col>13</xdr:col>
      <xdr:colOff>428625</xdr:colOff>
      <xdr:row>42</xdr:row>
      <xdr:rowOff>57150</xdr:rowOff>
    </xdr:to>
    <xdr:graphicFrame macro="">
      <xdr:nvGraphicFramePr>
        <xdr:cNvPr id="22" name="Chart 21">
          <a:extLst>
            <a:ext uri="{FF2B5EF4-FFF2-40B4-BE49-F238E27FC236}">
              <a16:creationId xmlns:a16="http://schemas.microsoft.com/office/drawing/2014/main" id="{ECCFEA7D-6DB7-4B4B-83F0-750F62D9F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57151</xdr:colOff>
      <xdr:row>42</xdr:row>
      <xdr:rowOff>47626</xdr:rowOff>
    </xdr:from>
    <xdr:to>
      <xdr:col>9</xdr:col>
      <xdr:colOff>304800</xdr:colOff>
      <xdr:row>57</xdr:row>
      <xdr:rowOff>0</xdr:rowOff>
    </xdr:to>
    <xdr:graphicFrame macro="">
      <xdr:nvGraphicFramePr>
        <xdr:cNvPr id="23" name="Chart 22">
          <a:extLst>
            <a:ext uri="{FF2B5EF4-FFF2-40B4-BE49-F238E27FC236}">
              <a16:creationId xmlns:a16="http://schemas.microsoft.com/office/drawing/2014/main" id="{8899BC10-68CE-4FEC-95A4-ED8343EAC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419099</xdr:colOff>
      <xdr:row>31</xdr:row>
      <xdr:rowOff>142875</xdr:rowOff>
    </xdr:from>
    <xdr:to>
      <xdr:col>18</xdr:col>
      <xdr:colOff>314324</xdr:colOff>
      <xdr:row>42</xdr:row>
      <xdr:rowOff>66675</xdr:rowOff>
    </xdr:to>
    <xdr:graphicFrame macro="">
      <xdr:nvGraphicFramePr>
        <xdr:cNvPr id="25" name="Chart 24">
          <a:extLst>
            <a:ext uri="{FF2B5EF4-FFF2-40B4-BE49-F238E27FC236}">
              <a16:creationId xmlns:a16="http://schemas.microsoft.com/office/drawing/2014/main" id="{1829C162-D994-46CF-A8D1-35FDF1C5F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314325</xdr:colOff>
      <xdr:row>42</xdr:row>
      <xdr:rowOff>66675</xdr:rowOff>
    </xdr:from>
    <xdr:to>
      <xdr:col>18</xdr:col>
      <xdr:colOff>342900</xdr:colOff>
      <xdr:row>57</xdr:row>
      <xdr:rowOff>0</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6512C865-B946-4C64-8482-933EFA4B3C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800725" y="8067675"/>
              <a:ext cx="5514975" cy="27908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581025</xdr:colOff>
      <xdr:row>2</xdr:row>
      <xdr:rowOff>171451</xdr:rowOff>
    </xdr:from>
    <xdr:to>
      <xdr:col>10</xdr:col>
      <xdr:colOff>361951</xdr:colOff>
      <xdr:row>5</xdr:row>
      <xdr:rowOff>171451</xdr:rowOff>
    </xdr:to>
    <xdr:sp macro="" textlink="">
      <xdr:nvSpPr>
        <xdr:cNvPr id="30" name="Rectangle 29">
          <a:extLst>
            <a:ext uri="{FF2B5EF4-FFF2-40B4-BE49-F238E27FC236}">
              <a16:creationId xmlns:a16="http://schemas.microsoft.com/office/drawing/2014/main" id="{0BF015BE-3063-40D1-9B41-E28318BF41C6}"/>
            </a:ext>
          </a:extLst>
        </xdr:cNvPr>
        <xdr:cNvSpPr/>
      </xdr:nvSpPr>
      <xdr:spPr>
        <a:xfrm>
          <a:off x="4238625" y="552451"/>
          <a:ext cx="2219326" cy="571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95000"/>
                  <a:lumOff val="5000"/>
                </a:schemeClr>
              </a:solidFill>
            </a:rPr>
            <a:t>Min Sale</a:t>
          </a:r>
        </a:p>
      </xdr:txBody>
    </xdr:sp>
    <xdr:clientData/>
  </xdr:twoCellAnchor>
  <xdr:twoCellAnchor>
    <xdr:from>
      <xdr:col>9</xdr:col>
      <xdr:colOff>47625</xdr:colOff>
      <xdr:row>4</xdr:row>
      <xdr:rowOff>47625</xdr:rowOff>
    </xdr:from>
    <xdr:to>
      <xdr:col>10</xdr:col>
      <xdr:colOff>342899</xdr:colOff>
      <xdr:row>5</xdr:row>
      <xdr:rowOff>142876</xdr:rowOff>
    </xdr:to>
    <xdr:sp macro="" textlink="Sheet2!$D$28">
      <xdr:nvSpPr>
        <xdr:cNvPr id="31" name="Rectangle 30">
          <a:extLst>
            <a:ext uri="{FF2B5EF4-FFF2-40B4-BE49-F238E27FC236}">
              <a16:creationId xmlns:a16="http://schemas.microsoft.com/office/drawing/2014/main" id="{D1772C92-5F77-49D2-8B5C-A827BA8D71E2}"/>
            </a:ext>
          </a:extLst>
        </xdr:cNvPr>
        <xdr:cNvSpPr/>
      </xdr:nvSpPr>
      <xdr:spPr>
        <a:xfrm>
          <a:off x="5534025" y="809625"/>
          <a:ext cx="904874" cy="2857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8C78A5B-62CC-4323-925D-91A8C0C11C2F}" type="TxLink">
            <a:rPr lang="en-US" sz="1100" b="0" i="0" u="none" strike="noStrike">
              <a:solidFill>
                <a:srgbClr val="000000"/>
              </a:solidFill>
              <a:latin typeface="Calibri"/>
              <a:ea typeface="Calibri"/>
              <a:cs typeface="Calibri"/>
            </a:rPr>
            <a:pPr algn="l"/>
            <a:t>$12.99</a:t>
          </a:fld>
          <a:endParaRPr lang="en-IN" sz="1100"/>
        </a:p>
      </xdr:txBody>
    </xdr:sp>
    <xdr:clientData/>
  </xdr:twoCellAnchor>
  <xdr:twoCellAnchor editAs="oneCell">
    <xdr:from>
      <xdr:col>22</xdr:col>
      <xdr:colOff>219075</xdr:colOff>
      <xdr:row>7</xdr:row>
      <xdr:rowOff>104775</xdr:rowOff>
    </xdr:from>
    <xdr:to>
      <xdr:col>25</xdr:col>
      <xdr:colOff>219075</xdr:colOff>
      <xdr:row>20</xdr:row>
      <xdr:rowOff>152400</xdr:rowOff>
    </xdr:to>
    <mc:AlternateContent xmlns:mc="http://schemas.openxmlformats.org/markup-compatibility/2006" xmlns:a14="http://schemas.microsoft.com/office/drawing/2010/main">
      <mc:Choice Requires="a14">
        <xdr:graphicFrame macro="">
          <xdr:nvGraphicFramePr>
            <xdr:cNvPr id="13" name="Year 1">
              <a:extLst>
                <a:ext uri="{FF2B5EF4-FFF2-40B4-BE49-F238E27FC236}">
                  <a16:creationId xmlns:a16="http://schemas.microsoft.com/office/drawing/2014/main" id="{44BE04D7-FD01-4856-B014-2387B725CB9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630275" y="1438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174.747876157409" createdVersion="4" refreshedVersion="8" minRefreshableVersion="3" recordCount="793" xr:uid="{00000000-000A-0000-FFFF-FFFF08000000}">
  <cacheSource type="worksheet">
    <worksheetSource ref="A1:V794" sheet="Sales"/>
  </cacheSource>
  <cacheFields count="22">
    <cacheField name="Row ID" numFmtId="0">
      <sharedItems containsSemiMixedTypes="0" containsString="0" containsNumber="1" containsInteger="1" minValue="1" maxValue="9797"/>
    </cacheField>
    <cacheField name="Order ID" numFmtId="14">
      <sharedItems/>
    </cacheField>
    <cacheField name="Order Date" numFmtId="14">
      <sharedItems containsSemiMixedTypes="0" containsNonDate="0" containsDate="1" containsString="0" minDate="2015-01-03T00:00:00" maxDate="2018-12-23T00:00:00"/>
    </cacheField>
    <cacheField name="Ship Date" numFmtId="14">
      <sharedItems containsSemiMixedTypes="0" containsNonDate="0" containsDate="1" containsString="0" minDate="2015-01-07T00:00:00" maxDate="2018-12-25T00:00:00"/>
    </cacheField>
    <cacheField name="Year" numFmtId="0">
      <sharedItems containsSemiMixedTypes="0" containsString="0" containsNumber="1" containsInteger="1" minValue="2015" maxValue="2018" count="4">
        <n v="2015"/>
        <n v="2016"/>
        <n v="2017"/>
        <n v="2018"/>
      </sharedItems>
    </cacheField>
    <cacheField name="Month" numFmtId="14">
      <sharedItems count="12">
        <s v="Jan"/>
        <s v="May"/>
        <s v="Feb"/>
        <s v="Aug"/>
        <s v="Sep"/>
        <s v="Oct"/>
        <s v="Nov"/>
        <s v="Dec"/>
        <s v="Mar"/>
        <s v="Apr"/>
        <s v="Jul"/>
        <s v="Jun"/>
      </sharedItems>
    </cacheField>
    <cacheField name="Month Number" numFmtId="0">
      <sharedItems containsMixedTypes="1" containsNumber="1" containsInteger="1" minValue="1" maxValue="12"/>
    </cacheField>
    <cacheField name="Ship Duration" numFmtId="0">
      <sharedItems containsSemiMixedTypes="0" containsString="0" containsNumber="1" containsInteger="1" minValue="0" maxValue="7"/>
    </cacheField>
    <cacheField name="Ship Mode" numFmtId="0">
      <sharedItems/>
    </cacheField>
    <cacheField name="Customer ID" numFmtId="0">
      <sharedItems/>
    </cacheField>
    <cacheField name="Customer Name" numFmtId="0">
      <sharedItems count="793">
        <s v="Melanie Seite"/>
        <s v="Seth Vernon"/>
        <s v="Anthony Jacobs"/>
        <s v="Erica Hackney"/>
        <s v="Andrew Roberts"/>
        <s v="Natalie Fritzler"/>
        <s v="Guy Armstrong"/>
        <s v="Troy Blackwell"/>
        <s v="Bradley Drucker"/>
        <s v="Ivan Liston"/>
        <s v="Katherine Ducich"/>
        <s v="Allen Goldenen"/>
        <s v="Denny Ordway"/>
        <s v="Tracy Collins"/>
        <s v="Resi PÃ¶lking"/>
        <s v="Joe Kamberova"/>
        <s v="Matt Connell"/>
        <s v="Anna Andreadi"/>
        <s v="Filia McAdams"/>
        <s v="Scott Williamson"/>
        <s v="Kelly Andreada"/>
        <s v="Chloris Kastensmidt"/>
        <s v="Cari Schnelling"/>
        <s v="Andrew Allen"/>
        <s v="Jack Lebron"/>
        <s v="Clay Ludtke"/>
        <s v="Mathew Reese"/>
        <s v="David Philippe"/>
        <s v="Matt Collins"/>
        <s v="Pauline Chand"/>
        <s v="Jay Kimmel"/>
        <s v="Jim Mitchum"/>
        <s v="Sanjit Engle"/>
        <s v="Gary Mitchum"/>
        <s v="Kean Nguyen"/>
        <s v="Michelle Moray"/>
        <s v="Hallie Redmond"/>
        <s v="Vicky Freymann"/>
        <s v="Shahid Collister"/>
        <s v="Mary Zewe"/>
        <s v="Joni Sundaresam"/>
        <s v="Nat Carroll"/>
        <s v="Laurel Workman"/>
        <s v="Dan Campbell"/>
        <s v="Barbara Fisher"/>
        <s v="Bruce Stewart"/>
        <s v="Gary Hansen"/>
        <s v="Larry Tron"/>
        <s v="Lena Hernandez"/>
        <s v="Justin MacKendrick"/>
        <s v="Neil FranzÃ¶sisch"/>
        <s v="Erin Smith"/>
        <s v="Natalie DeCherney"/>
        <s v="Ken Heidel"/>
        <s v="Daniel Lacy"/>
        <s v="Deirdre Greer"/>
        <s v="Denise Monton"/>
        <s v="Barry Gonzalez"/>
        <s v="Toby Ritter"/>
        <s v="Art Foster"/>
        <s v="Patrick Gardner"/>
        <s v="Arianne Irving"/>
        <s v="Greg Matthias"/>
        <s v="Harold Dahlen"/>
        <s v="Hunter Lopez"/>
        <s v="Alejandro Grove"/>
        <s v="Paul Gonzalez"/>
        <s v="Victoria Wilson"/>
        <s v="Raymond Messe"/>
        <s v="Brooke Gillingham"/>
        <s v="Aaron Hawkins"/>
        <s v="Bradley Talbott"/>
        <s v="Cynthia Delaney"/>
        <s v="Tom Boeckenhauer"/>
        <s v="Dave Brooks"/>
        <s v="Kunst Miller"/>
        <s v="Katharine Harms"/>
        <s v="Sam Craven"/>
        <s v="Dianna Wilson"/>
        <s v="Corey Roper"/>
        <s v="Liz Thompson"/>
        <s v="Quincy Jones"/>
        <s v="Stewart Visinsky"/>
        <s v="Dorris liebe"/>
        <s v="Eric Hoffmann"/>
        <s v="Ann Steele"/>
        <s v="Chris Cortes"/>
        <s v="Keith Herrera"/>
        <s v="Roger Demir"/>
        <s v="Liz Carlisle"/>
        <s v="Julie Kriz"/>
        <s v="Shahid Hopkins"/>
        <s v="Michael Dominguez"/>
        <s v="Matthew Clasen"/>
        <s v="Rick Duston"/>
        <s v="Carl Weiss"/>
        <s v="Thomas Seio"/>
        <s v="Carlos Soltero"/>
        <s v="Brosina Hoffman"/>
        <s v="Heather Kirkland"/>
        <s v="Chuck Magee"/>
        <s v="Darren Powers"/>
        <s v="Giulietta Weimer"/>
        <s v="Ashley Jarboe"/>
        <s v="Eva Jacobs"/>
        <s v="Tracy Hopkins"/>
        <s v="John Grady"/>
        <s v="Ruben Dartt"/>
        <s v="Valerie Mitchum"/>
        <s v="Bill Shonely"/>
        <s v="Giulietta Dortch"/>
        <s v="Christine Kargatis"/>
        <s v="Steven Cartwright"/>
        <s v="Ross Baird"/>
        <s v="Katrina Edelman"/>
        <s v="Ricardo Sperren"/>
        <s v="Christina VanderZanden"/>
        <s v="Andy Gerbode"/>
        <s v="Sanjit Chand"/>
        <s v="Patrick Ryan"/>
        <s v="Russell D'Ascenzo"/>
        <s v="Russell Applegate"/>
        <s v="Patrick O'Brill"/>
        <s v="Steven Ward"/>
        <s v="Speros Goranitis"/>
        <s v="Stephanie Phelps"/>
        <s v="Toby Braunhardt"/>
        <s v="Katherine Nockton"/>
        <s v="Odella Nelson"/>
        <s v="Nona Balk"/>
        <s v="Joni Blumstein"/>
        <s v="Darrin Sayre"/>
        <s v="Michael Nguyen"/>
        <s v="Brian Moss"/>
        <s v="Laura Armstrong"/>
        <s v="Mark Hamilton"/>
        <s v="Max Engle"/>
        <s v="Ben Ferrer"/>
        <s v="Paul Van Hugh"/>
        <s v="Alyssa Crouse"/>
        <s v="Shirley Schmidt"/>
        <s v="Phillina Ober"/>
        <s v="Lycoris Saunders"/>
        <s v="Deborah Brumfield"/>
        <s v="Mark Haberlin"/>
        <s v="Kristina Nunn"/>
        <s v="Anne Pryor"/>
        <s v="Jill Stevenson"/>
        <s v="Aimee Bixby"/>
        <s v="Aaron Bergman"/>
        <s v="Rob Dowd"/>
        <s v="Anna HÃ¤berlin"/>
        <s v="Ken Black"/>
        <s v="Shirley Daniels"/>
        <s v="Paul MacIntyre"/>
        <s v="Emily Burns"/>
        <s v="Michael Chen"/>
        <s v="Don Miller"/>
        <s v="Emily Phan"/>
        <s v="Nick Zandusky"/>
        <s v="Berenike Kampe"/>
        <s v="Marina Lichtenstein"/>
        <s v="Bryan Mills"/>
        <s v="Beth Paige"/>
        <s v="Allen Rosenblatt"/>
        <s v="David Flashing"/>
        <s v="Alice McCarthy"/>
        <s v="Jack Garza"/>
        <s v="Suzanne McNair"/>
        <s v="Jack O'Briant"/>
        <s v="Paul Lucas"/>
        <s v="Maxwell Schwartz"/>
        <s v="Annie Thurman"/>
        <s v="MaryBeth Skach"/>
        <s v="Cathy Prescott"/>
        <s v="Luke Foster"/>
        <s v="Roland Schwarz"/>
        <s v="Erica Hernandez"/>
        <s v="Matthew Grinstein"/>
        <s v="Joseph Holt"/>
        <s v="Maria Bertelson"/>
        <s v="Gene McClure"/>
        <s v="Lena Radford"/>
        <s v="Emily Ducich"/>
        <s v="Ken Lonsdale"/>
        <s v="Charles Sheldon"/>
        <s v="Ben Wallace"/>
        <s v="Duane Huffman"/>
        <s v="Eric Barreto"/>
        <s v="Neil Ducich"/>
        <s v="Paul Knutson"/>
        <s v="Maurice Satty"/>
        <s v="Greg Maxwell"/>
        <s v="Peter Fuller"/>
        <s v="Mark Packer"/>
        <s v="Bobby Trafton"/>
        <s v="Valerie Dominguez"/>
        <s v="Chad Sievert"/>
        <s v="Victoria Pisteka"/>
        <s v="Sara Luxemburg"/>
        <s v="Joy Daniels"/>
        <s v="Nathan Mautz"/>
        <s v="Tamara Chand"/>
        <s v="Elizabeth Moffitt"/>
        <s v="Nathan Gelder"/>
        <s v="David Kendrick"/>
        <s v="Erin Ashbrook"/>
        <s v="Sean Braxton"/>
        <s v="Dennis Kane"/>
        <s v="Rick Bensley"/>
        <s v="Lisa Hazard"/>
        <s v="Ted Trevino"/>
        <s v="Paul Prost"/>
        <s v="Toby Swindell"/>
        <s v="Sandra Flanagan"/>
        <s v="Shahid Shariari"/>
        <s v="Marc Crier"/>
        <s v="Logan Currie"/>
        <s v="Dianna Arnett"/>
        <s v="Kean Takahito"/>
        <s v="Liz Willingham"/>
        <s v="Pete Takahito"/>
        <s v="Brad Norvell"/>
        <s v="Luke Weiss"/>
        <s v="Tom Ashbrook"/>
        <s v="Astrea Jones"/>
        <s v="Maria Etezadi"/>
        <s v="Delfina Latchford"/>
        <s v="Chris Selesnick"/>
        <s v="Guy Phonely"/>
        <s v="Frank Hawley"/>
        <s v="Pauline Johnson"/>
        <s v="Nathan Cano"/>
        <s v="Harold Pawlan"/>
        <s v="Kean Thornton"/>
        <s v="Valerie Takahito"/>
        <s v="Bart Pistole"/>
        <s v="Michelle Huthwaite"/>
        <s v="Vivek Gonzalez"/>
        <s v="Nora Preis"/>
        <s v="Brian Derr"/>
        <s v="Xylona Preis"/>
        <s v="Tanja Norvell"/>
        <s v="Richard Bierner"/>
        <s v="Fred Chung"/>
        <s v="Sam Zeldin"/>
        <s v="Deanra Eno"/>
        <s v="Steven Roelle"/>
        <s v="Maribeth Dona"/>
        <s v="Brendan Sweed"/>
        <s v="Rob Lucas"/>
        <s v="Frank Preis"/>
        <s v="Jim Karlsson"/>
        <s v="Duane Noonan"/>
        <s v="Helen Andreada"/>
        <s v="Shirley Jackson"/>
        <s v="Jill Fjeld"/>
        <s v="Dorothy Badders"/>
        <s v="Alan Shonely"/>
        <s v="Dean percer"/>
        <s v="Barry Pond"/>
        <s v="Anna Chung"/>
        <s v="Nicole Brennan"/>
        <s v="Nora Pelletier"/>
        <s v="Steve Nguyen"/>
        <s v="Grant Thornton"/>
        <s v="Nick Radford"/>
        <s v="Frank Olsen"/>
        <s v="Dennis Pardue"/>
        <s v="John Lee"/>
        <s v="Sonia Sunley"/>
        <s v="Roland Fjeld"/>
        <s v="Trudy Brown"/>
        <s v="Tamara Manning"/>
        <s v="Karen Carlisle"/>
        <s v="Nicole Fjeld"/>
        <s v="William Brown"/>
        <s v="Tiffany House"/>
        <s v="Jeremy Pistek"/>
        <s v="Ryan Crowe"/>
        <s v="Benjamin Farhat"/>
        <s v="Tracy Zic"/>
        <s v="Karen Daniels"/>
        <s v="Tom Stivers"/>
        <s v="Joseph Airdo"/>
        <s v="Darren Budd"/>
        <s v="Pete Kriz"/>
        <s v="Arthur Prichep"/>
        <s v="Randy Bradley"/>
        <s v="Georgia Rosenberg"/>
        <s v="Mick Brown"/>
        <s v="Vivek Sundaresam"/>
        <s v="Cyma Kinney"/>
        <s v="Craig Molinari"/>
        <s v="Scott Cohen"/>
        <s v="Andy Yotov"/>
        <s v="Ruben Ausman"/>
        <s v="John Stevenson"/>
        <s v="Carol Triggs"/>
        <s v="Sarah Bern"/>
        <s v="David Wiener"/>
        <s v="Becky Castell"/>
        <s v="Ed Braxton"/>
        <s v="Gary Zandusky"/>
        <s v="Matt Abelman"/>
        <s v="Lisa Ryan"/>
        <s v="Becky Martin"/>
        <s v="Stefania Perrino"/>
        <s v="Rick Reed"/>
        <s v="Maribeth Schnelling"/>
        <s v="Roy FranzÃ¶sisch"/>
        <s v="Roy Collins"/>
        <s v="Craig Yedwab"/>
        <s v="Thomas Boland"/>
        <s v="Tim Brockman"/>
        <s v="Dario Medina"/>
        <s v="Sally Hughsby"/>
        <s v="Denny Joy"/>
        <s v="Sally Matthias"/>
        <s v="Logan Haushalter"/>
        <s v="Philip Brown"/>
        <s v="Stefanie Holloman"/>
        <s v="Ricardo Emerson"/>
        <s v="Craig Carroll"/>
        <s v="Michael Moore"/>
        <s v="Cindy Schnelling"/>
        <s v="Shui Tom"/>
        <s v="Tracy Poddar"/>
        <s v="Kelly Collister"/>
        <s v="Neoma Murray"/>
        <s v="Trudy Schmidt"/>
        <s v="Dave Hallsten"/>
        <s v="Henry MacAllister"/>
        <s v="Justin Hirsh"/>
        <s v="Anthony Rawles"/>
        <s v="Evan Bailliet"/>
        <s v="Jeremy Ellison"/>
        <s v="Harold Ryan"/>
        <s v="Claudia Bergmann"/>
        <s v="Rick Wilson"/>
        <s v="Lauren Leatherbury"/>
        <s v="Frank Atkinson"/>
        <s v="Doug Bickford"/>
        <s v="Robert Marley"/>
        <s v="Mick Crebagga"/>
        <s v="Ivan Gibson"/>
        <s v="Andy Reiter"/>
        <s v="Heather Jas"/>
        <s v="Eugene Hildebrand"/>
        <s v="Allen Armold"/>
        <s v="David Bremer"/>
        <s v="Brad Eason"/>
        <s v="Eric Murdock"/>
        <s v="Sheri Gordon"/>
        <s v="Jeremy Farry"/>
        <s v="Emily Grady"/>
        <s v="Fred Hopkins"/>
        <s v="Tamara Willingham"/>
        <s v="Natalie Webber"/>
        <s v="Alan Barnes"/>
        <s v="Paul Stevenson"/>
        <s v="Cindy Stewart"/>
        <s v="Annie Zypern"/>
        <s v="James Galang"/>
        <s v="Michelle Ellison"/>
        <s v="Dave Kipp"/>
        <s v="Jennifer Ferguson"/>
        <s v="Lena Cacioppo"/>
        <s v="Rob Haberlin"/>
        <s v="Corey-Lock"/>
        <s v="Darren Koutras"/>
        <s v="Shaun Chance"/>
        <s v="Michael Paige"/>
        <s v="Jas O'Carroll"/>
        <s v="Beth Thompson"/>
        <s v="Lindsay Castell"/>
        <s v="Stephanie Ulpright"/>
        <s v="Anthony Garverick"/>
        <s v="Max Jones"/>
        <s v="Brian Dahlen"/>
        <s v="Jonathan Howell"/>
        <s v="Giulietta Baptist"/>
        <s v="Laurel Elliston"/>
        <s v="Benjamin Venier"/>
        <s v="Pauline Webber"/>
        <s v="Pete Armstrong"/>
        <s v="Alan Haines"/>
        <s v="Michael Oakman"/>
        <s v="Cari Sayre"/>
        <s v="John Lucas"/>
        <s v="Jennifer Braxton"/>
        <s v="Noah Childs"/>
        <s v="Mike Gockenbach"/>
        <s v="John Huston"/>
        <s v="David Smith"/>
        <s v="Christopher Schild"/>
        <s v="Alex Avila"/>
        <s v="Scot Wooten"/>
        <s v="Barry Blumstein"/>
        <s v="Corinna Mitchell"/>
        <s v="Keith Dawkins"/>
        <s v="Dean Katz"/>
        <s v="Bill Stewart"/>
        <s v="Pierre Wener"/>
        <s v="Rose O'Brian"/>
        <s v="Mike Pelletier"/>
        <s v="Kristen Hastings"/>
        <s v="Clytie Kelty"/>
        <s v="Sylvia Foulston"/>
        <s v="Amy Hunt"/>
        <s v="Lori Olson"/>
        <s v="Julia Barnett"/>
        <s v="Catherine Glotzbach"/>
        <s v="Alan Dominguez"/>
        <s v="Julie Prescott"/>
        <s v="Darrin Martin"/>
        <s v="Kelly Williams"/>
        <s v="Daniel Raglin"/>
        <s v="Julie Creighton"/>
        <s v="Christine Sundaresam"/>
        <s v="Alyssa Tate"/>
        <s v="Jennifer Patt"/>
        <s v="Christy Brittain"/>
        <s v="Alejandro Ballentine"/>
        <s v="Ritsa Hightower"/>
        <s v="Bill Donatelli"/>
        <s v="Monica Federle"/>
        <s v="Barry Weirich"/>
        <s v="Andrew Gjertsen"/>
        <s v="Sarah Foster"/>
        <s v="Mike Vittorini"/>
        <s v="John Dryer"/>
        <s v="Frank Merwin"/>
        <s v="Alan Schoenberger"/>
        <s v="Becky Pak"/>
        <s v="Brenda Bowman"/>
        <s v="Eleni McCrary"/>
        <s v="Karl Braun"/>
        <s v="Bruce Degenhardt"/>
        <s v="Irene Maddox"/>
        <s v="Eudokia Martin"/>
        <s v="Arthur Gainer"/>
        <s v="Corey Catlett"/>
        <s v="Joel Jenkins"/>
        <s v="George Bell"/>
        <s v="Meg Tillman"/>
        <s v="Karen Bern"/>
        <s v="Charlotte Melton"/>
        <s v="Michael Stewart"/>
        <s v="Harry Marie"/>
        <s v="Matt Hagelstein"/>
        <s v="Alan Hwang"/>
        <s v="Chuck Clark"/>
        <s v="Edward Hooks"/>
        <s v="Alex Russell"/>
        <s v="Bobby Odegard"/>
        <s v="Craig Carreira"/>
        <s v="Skye Norling"/>
        <s v="James Lanier"/>
        <s v="Jennifer Jackson"/>
        <s v="Eugene Moren"/>
        <s v="Greg Guthrie"/>
        <s v="Thomas Thornton"/>
        <s v="Edward Becker"/>
        <s v="Victor Preis"/>
        <s v="Mitch Webber"/>
        <s v="Kalyca Meade"/>
        <s v="Rachel Payne"/>
        <s v="Denny Blanton"/>
        <s v="Sung Pak"/>
        <s v="Mike Caudle"/>
        <s v="Maria Zettner"/>
        <s v="Sean O'Donnell"/>
        <s v="Brian Thompson"/>
        <s v="Gene Hale"/>
        <s v="Sonia Cooley"/>
        <s v="Fred McMath"/>
        <s v="Ralph Kennedy"/>
        <s v="Damala Kotsonis"/>
        <s v="Toby Gnade"/>
        <s v="Carol Adams"/>
        <s v="Stuart Van"/>
        <s v="Trudy Glocke"/>
        <s v="Sarah Jordon"/>
        <s v="Noel Staavos"/>
        <s v="Cathy Armstrong"/>
        <s v="Charles Crestani"/>
        <s v="Christine Phan"/>
        <s v="Gary Hwang"/>
        <s v="Katherine Murray"/>
        <s v="Art Ferguson"/>
        <s v="Tonja Turnell"/>
        <s v="Stuart Calhoun"/>
        <s v="Doug O'Connell"/>
        <s v="Amy Cox"/>
        <s v="Duane Benoit"/>
        <s v="Adam Shillingsburg"/>
        <s v="Jesus Ocampo"/>
        <s v="Helen Abelman"/>
        <s v="Dianna Vittorini"/>
        <s v="Steve Chapman"/>
        <s v="Philisse Overcash"/>
        <s v="Yoseph Carroll"/>
        <s v="Eugene Barchas"/>
        <s v="Greg Hansen"/>
        <s v="Brian Stugart"/>
        <s v="Dana Kaydos"/>
        <s v="Anna Gayman"/>
        <s v="Maureen Gnade"/>
        <s v="Jim Epp"/>
        <s v="Todd Sumrall"/>
        <s v="Parhena Norris"/>
        <s v="Adrian Barton"/>
        <s v="Shaun Weien"/>
        <s v="Katrina Willman"/>
        <s v="Yana Sorensen"/>
        <s v="Henry Goldwyn"/>
        <s v="Ken Brennan"/>
        <s v="Naresj Patel"/>
        <s v="Cynthia Arntzen"/>
        <s v="Frank Carlisle"/>
        <s v="Julia West"/>
        <s v="Lena Creighton"/>
        <s v="Jonathan Doherty"/>
        <s v="Khloe Miller"/>
        <s v="Ryan Akin"/>
        <s v="Doug Jacobs"/>
        <s v="Jim Kriz"/>
        <s v="Sandra Glassco"/>
        <s v="Robert Barroso"/>
        <s v="Evan Minnotte"/>
        <s v="Jay Fein"/>
        <s v="Hunter Glantz"/>
        <s v="Joy Bell-"/>
        <s v="Carlos Meador"/>
        <s v="Cindy Chapman"/>
        <s v="Brian DeCherney"/>
        <s v="Justin Ritter"/>
        <s v="Phillip Breyer"/>
        <s v="Theresa Swint"/>
        <s v="Raymond Buch"/>
        <s v="Adam Bellavance"/>
        <s v="Laurel Beltran"/>
        <s v="Liz Preis"/>
        <s v="John Murray"/>
        <s v="Zuschuss Carroll"/>
        <s v="Rick Huthwaite"/>
        <s v="Maya Herman"/>
        <s v="Henia Zydlo"/>
        <s v="Herbert Flentye"/>
        <s v="Chris McAfee"/>
        <s v="Edward Nazzal"/>
        <s v="Barry FranzÃ¶sisch"/>
        <s v="Cynthia Voltz"/>
        <s v="Mary O'Rourke"/>
        <s v="Jeremy Lonsdale"/>
        <s v="Sean Wendt"/>
        <s v="Jason Fortune-"/>
        <s v="Daniel Byrd"/>
        <s v="Susan MacKendrick"/>
        <s v="Susan Gilcrest"/>
        <s v="Alex Grayson"/>
        <s v="Ralph Arnett"/>
        <s v="Joel Eaton"/>
        <s v="Carl Ludwig"/>
        <s v="Vivek Grady"/>
        <s v="Vivian Mathis"/>
        <s v="Jim Radford"/>
        <s v="Jason Gross"/>
        <s v="Don Weiss"/>
        <s v="Lindsay Williams"/>
        <s v="Guy Thornton"/>
        <s v="Linda Cazamias"/>
        <s v="Joe Elijah"/>
        <s v="Jamie Kunitz"/>
        <s v="Tim Taslimi"/>
        <s v="Phillip Flathmann"/>
        <s v="Elpida Rittenbach"/>
        <s v="Erica Smith"/>
        <s v="Olvera Toch"/>
        <s v="Stewart Carmichael"/>
        <s v="Darrin Van Huff"/>
        <s v="Craig Reiter"/>
        <s v="Lynn Smith"/>
        <s v="Jim Sink"/>
        <s v="Lela Donovan"/>
        <s v="Brendan Murry"/>
        <s v="Anthony Johnson"/>
        <s v="Christina Anderson"/>
        <s v="Muhammed Yedwab"/>
        <s v="Bryan Davis"/>
        <s v="Ross DeVincentis"/>
        <s v="Rob Beeghly"/>
        <s v="Fred Wasserman"/>
        <s v="Jamie Frazer"/>
        <s v="Aleksandra Gannaway"/>
        <s v="Theone Pippenger"/>
        <s v="Chad Cunningham"/>
        <s v="Dan Reichenbach"/>
        <s v="Anemone Ratner"/>
        <s v="Mark Cousins"/>
        <s v="Christine Abelman"/>
        <s v="Bill Overfelt"/>
        <s v="Ben Peterman"/>
        <s v="Tracy Blumstein"/>
        <s v="Randy Ferguson"/>
        <s v="Dan Lawera"/>
        <s v="Katherine Hughes"/>
        <s v="Max Ludwig"/>
        <s v="Bruce Geld"/>
        <s v="Alejandro Savely"/>
        <s v="Mike Kennedy"/>
        <s v="Caroline Jumper"/>
        <s v="Ellis Ballard"/>
        <s v="Liz MacKendrick"/>
        <s v="Michelle Tran"/>
        <s v="Anthony O'Donnell"/>
        <s v="Erica Bern"/>
        <s v="Bobby Elias"/>
        <s v="Zuschuss Donatelli"/>
        <s v="Evan Henry"/>
        <s v="Barry Franz"/>
        <s v="Scot Coram"/>
        <s v="Christopher Conant"/>
        <s v="Roy Phan"/>
        <s v="Jasper Cacioppo"/>
        <s v="Dean Braden"/>
        <s v="Dionis Lloyd"/>
        <s v="Patrick Jones"/>
        <s v="Maureen Fritzler"/>
        <s v="Kelly Lampkin"/>
        <s v="Gary McGarr"/>
        <s v="Justin Ellison"/>
        <s v="Matt Collister"/>
        <s v="Justin Deggeller"/>
        <s v="Michael Granlund"/>
        <s v="Michael Grace"/>
        <s v="Arthur Wiediger"/>
        <s v="Michelle Arnett"/>
        <s v="Lindsay Shagiari"/>
        <s v="Tony Chapman"/>
        <s v="Bart Watters"/>
        <s v="Peter McVee"/>
        <s v="Cathy Hwang"/>
        <s v="Rob Williams"/>
        <s v="Karen Ferguson"/>
        <s v="Brad Thomas"/>
        <s v="Janet Lee"/>
        <s v="Roy Skaria"/>
        <s v="Dorothy Wardle"/>
        <s v="Mark Van Huff"/>
        <s v="Troy Staebel"/>
        <s v="Sibella Parks"/>
        <s v="Claire Gute"/>
        <s v="Philip Fox"/>
        <s v="Debra Catini"/>
        <s v="Sung Chung"/>
        <s v="Liz Pelletier"/>
        <s v="Susan Pistek"/>
        <s v="Ionia McGrath"/>
        <s v="Adrian Shami"/>
        <s v="Sanjit Jacobs"/>
        <s v="Pamela Stobb"/>
        <s v="Thea Hendricks"/>
        <s v="Toby Carlisle"/>
        <s v="Thea Hudgings"/>
        <s v="Jill Matthias"/>
        <s v="Penelope Sewall"/>
        <s v="Lisa DeCherney"/>
        <s v="Pamela Coakley"/>
        <s v="Greg Tran"/>
        <s v="Dave Poirier"/>
        <s v="Janet Molinari"/>
        <s v="Erin Creighton"/>
        <s v="Benjamin Patterson"/>
        <s v="Steve Carroll"/>
        <s v="Thais Sissman"/>
        <s v="Carl Jackson"/>
        <s v="Neola Schneider"/>
        <s v="Susan Vittorini"/>
        <s v="Tom Prescott"/>
        <s v="Magdelene Morse"/>
        <s v="Nick Crebassa"/>
        <s v="Fred Harton"/>
        <s v="Mick Hernandez"/>
        <s v="Karen Seio"/>
        <s v="Candace McMahon"/>
        <s v="Marc Harrigan"/>
        <s v="Jason Klamczynski"/>
        <s v="Brendan Dodson"/>
        <s v="Tony Sayre"/>
        <s v="Larry Hughes"/>
        <s v="Nancy Lomonaco"/>
        <s v="Joy Smith"/>
        <s v="Mitch Gastineau"/>
        <s v="Dennis Bolton"/>
        <s v="Craig Leslie"/>
        <s v="Adam Hart"/>
        <s v="Janet Martin"/>
        <s v="Julia Dunbar"/>
        <s v="Sue Ann Reed"/>
        <s v="Adrian Hane"/>
        <s v="Bradley Nguyen"/>
        <s v="Nora Paige"/>
        <s v="Don Jones"/>
        <s v="Clay Rozendal"/>
        <s v="Clay Cheatham"/>
        <s v="Sean Christensen"/>
        <s v="Dorothy Dickinson"/>
        <s v="Angele Hood"/>
        <s v="George Ashbrook"/>
        <s v="Sung Shariari"/>
        <s v="Ann Chong"/>
        <s v="Katrina Bavinger"/>
        <s v="Helen Wasserman"/>
        <s v="Jane Waco"/>
        <s v="Chad McGuire"/>
        <s v="Patrick Bzostek"/>
        <s v="George Zrebassa"/>
        <s v="Sarah Brown"/>
        <s v="Luke Schmidt"/>
        <s v="Christopher Martinez"/>
        <s v="Richard Eichhorn"/>
        <s v="John Castell"/>
        <s v="Saphhira Shifley"/>
        <s v="Meg O'Connel"/>
        <s v="Erin Mull"/>
        <s v="Chuck Sachs"/>
        <s v="Aaron Smayling"/>
        <s v="Bill Eplett"/>
        <s v="Ted Butterfield"/>
        <s v="Frank Gastineau"/>
        <s v="Sharelle Roach"/>
        <s v="Kimberly Carter"/>
        <s v="Michael Kennedy"/>
        <s v="Sean Miller"/>
        <s v="Jenna Caffey"/>
        <s v="Cassandra Brandow"/>
        <s v="Ken Dana"/>
        <s v="Ed Jacobs"/>
        <s v="Bill Tyler"/>
        <s v="Anne McFarland"/>
        <s v="Michelle Lonsdale"/>
        <s v="Anthony Witt"/>
        <s v="Sample Company A"/>
        <s v="Juliana Krohn"/>
        <s v="Denise Leinenbach"/>
        <s v="Beth Fritzler"/>
        <s v="Peter BÃ¼hler"/>
        <s v="Maribeth Yedwab"/>
        <s v="Charles McCrossin"/>
        <s v="Bart Folk"/>
        <s v="Rick Hansen"/>
        <s v="Tony Molinari"/>
        <s v="Patrick O'Donnell"/>
        <s v="Robert Dilbeck"/>
        <s v="Grace Kelly"/>
        <s v="Robert Waldorf"/>
        <s v="Jessica Myrick"/>
        <s v="Theresa Coyne"/>
        <s v="Muhammed Lee"/>
        <s v="Maureen Gastineau"/>
        <s v="Linda Southworth"/>
        <s v="Christina DeMoss"/>
        <s v="Victoria Brennan"/>
        <s v="Carol Darley"/>
        <s v="Thomas Brumley"/>
        <s v="Neil Knudson"/>
        <s v="Ed Ludwig"/>
        <s v="Hilary Holden"/>
        <s v="Patricia Hirasaki"/>
        <s v="Jocasta Rupert"/>
        <s v="Roland Murray"/>
        <s v="Bryan Spruell"/>
        <s v="Todd Boyes"/>
        <s v="Muhammed MacIntyre"/>
        <s v="Maris LaWare"/>
        <s v="Ann Blume"/>
        <s v="Ralph Ritter"/>
        <s v="Mitch Willingham"/>
        <s v="Larry Blacks"/>
        <s v="Eileen Kiefer"/>
        <s v="Carlos Daly"/>
        <s v="Jennifer Halladay"/>
        <s v="Nicole Hansen"/>
        <s v="Tamara Dahlen"/>
        <s v="Harold Engle"/>
        <s v="Joni Wasserman"/>
        <s v="Cyra Reiten"/>
        <s v="Roger Barcio"/>
        <s v="Harry Greene"/>
        <s v="Nat Gilpin"/>
        <s v="Sally Knutson"/>
      </sharedItems>
    </cacheField>
    <cacheField name="Segment" numFmtId="0">
      <sharedItems count="3">
        <s v="Consumer"/>
        <s v="Corporate"/>
        <s v="Home Office"/>
      </sharedItems>
    </cacheField>
    <cacheField name="Country" numFmtId="0">
      <sharedItems/>
    </cacheField>
    <cacheField name="City" numFmtId="0">
      <sharedItems count="237">
        <s v="Laredo"/>
        <s v="Dover"/>
        <s v="Springfield"/>
        <s v="Roswell"/>
        <s v="Columbus"/>
        <s v="Chesapeake"/>
        <s v="Columbia"/>
        <s v="Lubbock"/>
        <s v="Green Bay"/>
        <s v="San Francisco"/>
        <s v="New York City"/>
        <s v="Los Angeles"/>
        <s v="Madison"/>
        <s v="Houston"/>
        <s v="Lowell"/>
        <s v="Richmond"/>
        <s v="Royal Oak"/>
        <s v="Lakeland"/>
        <s v="Middletown"/>
        <s v="Chicago"/>
        <s v="Chandler"/>
        <s v="Miami"/>
        <s v="Glendale"/>
        <s v="Lewiston"/>
        <s v="Austin"/>
        <s v="Redondo Beach"/>
        <s v="Great Falls"/>
        <s v="Elmhurst"/>
        <s v="El Paso"/>
        <s v="Appleton"/>
        <s v="Deltona"/>
        <s v="Charlotte"/>
        <s v="Denver"/>
        <s v="Escondido"/>
        <s v="Watertown"/>
        <s v="Reno"/>
        <s v="Tempe"/>
        <s v="Portland"/>
        <s v="Long Beach"/>
        <s v="Orange"/>
        <s v="Hampton"/>
        <s v="Philadelphia"/>
        <s v="Kent"/>
        <s v="San Jose"/>
        <s v="Milwaukee"/>
        <s v="West Jordan"/>
        <s v="Fort Worth"/>
        <s v="Huntsville"/>
        <s v="San Diego"/>
        <s v="Seattle"/>
        <s v="Vallejo"/>
        <s v="Revere"/>
        <s v="Lakeville"/>
        <s v="Lakewood"/>
        <s v="Little Rock"/>
        <s v="Detroit"/>
        <s v="Plainfield"/>
        <s v="Pomona"/>
        <s v="Medina"/>
        <s v="Fort Lauderdale"/>
        <s v="Corpus Christi"/>
        <s v="Saint Louis"/>
        <s v="North Las Vegas"/>
        <s v="Wilmington"/>
        <s v="Decatur"/>
        <s v="Dearborn Heights"/>
        <s v="Marietta"/>
        <s v="Arlington"/>
        <s v="Orem"/>
        <s v="Midland"/>
        <s v="Aurora"/>
        <s v="Meriden"/>
        <s v="Fayetteville"/>
        <s v="Saint Petersburg"/>
        <s v="Dallas"/>
        <s v="Irving"/>
        <s v="Omaha"/>
        <s v="Jacksonville"/>
        <s v="Clinton"/>
        <s v="Hackensack"/>
        <s v="League City"/>
        <s v="Newark"/>
        <s v="Naperville"/>
        <s v="Yonkers"/>
        <s v="Athens"/>
        <s v="Virginia Beach"/>
        <s v="Lafayette"/>
        <s v="Jackson"/>
        <s v="San Antonio"/>
        <s v="Palm Coast"/>
        <s v="Bangor"/>
        <s v="Buffalo Grove"/>
        <s v="Evanston"/>
        <s v="Lancaster"/>
        <s v="Nashville"/>
        <s v="Fresno"/>
        <s v="Alexandria"/>
        <s v="Pleasant Grove"/>
        <s v="Durham"/>
        <s v="Sandy Springs"/>
        <s v="Oklahoma City"/>
        <s v="Tulsa"/>
        <s v="Tyler"/>
        <s v="Clifton"/>
        <s v="Oswego"/>
        <s v="Pasco"/>
        <s v="Oxnard"/>
        <s v="Cary"/>
        <s v="Olathe"/>
        <s v="Rochester"/>
        <s v="Henderson"/>
        <s v="Romeoville"/>
        <s v="Mobile"/>
        <s v="Peoria"/>
        <s v="Buffalo"/>
        <s v="Bowling Green"/>
        <s v="Manteca"/>
        <s v="Albuquerque"/>
        <s v="Gilbert"/>
        <s v="Olympia"/>
        <s v="Pasadena"/>
        <s v="Parma"/>
        <s v="Bossier City"/>
        <s v="Des Moines"/>
        <s v="Harrisonburg"/>
        <s v="Vacaville"/>
        <s v="Macon"/>
        <s v="Louisville"/>
        <s v="Reading"/>
        <s v="Linden"/>
        <s v="Toledo"/>
        <s v="Lawrence"/>
        <s v="Knoxville"/>
        <s v="El Cajon"/>
        <s v="Texas City"/>
        <s v="Trenton"/>
        <s v="Santa Clara"/>
        <s v="Wausau"/>
        <s v="Salem"/>
        <s v="Mesa"/>
        <s v="Caldwell"/>
        <s v="Oakland"/>
        <s v="Sacramento"/>
        <s v="Coppell"/>
        <s v="Raleigh"/>
        <s v="Cambridge"/>
        <s v="Norwich"/>
        <s v="Tampa"/>
        <s v="Providence"/>
        <s v="Quincy"/>
        <s v="Rockville"/>
        <s v="Phoenix"/>
        <s v="Spokane"/>
        <s v="Carol Stream"/>
        <s v="Ann Arbor"/>
        <s v="Monroe"/>
        <s v="West Palm Beach"/>
        <s v="Smyrna"/>
        <s v="Rome"/>
        <s v="Bethlehem"/>
        <s v="Holland"/>
        <s v="Troy"/>
        <s v="Clarksville"/>
        <s v="Riverside"/>
        <s v="Baytown"/>
        <s v="Suffolk"/>
        <s v="Chula Vista"/>
        <s v="Kirkwood"/>
        <s v="Franklin"/>
        <s v="Tamarac"/>
        <s v="Tallahassee"/>
        <s v="New Castle"/>
        <s v="Saint Charles"/>
        <s v="Hollywood"/>
        <s v="Scottsdale"/>
        <s v="Paterson"/>
        <s v="Bristol"/>
        <s v="Sterling Heights"/>
        <s v="Hempstead"/>
        <s v="Indianapolis"/>
        <s v="Pocatello"/>
        <s v="Boise"/>
        <s v="Tucson"/>
        <s v="Thousand Oaks"/>
        <s v="Roseville"/>
        <s v="Oceanside"/>
        <s v="Kenosha"/>
        <s v="Allen"/>
        <s v="Bakersfield"/>
        <s v="Colorado Springs"/>
        <s v="Las Vegas"/>
        <s v="Cleveland"/>
        <s v="San Bernardino"/>
        <s v="Memphis"/>
        <s v="Amarillo"/>
        <s v="Longview"/>
        <s v="Auburn"/>
        <s v="Huntington Beach"/>
        <s v="San Angelo"/>
        <s v="The Colony"/>
        <s v="Mission Viejo"/>
        <s v="Odessa"/>
        <s v="Hialeah"/>
        <s v="Gaithersburg"/>
        <s v="Georgetown"/>
        <s v="Broken Arrow"/>
        <s v="Sierra Vista"/>
        <s v="Greensboro"/>
        <s v="Woodbury"/>
        <s v="Utica"/>
        <s v="Twin Falls"/>
        <s v="Washington"/>
        <s v="Edmonds"/>
        <s v="Warner Robins"/>
        <s v="Arlington Heights"/>
        <s v="Andover"/>
        <s v="Ormond Beach"/>
        <s v="Dublin"/>
        <s v="Chester"/>
        <s v="Concord"/>
        <s v="Danville"/>
        <s v="Waterbury"/>
        <s v="Murfreesboro"/>
        <s v="Redmond"/>
        <s v="Montgomery"/>
        <s v="Skokie"/>
        <s v="Frisco"/>
        <s v="Waco"/>
        <s v="Des Plaines"/>
        <s v="Missouri City"/>
        <s v="La Mesa"/>
        <s v="Las Cruces"/>
        <s v="Orlando"/>
        <s v="Independence"/>
        <s v="Plano"/>
        <s v="Cedar Hill"/>
        <s v="Oak Park"/>
      </sharedItems>
    </cacheField>
    <cacheField name="State" numFmtId="0">
      <sharedItems count="43">
        <s v="Texas"/>
        <s v="Delaware"/>
        <s v="Virginia"/>
        <s v="Georgia"/>
        <s v="Ohio"/>
        <s v="Missouri"/>
        <s v="Wisconsin"/>
        <s v="California"/>
        <s v="New York"/>
        <s v="Massachusetts"/>
        <s v="Kentucky"/>
        <s v="Michigan"/>
        <s v="Florida"/>
        <s v="Connecticut"/>
        <s v="Illinois"/>
        <s v="Arizona"/>
        <s v="Idaho"/>
        <s v="Montana"/>
        <s v="North Carolina"/>
        <s v="Colorado"/>
        <s v="Nevada"/>
        <s v="Oregon"/>
        <s v="New Jersey"/>
        <s v="Pennsylvania"/>
        <s v="Washington"/>
        <s v="Utah"/>
        <s v="Minnesota"/>
        <s v="Arkansas"/>
        <s v="Nebraska"/>
        <s v="Maryland"/>
        <s v="Louisiana"/>
        <s v="Mississippi"/>
        <s v="Maine"/>
        <s v="Tennessee"/>
        <s v="Oklahoma"/>
        <s v="Kansas"/>
        <s v="Alabama"/>
        <s v="New Mexico"/>
        <s v="South Carolina"/>
        <s v="Rhode Island"/>
        <s v="Indiana"/>
        <s v="District of Columbia"/>
        <s v="New Hampshire"/>
      </sharedItems>
    </cacheField>
    <cacheField name="Postal Code" numFmtId="0">
      <sharedItems containsSemiMixedTypes="0" containsString="0" containsNumber="1" containsInteger="1" minValue="181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Art"/>
        <s v="Furnishings"/>
        <s v="Labels"/>
        <s v="Accessories"/>
        <s v="Appliances"/>
        <s v="Chairs"/>
        <s v="Binders"/>
        <s v="Copiers"/>
        <s v="Phones"/>
        <s v="Paper"/>
        <s v="Fasteners"/>
        <s v="Storage"/>
        <s v="Tables"/>
        <s v="Bookcases"/>
        <s v="Envelopes"/>
        <s v="Supplies"/>
        <s v="Machines"/>
      </sharedItems>
    </cacheField>
    <cacheField name="Product Name" numFmtId="0">
      <sharedItems/>
    </cacheField>
    <cacheField name="Sales" numFmtId="164">
      <sharedItems containsSemiMixedTypes="0" containsString="0" containsNumber="1" minValue="0.99" maxValue="3785.2919999999999"/>
    </cacheField>
  </cacheFields>
  <extLst>
    <ext xmlns:x14="http://schemas.microsoft.com/office/spreadsheetml/2009/9/main" uri="{725AE2AE-9491-48be-B2B4-4EB974FC3084}">
      <x14:pivotCacheDefinition pivotCacheId="21321398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3">
  <r>
    <n v="593"/>
    <s v="CA-2015-135405"/>
    <d v="2015-01-09T00:00:00"/>
    <d v="2015-01-13T00:00:00"/>
    <x v="0"/>
    <x v="0"/>
    <s v=" "/>
    <n v="4"/>
    <s v="Standard Class"/>
    <s v="MS-17830"/>
    <x v="0"/>
    <x v="0"/>
    <s v="United States"/>
    <x v="0"/>
    <x v="0"/>
    <n v="78041"/>
    <x v="0"/>
    <s v="OFF-AR-10004078"/>
    <x v="0"/>
    <x v="0"/>
    <s v="Newell 312"/>
    <n v="9.3439999999999994"/>
  </r>
  <r>
    <n v="717"/>
    <s v="CA-2015-130092"/>
    <d v="2015-01-11T00:00:00"/>
    <d v="2015-01-14T00:00:00"/>
    <x v="0"/>
    <x v="0"/>
    <n v="1"/>
    <n v="3"/>
    <s v="First Class"/>
    <s v="SV-20365"/>
    <x v="1"/>
    <x v="0"/>
    <s v="United States"/>
    <x v="1"/>
    <x v="1"/>
    <n v="19901"/>
    <x v="1"/>
    <s v="FUR-FU-10000010"/>
    <x v="1"/>
    <x v="1"/>
    <s v="DAX Value U-Channel Document Frames, Easel Back"/>
    <n v="9.94"/>
  </r>
  <r>
    <n v="866"/>
    <s v="CA-2015-149020"/>
    <d v="2015-01-10T00:00:00"/>
    <d v="2015-01-15T00:00:00"/>
    <x v="0"/>
    <x v="0"/>
    <n v="1"/>
    <n v="5"/>
    <s v="Standard Class"/>
    <s v="AJ-10780"/>
    <x v="2"/>
    <x v="1"/>
    <s v="United States"/>
    <x v="2"/>
    <x v="2"/>
    <n v="22153"/>
    <x v="2"/>
    <s v="OFF-LA-10004272"/>
    <x v="0"/>
    <x v="2"/>
    <s v="Avery 482"/>
    <n v="2.89"/>
  </r>
  <r>
    <n v="1914"/>
    <s v="CA-2015-103366"/>
    <d v="2015-01-15T00:00:00"/>
    <d v="2015-01-17T00:00:00"/>
    <x v="0"/>
    <x v="0"/>
    <n v="1"/>
    <n v="2"/>
    <s v="First Class"/>
    <s v="EH-13990"/>
    <x v="3"/>
    <x v="0"/>
    <s v="United States"/>
    <x v="3"/>
    <x v="3"/>
    <n v="30076"/>
    <x v="2"/>
    <s v="TEC-AC-10003628"/>
    <x v="2"/>
    <x v="3"/>
    <s v="Logitech 910-002974 M325 Wireless Mouse for Web Scrolling"/>
    <n v="149.94999999999999"/>
  </r>
  <r>
    <n v="5825"/>
    <s v="CA-2015-115056"/>
    <d v="2015-05-02T00:00:00"/>
    <d v="2015-05-02T00:00:00"/>
    <x v="0"/>
    <x v="1"/>
    <n v="5"/>
    <n v="0"/>
    <s v="Same Day"/>
    <s v="AR-10510"/>
    <x v="4"/>
    <x v="0"/>
    <s v="United States"/>
    <x v="4"/>
    <x v="4"/>
    <n v="43229"/>
    <x v="1"/>
    <s v="OFF-AP-10003971"/>
    <x v="0"/>
    <x v="4"/>
    <s v="Belkin 6 Outlet Metallic Surge Strip"/>
    <n v="26.135999999999999"/>
  </r>
  <r>
    <n v="5631"/>
    <s v="CA-2015-127614"/>
    <d v="2015-02-11T00:00:00"/>
    <d v="2015-02-15T00:00:00"/>
    <x v="0"/>
    <x v="2"/>
    <n v="2"/>
    <n v="4"/>
    <s v="Standard Class"/>
    <s v="NF-18385"/>
    <x v="5"/>
    <x v="0"/>
    <s v="United States"/>
    <x v="5"/>
    <x v="2"/>
    <n v="23320"/>
    <x v="2"/>
    <s v="TEC-AC-10001432"/>
    <x v="2"/>
    <x v="3"/>
    <s v="Enermax Aurora Lite Keyboard"/>
    <n v="234.45"/>
  </r>
  <r>
    <n v="9255"/>
    <s v="CA-2015-168368"/>
    <d v="2015-02-11T00:00:00"/>
    <d v="2015-02-15T00:00:00"/>
    <x v="0"/>
    <x v="2"/>
    <n v="2"/>
    <n v="4"/>
    <s v="Second Class"/>
    <s v="GA-14725"/>
    <x v="6"/>
    <x v="0"/>
    <s v="United States"/>
    <x v="6"/>
    <x v="5"/>
    <n v="65203"/>
    <x v="0"/>
    <s v="FUR-CH-10001146"/>
    <x v="1"/>
    <x v="5"/>
    <s v="Global Value Mid-Back Manager's Chair, Gray"/>
    <n v="60.89"/>
  </r>
  <r>
    <n v="6082"/>
    <s v="US-2015-165589"/>
    <d v="2015-02-18T00:00:00"/>
    <d v="2015-02-18T00:00:00"/>
    <x v="0"/>
    <x v="2"/>
    <n v="2"/>
    <n v="0"/>
    <s v="Same Day"/>
    <s v="TB-21595"/>
    <x v="7"/>
    <x v="0"/>
    <s v="United States"/>
    <x v="7"/>
    <x v="0"/>
    <n v="79424"/>
    <x v="0"/>
    <s v="FUR-FU-10002396"/>
    <x v="1"/>
    <x v="1"/>
    <s v="DAX Copper Panel Document Frame, 5 x 7 Size"/>
    <n v="25.16"/>
  </r>
  <r>
    <n v="541"/>
    <s v="CA-2015-140795"/>
    <d v="2015-02-01T00:00:00"/>
    <d v="2015-02-03T00:00:00"/>
    <x v="0"/>
    <x v="2"/>
    <n v="2"/>
    <n v="2"/>
    <s v="First Class"/>
    <s v="BD-11500"/>
    <x v="8"/>
    <x v="0"/>
    <s v="United States"/>
    <x v="8"/>
    <x v="6"/>
    <n v="54302"/>
    <x v="0"/>
    <s v="TEC-AC-10001432"/>
    <x v="2"/>
    <x v="3"/>
    <s v="Enermax Aurora Lite Keyboard"/>
    <n v="468.9"/>
  </r>
  <r>
    <n v="2173"/>
    <s v="CA-2015-152296"/>
    <d v="2015-08-01T00:00:00"/>
    <d v="2015-08-03T00:00:00"/>
    <x v="0"/>
    <x v="3"/>
    <n v="8"/>
    <n v="2"/>
    <s v="First Class"/>
    <s v="IL-15100"/>
    <x v="9"/>
    <x v="0"/>
    <s v="United States"/>
    <x v="9"/>
    <x v="7"/>
    <n v="94122"/>
    <x v="3"/>
    <s v="OFF-BI-10004506"/>
    <x v="0"/>
    <x v="6"/>
    <s v="Wilson Jones data.warehouse D-Ring Binders with DublLock"/>
    <n v="19.751999999999999"/>
  </r>
  <r>
    <n v="4930"/>
    <s v="US-2015-138828"/>
    <d v="2015-09-02T00:00:00"/>
    <d v="2015-09-03T00:00:00"/>
    <x v="0"/>
    <x v="4"/>
    <n v="9"/>
    <n v="1"/>
    <s v="First Class"/>
    <s v="KD-16345"/>
    <x v="10"/>
    <x v="0"/>
    <s v="United States"/>
    <x v="10"/>
    <x v="8"/>
    <n v="10009"/>
    <x v="1"/>
    <s v="OFF-AR-10000658"/>
    <x v="0"/>
    <x v="0"/>
    <s v="Newell 324"/>
    <n v="57.75"/>
  </r>
  <r>
    <n v="4986"/>
    <s v="CA-2015-125171"/>
    <d v="2015-09-03T00:00:00"/>
    <d v="2015-09-03T00:00:00"/>
    <x v="0"/>
    <x v="4"/>
    <n v="9"/>
    <n v="0"/>
    <s v="Same Day"/>
    <s v="AG-10390"/>
    <x v="11"/>
    <x v="0"/>
    <s v="United States"/>
    <x v="10"/>
    <x v="8"/>
    <n v="10009"/>
    <x v="1"/>
    <s v="OFF-LA-10001175"/>
    <x v="0"/>
    <x v="2"/>
    <s v="Avery 514"/>
    <n v="14.4"/>
  </r>
  <r>
    <n v="5600"/>
    <s v="CA-2015-108903"/>
    <d v="2015-10-03T00:00:00"/>
    <d v="2015-10-03T00:00:00"/>
    <x v="0"/>
    <x v="5"/>
    <n v="10"/>
    <n v="0"/>
    <s v="Same Day"/>
    <s v="DO-13435"/>
    <x v="12"/>
    <x v="0"/>
    <s v="United States"/>
    <x v="4"/>
    <x v="4"/>
    <n v="43229"/>
    <x v="1"/>
    <s v="OFF-AR-10004010"/>
    <x v="0"/>
    <x v="0"/>
    <s v="Hunt Boston Vacuum Mount KS Pencil Sharpener"/>
    <n v="55.984000000000002"/>
  </r>
  <r>
    <n v="9229"/>
    <s v="CA-2015-153619"/>
    <d v="2015-11-03T00:00:00"/>
    <d v="2015-11-03T00:00:00"/>
    <x v="0"/>
    <x v="6"/>
    <n v="11"/>
    <n v="0"/>
    <s v="Same Day"/>
    <s v="TC-21535"/>
    <x v="13"/>
    <x v="2"/>
    <s v="United States"/>
    <x v="11"/>
    <x v="7"/>
    <n v="90049"/>
    <x v="3"/>
    <s v="OFF-AR-10001868"/>
    <x v="0"/>
    <x v="0"/>
    <s v="Prang Dustless Chalk Sticks"/>
    <n v="6.72"/>
  </r>
  <r>
    <n v="1792"/>
    <s v="CA-2015-120474"/>
    <d v="2015-12-01T00:00:00"/>
    <d v="2015-12-03T00:00:00"/>
    <x v="0"/>
    <x v="7"/>
    <n v="12"/>
    <n v="2"/>
    <s v="First Class"/>
    <s v="RP-19390"/>
    <x v="14"/>
    <x v="0"/>
    <s v="United States"/>
    <x v="12"/>
    <x v="6"/>
    <n v="53711"/>
    <x v="0"/>
    <s v="FUR-CH-10001854"/>
    <x v="1"/>
    <x v="5"/>
    <s v="Office Star - Professional Matrix Back Chair with 2-to-1 Synchro Tilt and Mesh Fabric Seat"/>
    <n v="2807.84"/>
  </r>
  <r>
    <n v="4492"/>
    <s v="CA-2015-150798"/>
    <d v="2015-12-01T00:00:00"/>
    <d v="2015-12-03T00:00:00"/>
    <x v="0"/>
    <x v="7"/>
    <n v="12"/>
    <n v="2"/>
    <s v="Second Class"/>
    <s v="JK-15730"/>
    <x v="15"/>
    <x v="0"/>
    <s v="United States"/>
    <x v="4"/>
    <x v="4"/>
    <n v="43229"/>
    <x v="1"/>
    <s v="TEC-CO-10001571"/>
    <x v="2"/>
    <x v="7"/>
    <s v="Sharp 1540cs Digital Laser Copier"/>
    <n v="659.98800000000006"/>
  </r>
  <r>
    <n v="4905"/>
    <s v="US-2015-161613"/>
    <d v="2015-12-01T00:00:00"/>
    <d v="2015-12-03T00:00:00"/>
    <x v="0"/>
    <x v="7"/>
    <n v="12"/>
    <n v="2"/>
    <s v="Second Class"/>
    <s v="MC-17605"/>
    <x v="16"/>
    <x v="1"/>
    <s v="United States"/>
    <x v="13"/>
    <x v="0"/>
    <n v="77070"/>
    <x v="0"/>
    <s v="FUR-CH-10003746"/>
    <x v="1"/>
    <x v="5"/>
    <s v="Hon 4070 Series Pagoda Round Back Stacking Chairs"/>
    <n v="674.05799999999999"/>
  </r>
  <r>
    <n v="8004"/>
    <s v="CA-2015-143210"/>
    <d v="2015-12-01T00:00:00"/>
    <d v="2015-12-03T00:00:00"/>
    <x v="0"/>
    <x v="7"/>
    <n v="12"/>
    <n v="2"/>
    <s v="First Class"/>
    <s v="AA-10645"/>
    <x v="17"/>
    <x v="0"/>
    <s v="United States"/>
    <x v="14"/>
    <x v="9"/>
    <n v="1852"/>
    <x v="1"/>
    <s v="TEC-PH-10004434"/>
    <x v="2"/>
    <x v="8"/>
    <s v="Cisco IPÂ PhoneÂ 7961G VoIPÂ phoneÂ - Dark gray"/>
    <n v="271.89999999999998"/>
  </r>
  <r>
    <n v="7015"/>
    <s v="CA-2015-114790"/>
    <d v="2015-03-11T00:00:00"/>
    <d v="2015-03-13T00:00:00"/>
    <x v="0"/>
    <x v="8"/>
    <n v="3"/>
    <n v="2"/>
    <s v="Second Class"/>
    <s v="FM-14215"/>
    <x v="18"/>
    <x v="1"/>
    <s v="United States"/>
    <x v="15"/>
    <x v="10"/>
    <n v="40475"/>
    <x v="2"/>
    <s v="OFF-AP-10002578"/>
    <x v="0"/>
    <x v="4"/>
    <s v="Fellowes Premier Superior Surge Suppressor, 10-Outlet, With Phone and Remote"/>
    <n v="146.76"/>
  </r>
  <r>
    <n v="1172"/>
    <s v="US-2015-100279"/>
    <d v="2015-03-10T00:00:00"/>
    <d v="2015-03-14T00:00:00"/>
    <x v="0"/>
    <x v="8"/>
    <n v="3"/>
    <n v="4"/>
    <s v="Standard Class"/>
    <s v="SW-20275"/>
    <x v="19"/>
    <x v="0"/>
    <s v="United States"/>
    <x v="16"/>
    <x v="11"/>
    <n v="48073"/>
    <x v="0"/>
    <s v="OFF-PA-10002259"/>
    <x v="0"/>
    <x v="9"/>
    <s v="Geographics Note Cards, Blank, White, 8 1/2&quot; x 11&quot;"/>
    <n v="22.38"/>
  </r>
  <r>
    <n v="3442"/>
    <s v="CA-2015-158337"/>
    <d v="2015-03-11T00:00:00"/>
    <d v="2015-03-14T00:00:00"/>
    <x v="0"/>
    <x v="8"/>
    <n v="3"/>
    <n v="3"/>
    <s v="Second Class"/>
    <s v="KA-16525"/>
    <x v="20"/>
    <x v="0"/>
    <s v="United States"/>
    <x v="10"/>
    <x v="8"/>
    <n v="10024"/>
    <x v="1"/>
    <s v="OFF-PA-10002137"/>
    <x v="0"/>
    <x v="9"/>
    <s v="Southworth 100% RÃ©sumÃ© Paper, 24lb."/>
    <n v="108.92"/>
  </r>
  <r>
    <n v="1542"/>
    <s v="CA-2015-166884"/>
    <d v="2015-03-11T00:00:00"/>
    <d v="2015-03-16T00:00:00"/>
    <x v="0"/>
    <x v="8"/>
    <n v="3"/>
    <n v="5"/>
    <s v="Second Class"/>
    <s v="CK-12205"/>
    <x v="21"/>
    <x v="0"/>
    <s v="United States"/>
    <x v="4"/>
    <x v="4"/>
    <n v="43229"/>
    <x v="1"/>
    <s v="FUR-FU-10003981"/>
    <x v="1"/>
    <x v="1"/>
    <s v="Eldon Wave Desk Accessories"/>
    <n v="8.32"/>
  </r>
  <r>
    <n v="7037"/>
    <s v="CA-2015-124618"/>
    <d v="2015-05-02T00:00:00"/>
    <d v="2015-05-04T00:00:00"/>
    <x v="0"/>
    <x v="1"/>
    <n v="5"/>
    <n v="2"/>
    <s v="Second Class"/>
    <s v="CS-11860"/>
    <x v="22"/>
    <x v="0"/>
    <s v="United States"/>
    <x v="17"/>
    <x v="12"/>
    <n v="33801"/>
    <x v="2"/>
    <s v="TEC-CO-10004202"/>
    <x v="2"/>
    <x v="7"/>
    <s v="Brother DCP1000 Digital 3 in 1 Multifunction Machine"/>
    <n v="479.98399999999998"/>
  </r>
  <r>
    <n v="1460"/>
    <s v="CA-2015-155271"/>
    <d v="2015-05-04T00:00:00"/>
    <d v="2015-05-04T00:00:00"/>
    <x v="0"/>
    <x v="1"/>
    <n v="5"/>
    <n v="0"/>
    <s v="Same Day"/>
    <s v="AA-10480"/>
    <x v="23"/>
    <x v="0"/>
    <s v="United States"/>
    <x v="18"/>
    <x v="13"/>
    <n v="6457"/>
    <x v="1"/>
    <s v="FUR-FU-10001473"/>
    <x v="1"/>
    <x v="1"/>
    <s v="DAX Wood Document Frame"/>
    <n v="27.46"/>
  </r>
  <r>
    <n v="3194"/>
    <s v="CA-2015-165428"/>
    <d v="2015-09-01T00:00:00"/>
    <d v="2015-09-04T00:00:00"/>
    <x v="0"/>
    <x v="4"/>
    <n v="9"/>
    <n v="3"/>
    <s v="First Class"/>
    <s v="JL-15130"/>
    <x v="24"/>
    <x v="0"/>
    <s v="United States"/>
    <x v="13"/>
    <x v="0"/>
    <n v="77036"/>
    <x v="0"/>
    <s v="OFF-BI-10002949"/>
    <x v="0"/>
    <x v="6"/>
    <s v="Prestige Round Ring Binders"/>
    <n v="3.6480000000000001"/>
  </r>
  <r>
    <n v="4404"/>
    <s v="CA-2015-127936"/>
    <d v="2015-09-02T00:00:00"/>
    <d v="2015-09-04T00:00:00"/>
    <x v="0"/>
    <x v="4"/>
    <n v="9"/>
    <n v="2"/>
    <s v="First Class"/>
    <s v="CL-12565"/>
    <x v="25"/>
    <x v="0"/>
    <s v="United States"/>
    <x v="10"/>
    <x v="8"/>
    <n v="10009"/>
    <x v="1"/>
    <s v="OFF-AR-10002445"/>
    <x v="0"/>
    <x v="0"/>
    <s v="SANFORD Major Accent Highlighters"/>
    <n v="21.24"/>
  </r>
  <r>
    <n v="8398"/>
    <s v="US-2015-120236"/>
    <d v="2015-09-03T00:00:00"/>
    <d v="2015-09-04T00:00:00"/>
    <x v="0"/>
    <x v="4"/>
    <n v="9"/>
    <n v="1"/>
    <s v="First Class"/>
    <s v="MR-17545"/>
    <x v="26"/>
    <x v="2"/>
    <s v="United States"/>
    <x v="13"/>
    <x v="0"/>
    <n v="77095"/>
    <x v="0"/>
    <s v="OFF-BI-10004099"/>
    <x v="0"/>
    <x v="6"/>
    <s v="GBC VeloBinder Strips"/>
    <n v="7.68"/>
  </r>
  <r>
    <n v="708"/>
    <s v="CA-2015-112158"/>
    <d v="2015-12-02T00:00:00"/>
    <d v="2015-12-04T00:00:00"/>
    <x v="0"/>
    <x v="7"/>
    <n v="12"/>
    <n v="2"/>
    <s v="First Class"/>
    <s v="DP-13165"/>
    <x v="27"/>
    <x v="0"/>
    <s v="United States"/>
    <x v="10"/>
    <x v="8"/>
    <n v="10035"/>
    <x v="1"/>
    <s v="TEC-AC-10003628"/>
    <x v="2"/>
    <x v="3"/>
    <s v="Logitech 910-002974 M325 Wireless Mouse for Web Scrolling"/>
    <n v="119.96"/>
  </r>
  <r>
    <n v="6252"/>
    <s v="CA-2015-101147"/>
    <d v="2015-12-02T00:00:00"/>
    <d v="2015-12-04T00:00:00"/>
    <x v="0"/>
    <x v="7"/>
    <n v="12"/>
    <n v="2"/>
    <s v="First Class"/>
    <s v="MC-17575"/>
    <x v="28"/>
    <x v="0"/>
    <s v="United States"/>
    <x v="19"/>
    <x v="14"/>
    <n v="60623"/>
    <x v="0"/>
    <s v="OFF-AP-10004249"/>
    <x v="0"/>
    <x v="4"/>
    <s v="Staple holder"/>
    <n v="2.3940000000000001"/>
  </r>
  <r>
    <n v="6381"/>
    <s v="US-2015-163797"/>
    <d v="2015-04-08T00:00:00"/>
    <d v="2015-04-13T00:00:00"/>
    <x v="0"/>
    <x v="9"/>
    <n v="4"/>
    <n v="5"/>
    <s v="Standard Class"/>
    <s v="PC-19000"/>
    <x v="29"/>
    <x v="2"/>
    <s v="United States"/>
    <x v="20"/>
    <x v="15"/>
    <n v="85224"/>
    <x v="3"/>
    <s v="OFF-FA-10001883"/>
    <x v="0"/>
    <x v="10"/>
    <s v="Alliance Super-Size Bands, Assorted Sizes"/>
    <n v="49.792000000000002"/>
  </r>
  <r>
    <n v="3774"/>
    <s v="US-2015-102715"/>
    <d v="2015-04-11T00:00:00"/>
    <d v="2015-04-13T00:00:00"/>
    <x v="0"/>
    <x v="9"/>
    <n v="4"/>
    <n v="2"/>
    <s v="Second Class"/>
    <s v="JK-15370"/>
    <x v="30"/>
    <x v="0"/>
    <s v="United States"/>
    <x v="21"/>
    <x v="12"/>
    <n v="33180"/>
    <x v="2"/>
    <s v="OFF-FA-10001332"/>
    <x v="0"/>
    <x v="10"/>
    <s v="Acco Banker's Clasps, 5 3/4&quot;-Long"/>
    <n v="6.9119999999999999"/>
  </r>
  <r>
    <n v="3836"/>
    <s v="CA-2015-100363"/>
    <d v="2015-04-08T00:00:00"/>
    <d v="2015-04-15T00:00:00"/>
    <x v="0"/>
    <x v="9"/>
    <n v="4"/>
    <n v="7"/>
    <s v="Standard Class"/>
    <s v="JM-15655"/>
    <x v="31"/>
    <x v="1"/>
    <s v="United States"/>
    <x v="22"/>
    <x v="15"/>
    <n v="85301"/>
    <x v="3"/>
    <s v="OFF-FA-10000611"/>
    <x v="0"/>
    <x v="10"/>
    <s v="Binder Clips by OIC"/>
    <n v="2.3679999999999999"/>
  </r>
  <r>
    <n v="4578"/>
    <s v="US-2015-121734"/>
    <d v="2015-04-11T00:00:00"/>
    <d v="2015-04-16T00:00:00"/>
    <x v="0"/>
    <x v="9"/>
    <n v="4"/>
    <n v="5"/>
    <s v="Standard Class"/>
    <s v="SE-20110"/>
    <x v="32"/>
    <x v="0"/>
    <s v="United States"/>
    <x v="23"/>
    <x v="16"/>
    <n v="83501"/>
    <x v="3"/>
    <s v="OFF-BI-10004817"/>
    <x v="0"/>
    <x v="6"/>
    <s v="GBC Personal VeloBind Strips"/>
    <n v="9.5839999999999996"/>
  </r>
  <r>
    <n v="4862"/>
    <s v="CA-2015-138940"/>
    <d v="2015-04-11T00:00:00"/>
    <d v="2015-04-16T00:00:00"/>
    <x v="0"/>
    <x v="9"/>
    <n v="4"/>
    <n v="5"/>
    <s v="Second Class"/>
    <s v="GM-14455"/>
    <x v="33"/>
    <x v="2"/>
    <s v="United States"/>
    <x v="24"/>
    <x v="0"/>
    <n v="78745"/>
    <x v="0"/>
    <s v="TEC-PH-10001835"/>
    <x v="2"/>
    <x v="8"/>
    <s v="Jawbone JAMBOX Wireless Bluetooth Speaker"/>
    <n v="758.35199999999998"/>
  </r>
  <r>
    <n v="2794"/>
    <s v="CA-2015-154599"/>
    <d v="2015-04-12T00:00:00"/>
    <d v="2015-04-17T00:00:00"/>
    <x v="0"/>
    <x v="9"/>
    <n v="4"/>
    <n v="5"/>
    <s v="Standard Class"/>
    <s v="KN-16450"/>
    <x v="34"/>
    <x v="1"/>
    <s v="United States"/>
    <x v="25"/>
    <x v="7"/>
    <n v="90278"/>
    <x v="3"/>
    <s v="TEC-PH-10001557"/>
    <x v="2"/>
    <x v="8"/>
    <s v="Pyle PMP37LED"/>
    <n v="1075.088"/>
  </r>
  <r>
    <n v="8358"/>
    <s v="CA-2015-110555"/>
    <d v="2015-04-11T00:00:00"/>
    <d v="2015-04-18T00:00:00"/>
    <x v="0"/>
    <x v="9"/>
    <n v="4"/>
    <n v="7"/>
    <s v="Standard Class"/>
    <s v="MM-18055"/>
    <x v="35"/>
    <x v="0"/>
    <s v="United States"/>
    <x v="26"/>
    <x v="17"/>
    <n v="59405"/>
    <x v="3"/>
    <s v="OFF-ST-10000876"/>
    <x v="0"/>
    <x v="11"/>
    <s v="Eldon Simplefile Box Office"/>
    <n v="87.08"/>
  </r>
  <r>
    <n v="5714"/>
    <s v="US-2015-143707"/>
    <d v="2015-03-01T00:00:00"/>
    <d v="2015-03-05T00:00:00"/>
    <x v="0"/>
    <x v="8"/>
    <n v="3"/>
    <n v="4"/>
    <s v="Standard Class"/>
    <s v="HR-14770"/>
    <x v="36"/>
    <x v="2"/>
    <s v="United States"/>
    <x v="10"/>
    <x v="8"/>
    <n v="10035"/>
    <x v="1"/>
    <s v="TEC-PH-10003655"/>
    <x v="2"/>
    <x v="8"/>
    <s v="Sannysis Cute Owl Design Soft Skin Case Cover for Samsung Galaxy S4"/>
    <n v="5.94"/>
  </r>
  <r>
    <n v="6548"/>
    <s v="CA-2015-113880"/>
    <d v="2015-03-01T00:00:00"/>
    <d v="2015-03-05T00:00:00"/>
    <x v="0"/>
    <x v="8"/>
    <n v="3"/>
    <n v="4"/>
    <s v="Standard Class"/>
    <s v="VF-21715"/>
    <x v="37"/>
    <x v="2"/>
    <s v="United States"/>
    <x v="27"/>
    <x v="14"/>
    <n v="60126"/>
    <x v="0"/>
    <s v="FUR-CH-10000863"/>
    <x v="1"/>
    <x v="5"/>
    <s v="Novimex Swivel Fabric Task Chair"/>
    <n v="634.11599999999999"/>
  </r>
  <r>
    <n v="7948"/>
    <s v="CA-2015-131009"/>
    <d v="2015-03-01T00:00:00"/>
    <d v="2015-03-05T00:00:00"/>
    <x v="0"/>
    <x v="8"/>
    <n v="3"/>
    <n v="4"/>
    <s v="Standard Class"/>
    <s v="SC-20380"/>
    <x v="38"/>
    <x v="0"/>
    <s v="United States"/>
    <x v="28"/>
    <x v="0"/>
    <n v="79907"/>
    <x v="0"/>
    <s v="OFF-FA-10004395"/>
    <x v="0"/>
    <x v="10"/>
    <s v="Plymouth Boxed Rubber Bands by Plymouth"/>
    <n v="18.84"/>
  </r>
  <r>
    <n v="4845"/>
    <s v="US-2015-128685"/>
    <d v="2015-04-04T00:00:00"/>
    <d v="2015-04-05T00:00:00"/>
    <x v="0"/>
    <x v="9"/>
    <n v="4"/>
    <n v="1"/>
    <s v="First Class"/>
    <s v="MZ-17515"/>
    <x v="39"/>
    <x v="1"/>
    <s v="United States"/>
    <x v="11"/>
    <x v="7"/>
    <n v="90008"/>
    <x v="3"/>
    <s v="OFF-BI-10004140"/>
    <x v="0"/>
    <x v="6"/>
    <s v="Avery Non-Stick Binders"/>
    <n v="7.1840000000000002"/>
  </r>
  <r>
    <n v="1553"/>
    <s v="CA-2015-130274"/>
    <d v="2015-05-03T00:00:00"/>
    <d v="2015-05-05T00:00:00"/>
    <x v="0"/>
    <x v="1"/>
    <n v="5"/>
    <n v="2"/>
    <s v="First Class"/>
    <s v="JS-15940"/>
    <x v="40"/>
    <x v="2"/>
    <s v="United States"/>
    <x v="29"/>
    <x v="6"/>
    <n v="54915"/>
    <x v="0"/>
    <s v="OFF-LA-10002195"/>
    <x v="0"/>
    <x v="2"/>
    <s v="Avery 481"/>
    <n v="21.56"/>
  </r>
  <r>
    <n v="7296"/>
    <s v="CA-2015-111899"/>
    <d v="2015-05-04T00:00:00"/>
    <d v="2015-05-05T00:00:00"/>
    <x v="0"/>
    <x v="1"/>
    <n v="5"/>
    <n v="1"/>
    <s v="First Class"/>
    <s v="NC-18340"/>
    <x v="41"/>
    <x v="0"/>
    <s v="United States"/>
    <x v="13"/>
    <x v="0"/>
    <n v="77036"/>
    <x v="0"/>
    <s v="OFF-AR-10001725"/>
    <x v="0"/>
    <x v="0"/>
    <s v="Boston Home &amp; Office Model 2000 Electric Pencil Sharpeners"/>
    <n v="37.840000000000003"/>
  </r>
  <r>
    <n v="1319"/>
    <s v="CA-2015-160773"/>
    <d v="2015-07-01T00:00:00"/>
    <d v="2015-07-05T00:00:00"/>
    <x v="0"/>
    <x v="10"/>
    <n v="7"/>
    <n v="4"/>
    <s v="Standard Class"/>
    <s v="LW-16825"/>
    <x v="42"/>
    <x v="1"/>
    <s v="United States"/>
    <x v="30"/>
    <x v="12"/>
    <n v="32725"/>
    <x v="2"/>
    <s v="TEC-PH-10004586"/>
    <x v="2"/>
    <x v="8"/>
    <s v="Wilson SignalBoost 841262 DB PRO Amplifier Kit"/>
    <n v="575.91999999999996"/>
  </r>
  <r>
    <n v="1356"/>
    <s v="US-2015-160444"/>
    <d v="2015-07-05T00:00:00"/>
    <d v="2015-07-05T00:00:00"/>
    <x v="0"/>
    <x v="10"/>
    <n v="7"/>
    <n v="0"/>
    <s v="Same Day"/>
    <s v="DC-12850"/>
    <x v="43"/>
    <x v="0"/>
    <s v="United States"/>
    <x v="13"/>
    <x v="0"/>
    <n v="77036"/>
    <x v="0"/>
    <s v="OFF-ST-10001522"/>
    <x v="0"/>
    <x v="11"/>
    <s v="Gould Plastics 18-Pocket Panel Bin, 34w x 5-1/4d x 20-1/2h"/>
    <n v="220.77600000000001"/>
  </r>
  <r>
    <n v="1838"/>
    <s v="CA-2015-117345"/>
    <d v="2015-08-01T00:00:00"/>
    <d v="2015-08-05T00:00:00"/>
    <x v="0"/>
    <x v="3"/>
    <n v="8"/>
    <n v="4"/>
    <s v="Standard Class"/>
    <s v="BF-10975"/>
    <x v="44"/>
    <x v="1"/>
    <s v="United States"/>
    <x v="31"/>
    <x v="18"/>
    <n v="28205"/>
    <x v="2"/>
    <s v="OFF-LA-10000240"/>
    <x v="0"/>
    <x v="2"/>
    <s v="Self-Adhesive Address Labels for Typewriters by Universal"/>
    <n v="17.544"/>
  </r>
  <r>
    <n v="202"/>
    <s v="CA-2015-133690"/>
    <d v="2015-08-03T00:00:00"/>
    <d v="2015-08-05T00:00:00"/>
    <x v="0"/>
    <x v="3"/>
    <n v="8"/>
    <n v="2"/>
    <s v="First Class"/>
    <s v="BS-11755"/>
    <x v="45"/>
    <x v="0"/>
    <s v="United States"/>
    <x v="32"/>
    <x v="19"/>
    <n v="80219"/>
    <x v="3"/>
    <s v="FUR-TA-10004289"/>
    <x v="1"/>
    <x v="12"/>
    <s v="BoxOffice By Design Rectangular and Half-Moon Meeting Room Tables"/>
    <n v="218.75"/>
  </r>
  <r>
    <n v="3156"/>
    <s v="CA-2015-128986"/>
    <d v="2015-08-03T00:00:00"/>
    <d v="2015-08-05T00:00:00"/>
    <x v="0"/>
    <x v="3"/>
    <n v="8"/>
    <n v="2"/>
    <s v="Second Class"/>
    <s v="GH-14410"/>
    <x v="46"/>
    <x v="2"/>
    <s v="United States"/>
    <x v="22"/>
    <x v="15"/>
    <n v="85301"/>
    <x v="3"/>
    <s v="OFF-PA-10001289"/>
    <x v="0"/>
    <x v="9"/>
    <s v="White Computer Printout Paper by Universal"/>
    <n v="93.024000000000001"/>
  </r>
  <r>
    <n v="1162"/>
    <s v="CA-2015-126522"/>
    <d v="2015-09-01T00:00:00"/>
    <d v="2015-09-05T00:00:00"/>
    <x v="0"/>
    <x v="4"/>
    <n v="9"/>
    <n v="4"/>
    <s v="Second Class"/>
    <s v="LT-16765"/>
    <x v="47"/>
    <x v="0"/>
    <s v="United States"/>
    <x v="33"/>
    <x v="7"/>
    <n v="92025"/>
    <x v="3"/>
    <s v="OFF-AR-10004042"/>
    <x v="0"/>
    <x v="0"/>
    <s v="BOSTON Model 1800 Electric Pencil Sharpeners, Putty/Woodgrain"/>
    <n v="53.94"/>
  </r>
  <r>
    <n v="8242"/>
    <s v="CA-2015-109855"/>
    <d v="2015-09-01T00:00:00"/>
    <d v="2015-09-05T00:00:00"/>
    <x v="0"/>
    <x v="4"/>
    <n v="9"/>
    <n v="4"/>
    <s v="Standard Class"/>
    <s v="LH-16900"/>
    <x v="48"/>
    <x v="0"/>
    <s v="United States"/>
    <x v="10"/>
    <x v="8"/>
    <n v="10009"/>
    <x v="1"/>
    <s v="OFF-BI-10004716"/>
    <x v="0"/>
    <x v="6"/>
    <s v="Wilson Jones Hanging Recycled Pressboard Data Binders"/>
    <n v="23.744"/>
  </r>
  <r>
    <n v="2925"/>
    <s v="CA-2015-157721"/>
    <d v="2015-09-02T00:00:00"/>
    <d v="2015-09-05T00:00:00"/>
    <x v="0"/>
    <x v="4"/>
    <n v="9"/>
    <n v="3"/>
    <s v="First Class"/>
    <s v="JM-16195"/>
    <x v="49"/>
    <x v="0"/>
    <s v="United States"/>
    <x v="34"/>
    <x v="8"/>
    <n v="13601"/>
    <x v="1"/>
    <s v="OFF-AP-10001303"/>
    <x v="0"/>
    <x v="4"/>
    <s v="Holmes Cool Mist Humidifier for the Whole House with 8-Gallon Output per Day, Extended Life Filter"/>
    <n v="19.899999999999999"/>
  </r>
  <r>
    <n v="8706"/>
    <s v="US-2015-132745"/>
    <d v="2015-10-01T00:00:00"/>
    <d v="2015-10-05T00:00:00"/>
    <x v="0"/>
    <x v="5"/>
    <n v="10"/>
    <n v="4"/>
    <s v="Standard Class"/>
    <s v="NF-18475"/>
    <x v="50"/>
    <x v="2"/>
    <s v="United States"/>
    <x v="35"/>
    <x v="20"/>
    <n v="89502"/>
    <x v="3"/>
    <s v="OFF-FA-10000254"/>
    <x v="0"/>
    <x v="10"/>
    <s v="Sterling Rubber Bands by Alliance"/>
    <n v="4.71"/>
  </r>
  <r>
    <n v="3223"/>
    <s v="CA-2015-108189"/>
    <d v="2015-10-02T00:00:00"/>
    <d v="2015-10-05T00:00:00"/>
    <x v="0"/>
    <x v="5"/>
    <n v="10"/>
    <n v="3"/>
    <s v="First Class"/>
    <s v="ES-14080"/>
    <x v="51"/>
    <x v="1"/>
    <s v="United States"/>
    <x v="36"/>
    <x v="15"/>
    <n v="85281"/>
    <x v="3"/>
    <s v="OFF-PA-10001838"/>
    <x v="0"/>
    <x v="9"/>
    <s v="Adams Telephone Message Book W/Dividers/Space For Phone Numbers, 5 1/4&quot;X8 1/2&quot;, 300/Messages"/>
    <n v="9.4079999999999995"/>
  </r>
  <r>
    <n v="2832"/>
    <s v="CA-2015-148915"/>
    <d v="2015-11-01T00:00:00"/>
    <d v="2015-11-05T00:00:00"/>
    <x v="0"/>
    <x v="6"/>
    <n v="11"/>
    <n v="4"/>
    <s v="Standard Class"/>
    <s v="ND-18370"/>
    <x v="52"/>
    <x v="0"/>
    <s v="United States"/>
    <x v="37"/>
    <x v="21"/>
    <n v="97206"/>
    <x v="3"/>
    <s v="OFF-ST-10001128"/>
    <x v="0"/>
    <x v="11"/>
    <s v="Carina Mini System Audio Rack, Model AR050B"/>
    <n v="443.92"/>
  </r>
  <r>
    <n v="4066"/>
    <s v="CA-2015-102673"/>
    <d v="2015-11-01T00:00:00"/>
    <d v="2015-11-05T00:00:00"/>
    <x v="0"/>
    <x v="6"/>
    <n v="11"/>
    <n v="4"/>
    <s v="Standard Class"/>
    <s v="KH-16630"/>
    <x v="53"/>
    <x v="1"/>
    <s v="United States"/>
    <x v="31"/>
    <x v="18"/>
    <n v="28205"/>
    <x v="2"/>
    <s v="OFF-FA-10003021"/>
    <x v="0"/>
    <x v="10"/>
    <s v="Staples"/>
    <n v="7.52"/>
  </r>
  <r>
    <n v="7559"/>
    <s v="US-2015-137155"/>
    <d v="2015-11-01T00:00:00"/>
    <d v="2015-11-05T00:00:00"/>
    <x v="0"/>
    <x v="6"/>
    <n v="11"/>
    <n v="4"/>
    <s v="Standard Class"/>
    <s v="DL-12925"/>
    <x v="54"/>
    <x v="0"/>
    <s v="United States"/>
    <x v="38"/>
    <x v="8"/>
    <n v="11561"/>
    <x v="1"/>
    <s v="OFF-AP-10002518"/>
    <x v="0"/>
    <x v="4"/>
    <s v="Kensington 7 Outlet MasterPiece Power Center"/>
    <n v="533.94000000000005"/>
  </r>
  <r>
    <n v="8389"/>
    <s v="CA-2015-139423"/>
    <d v="2015-11-01T00:00:00"/>
    <d v="2015-11-05T00:00:00"/>
    <x v="0"/>
    <x v="6"/>
    <n v="11"/>
    <n v="4"/>
    <s v="Standard Class"/>
    <s v="DG-13300"/>
    <x v="55"/>
    <x v="1"/>
    <s v="United States"/>
    <x v="39"/>
    <x v="22"/>
    <n v="7050"/>
    <x v="1"/>
    <s v="OFF-AP-10004708"/>
    <x v="0"/>
    <x v="4"/>
    <s v="Fellowes Superior 10 Outlet Split Surge Protector"/>
    <n v="76.12"/>
  </r>
  <r>
    <n v="8979"/>
    <s v="CA-2015-119529"/>
    <d v="2015-11-03T00:00:00"/>
    <d v="2015-11-05T00:00:00"/>
    <x v="0"/>
    <x v="6"/>
    <n v="11"/>
    <n v="2"/>
    <s v="Second Class"/>
    <s v="DM-13345"/>
    <x v="56"/>
    <x v="1"/>
    <s v="United States"/>
    <x v="39"/>
    <x v="22"/>
    <n v="7050"/>
    <x v="1"/>
    <s v="OFF-BI-10000546"/>
    <x v="0"/>
    <x v="6"/>
    <s v="Avery Durable Binders"/>
    <n v="5.76"/>
  </r>
  <r>
    <n v="9787"/>
    <s v="US-2015-114377"/>
    <d v="2015-11-05T00:00:00"/>
    <d v="2015-11-05T00:00:00"/>
    <x v="0"/>
    <x v="6"/>
    <n v="11"/>
    <n v="0"/>
    <s v="Same Day"/>
    <s v="BG-11035"/>
    <x v="57"/>
    <x v="0"/>
    <s v="United States"/>
    <x v="40"/>
    <x v="2"/>
    <n v="23666"/>
    <x v="2"/>
    <s v="FUR-CH-10004754"/>
    <x v="1"/>
    <x v="5"/>
    <s v="Global Stack Chair with Arms, Black"/>
    <n v="149.9"/>
  </r>
  <r>
    <n v="2076"/>
    <s v="CA-2015-131051"/>
    <d v="2015-12-01T00:00:00"/>
    <d v="2015-12-05T00:00:00"/>
    <x v="0"/>
    <x v="7"/>
    <n v="12"/>
    <n v="4"/>
    <s v="Standard Class"/>
    <s v="TR-21325"/>
    <x v="58"/>
    <x v="0"/>
    <s v="United States"/>
    <x v="9"/>
    <x v="7"/>
    <n v="94122"/>
    <x v="3"/>
    <s v="FUR-FU-10001861"/>
    <x v="1"/>
    <x v="1"/>
    <s v="Floodlight Indoor Halogen Bulbs, 1 Bulb per Pack, 60 Watts"/>
    <n v="58.2"/>
  </r>
  <r>
    <n v="7555"/>
    <s v="CA-2015-114181"/>
    <d v="2015-05-10T00:00:00"/>
    <d v="2015-05-14T00:00:00"/>
    <x v="0"/>
    <x v="1"/>
    <n v="5"/>
    <n v="4"/>
    <s v="Second Class"/>
    <s v="AF-10885"/>
    <x v="59"/>
    <x v="0"/>
    <s v="United States"/>
    <x v="41"/>
    <x v="23"/>
    <n v="19134"/>
    <x v="1"/>
    <s v="FUR-BO-10004467"/>
    <x v="1"/>
    <x v="13"/>
    <s v="Bestar Classic Bookcase"/>
    <n v="349.96499999999997"/>
  </r>
  <r>
    <n v="825"/>
    <s v="US-2015-102071"/>
    <d v="2015-05-09T00:00:00"/>
    <d v="2015-05-15T00:00:00"/>
    <x v="0"/>
    <x v="1"/>
    <n v="5"/>
    <n v="6"/>
    <s v="Standard Class"/>
    <s v="PG-18820"/>
    <x v="60"/>
    <x v="0"/>
    <s v="United States"/>
    <x v="9"/>
    <x v="7"/>
    <n v="94110"/>
    <x v="3"/>
    <s v="TEC-AC-10003441"/>
    <x v="2"/>
    <x v="3"/>
    <s v="Kingston Digital DataTraveler 32GB USB 2.0"/>
    <n v="67.8"/>
  </r>
  <r>
    <n v="5197"/>
    <s v="CA-2015-159709"/>
    <d v="2015-05-10T00:00:00"/>
    <d v="2015-05-15T00:00:00"/>
    <x v="0"/>
    <x v="1"/>
    <n v="5"/>
    <n v="5"/>
    <s v="Standard Class"/>
    <s v="AI-10855"/>
    <x v="61"/>
    <x v="0"/>
    <s v="United States"/>
    <x v="42"/>
    <x v="24"/>
    <n v="98031"/>
    <x v="3"/>
    <s v="OFF-EN-10001434"/>
    <x v="0"/>
    <x v="14"/>
    <s v="Strathmore #10 Envelopes, Ultimate White"/>
    <n v="158.13"/>
  </r>
  <r>
    <n v="9197"/>
    <s v="CA-2015-103310"/>
    <d v="2015-05-10T00:00:00"/>
    <d v="2015-05-15T00:00:00"/>
    <x v="0"/>
    <x v="1"/>
    <n v="5"/>
    <n v="5"/>
    <s v="Standard Class"/>
    <s v="GM-14680"/>
    <x v="62"/>
    <x v="0"/>
    <s v="United States"/>
    <x v="43"/>
    <x v="7"/>
    <n v="95123"/>
    <x v="3"/>
    <s v="OFF-PA-10004353"/>
    <x v="0"/>
    <x v="9"/>
    <s v="Southworth 25% Cotton Premium Laser Paper and Envelopes"/>
    <n v="39.96"/>
  </r>
  <r>
    <n v="9590"/>
    <s v="CA-2015-119172"/>
    <d v="2015-05-11T00:00:00"/>
    <d v="2015-05-15T00:00:00"/>
    <x v="0"/>
    <x v="1"/>
    <n v="5"/>
    <n v="4"/>
    <s v="Standard Class"/>
    <s v="HD-14785"/>
    <x v="63"/>
    <x v="2"/>
    <s v="United States"/>
    <x v="19"/>
    <x v="14"/>
    <n v="60610"/>
    <x v="0"/>
    <s v="OFF-PA-10003036"/>
    <x v="0"/>
    <x v="9"/>
    <s v="Black Print Carbonless 8 1/2&quot; x 8 1/4&quot; Rapid Memo Book"/>
    <n v="17.472000000000001"/>
  </r>
  <r>
    <n v="1658"/>
    <s v="CA-2015-127159"/>
    <d v="2015-05-12T00:00:00"/>
    <d v="2015-05-15T00:00:00"/>
    <x v="0"/>
    <x v="1"/>
    <n v="5"/>
    <n v="3"/>
    <s v="First Class"/>
    <s v="HL-15040"/>
    <x v="64"/>
    <x v="0"/>
    <s v="United States"/>
    <x v="44"/>
    <x v="6"/>
    <n v="53209"/>
    <x v="0"/>
    <s v="FUR-FU-10000010"/>
    <x v="1"/>
    <x v="1"/>
    <s v="DAX Value U-Channel Document Frames, Easel Back"/>
    <n v="34.79"/>
  </r>
  <r>
    <n v="18"/>
    <s v="CA-2015-167164"/>
    <d v="2015-05-13T00:00:00"/>
    <d v="2015-05-15T00:00:00"/>
    <x v="0"/>
    <x v="1"/>
    <n v="5"/>
    <n v="2"/>
    <s v="Second Class"/>
    <s v="AG-10270"/>
    <x v="65"/>
    <x v="0"/>
    <s v="United States"/>
    <x v="45"/>
    <x v="25"/>
    <n v="84084"/>
    <x v="3"/>
    <s v="OFF-ST-10000107"/>
    <x v="0"/>
    <x v="11"/>
    <s v="Fellowes Super Stor/Drawer"/>
    <n v="55.5"/>
  </r>
  <r>
    <n v="544"/>
    <s v="CA-2015-103849"/>
    <d v="2015-05-11T00:00:00"/>
    <d v="2015-05-16T00:00:00"/>
    <x v="0"/>
    <x v="1"/>
    <n v="5"/>
    <n v="5"/>
    <s v="Standard Class"/>
    <s v="PG-18895"/>
    <x v="66"/>
    <x v="0"/>
    <s v="United States"/>
    <x v="46"/>
    <x v="0"/>
    <n v="76106"/>
    <x v="0"/>
    <s v="TEC-AC-10001465"/>
    <x v="2"/>
    <x v="3"/>
    <s v="SanDisk Cruzer 64 GB USB Flash Drive"/>
    <n v="58.112000000000002"/>
  </r>
  <r>
    <n v="9429"/>
    <s v="CA-2015-152100"/>
    <d v="2015-05-11T00:00:00"/>
    <d v="2015-05-16T00:00:00"/>
    <x v="0"/>
    <x v="1"/>
    <n v="5"/>
    <n v="5"/>
    <s v="Standard Class"/>
    <s v="VW-21775"/>
    <x v="67"/>
    <x v="1"/>
    <s v="United States"/>
    <x v="47"/>
    <x v="0"/>
    <n v="77340"/>
    <x v="0"/>
    <s v="FUR-CH-10000015"/>
    <x v="1"/>
    <x v="5"/>
    <s v="Hon Multipurpose Stacking Arm Chairs"/>
    <n v="1212.96"/>
  </r>
  <r>
    <n v="1759"/>
    <s v="CA-2015-139017"/>
    <d v="2015-05-11T00:00:00"/>
    <d v="2015-05-17T00:00:00"/>
    <x v="0"/>
    <x v="1"/>
    <n v="5"/>
    <n v="6"/>
    <s v="Standard Class"/>
    <s v="RM-19375"/>
    <x v="68"/>
    <x v="0"/>
    <s v="United States"/>
    <x v="13"/>
    <x v="0"/>
    <n v="77095"/>
    <x v="0"/>
    <s v="TEC-AC-10001013"/>
    <x v="2"/>
    <x v="3"/>
    <s v="Logitech ClearChat Comfort/USB Headset H390"/>
    <n v="46.863999999999997"/>
  </r>
  <r>
    <n v="4125"/>
    <s v="CA-2015-127523"/>
    <d v="2015-05-11T00:00:00"/>
    <d v="2015-05-18T00:00:00"/>
    <x v="0"/>
    <x v="1"/>
    <n v="5"/>
    <n v="7"/>
    <s v="Standard Class"/>
    <s v="BG-11695"/>
    <x v="69"/>
    <x v="1"/>
    <s v="United States"/>
    <x v="34"/>
    <x v="8"/>
    <n v="13601"/>
    <x v="1"/>
    <s v="OFF-AP-10004249"/>
    <x v="0"/>
    <x v="4"/>
    <s v="Staple holder"/>
    <n v="35.909999999999997"/>
  </r>
  <r>
    <n v="5355"/>
    <s v="CA-2015-113768"/>
    <d v="2015-05-13T00:00:00"/>
    <d v="2015-05-19T00:00:00"/>
    <x v="0"/>
    <x v="1"/>
    <n v="5"/>
    <n v="6"/>
    <s v="Standard Class"/>
    <s v="AH-10030"/>
    <x v="70"/>
    <x v="1"/>
    <s v="United States"/>
    <x v="11"/>
    <x v="7"/>
    <n v="90004"/>
    <x v="3"/>
    <s v="FUR-CH-10002439"/>
    <x v="1"/>
    <x v="5"/>
    <s v="Iceberg Nesting Folding Chair, 19w x 6d x 43h"/>
    <n v="279.45600000000002"/>
  </r>
  <r>
    <n v="3079"/>
    <s v="CA-2015-104780"/>
    <d v="2015-05-21T00:00:00"/>
    <d v="2015-05-25T00:00:00"/>
    <x v="0"/>
    <x v="1"/>
    <n v="5"/>
    <n v="4"/>
    <s v="Standard Class"/>
    <s v="BT-11530"/>
    <x v="71"/>
    <x v="2"/>
    <s v="United States"/>
    <x v="48"/>
    <x v="7"/>
    <n v="92037"/>
    <x v="3"/>
    <s v="OFF-AR-10003514"/>
    <x v="0"/>
    <x v="0"/>
    <s v="4009 Highlighters by Sanford"/>
    <n v="31.84"/>
  </r>
  <r>
    <n v="1704"/>
    <s v="CA-2015-139857"/>
    <d v="2015-02-02T00:00:00"/>
    <d v="2015-02-06T00:00:00"/>
    <x v="0"/>
    <x v="2"/>
    <n v="2"/>
    <n v="4"/>
    <s v="Standard Class"/>
    <s v="CD-12790"/>
    <x v="72"/>
    <x v="2"/>
    <s v="United States"/>
    <x v="48"/>
    <x v="7"/>
    <n v="92037"/>
    <x v="3"/>
    <s v="OFF-FA-10001843"/>
    <x v="0"/>
    <x v="10"/>
    <s v="Staples"/>
    <n v="12.35"/>
  </r>
  <r>
    <n v="1518"/>
    <s v="CA-2015-111059"/>
    <d v="2015-02-03T00:00:00"/>
    <d v="2015-02-06T00:00:00"/>
    <x v="0"/>
    <x v="2"/>
    <n v="2"/>
    <n v="3"/>
    <s v="Second Class"/>
    <s v="TB-21400"/>
    <x v="73"/>
    <x v="0"/>
    <s v="United States"/>
    <x v="49"/>
    <x v="24"/>
    <n v="98105"/>
    <x v="3"/>
    <s v="OFF-BI-10004593"/>
    <x v="0"/>
    <x v="6"/>
    <s v="Ibico Laser Imprintable Binding System Covers"/>
    <n v="83.84"/>
  </r>
  <r>
    <n v="158"/>
    <s v="CA-2015-104269"/>
    <d v="2015-03-01T00:00:00"/>
    <d v="2015-03-06T00:00:00"/>
    <x v="0"/>
    <x v="8"/>
    <n v="3"/>
    <n v="5"/>
    <s v="Second Class"/>
    <s v="DB-13060"/>
    <x v="74"/>
    <x v="0"/>
    <s v="United States"/>
    <x v="49"/>
    <x v="24"/>
    <n v="98115"/>
    <x v="3"/>
    <s v="FUR-CH-10004063"/>
    <x v="1"/>
    <x v="5"/>
    <s v="Global Deluxe High-Back Manager's Chair"/>
    <n v="457.56799999999998"/>
  </r>
  <r>
    <n v="1373"/>
    <s v="US-2015-157021"/>
    <d v="2015-04-01T00:00:00"/>
    <d v="2015-04-06T00:00:00"/>
    <x v="0"/>
    <x v="9"/>
    <n v="4"/>
    <n v="5"/>
    <s v="Second Class"/>
    <s v="KM-16720"/>
    <x v="75"/>
    <x v="0"/>
    <s v="United States"/>
    <x v="50"/>
    <x v="7"/>
    <n v="94591"/>
    <x v="3"/>
    <s v="OFF-LA-10002312"/>
    <x v="0"/>
    <x v="2"/>
    <s v="Avery 490"/>
    <n v="29.6"/>
  </r>
  <r>
    <n v="7954"/>
    <s v="CA-2015-138359"/>
    <d v="2015-04-01T00:00:00"/>
    <d v="2015-04-06T00:00:00"/>
    <x v="0"/>
    <x v="9"/>
    <n v="4"/>
    <n v="5"/>
    <s v="Standard Class"/>
    <s v="KH-16330"/>
    <x v="76"/>
    <x v="1"/>
    <s v="United States"/>
    <x v="51"/>
    <x v="9"/>
    <n v="2151"/>
    <x v="1"/>
    <s v="OFF-ST-10000636"/>
    <x v="0"/>
    <x v="11"/>
    <s v="Rogers Profile Extra Capacity Storage Tub"/>
    <n v="66.959999999999994"/>
  </r>
  <r>
    <n v="8827"/>
    <s v="US-2015-157847"/>
    <d v="2015-04-02T00:00:00"/>
    <d v="2015-04-06T00:00:00"/>
    <x v="0"/>
    <x v="9"/>
    <n v="4"/>
    <n v="4"/>
    <s v="Second Class"/>
    <s v="SC-20020"/>
    <x v="77"/>
    <x v="0"/>
    <s v="United States"/>
    <x v="13"/>
    <x v="0"/>
    <n v="77095"/>
    <x v="0"/>
    <s v="OFF-PA-10002986"/>
    <x v="0"/>
    <x v="9"/>
    <s v="Xerox 1898"/>
    <n v="26.72"/>
  </r>
  <r>
    <n v="245"/>
    <s v="CA-2015-131926"/>
    <d v="2015-06-01T00:00:00"/>
    <d v="2015-06-06T00:00:00"/>
    <x v="0"/>
    <x v="11"/>
    <n v="6"/>
    <n v="5"/>
    <s v="Second Class"/>
    <s v="DW-13480"/>
    <x v="78"/>
    <x v="2"/>
    <s v="United States"/>
    <x v="52"/>
    <x v="26"/>
    <n v="55044"/>
    <x v="0"/>
    <s v="FUR-CH-10004063"/>
    <x v="1"/>
    <x v="5"/>
    <s v="Global Deluxe High-Back Manager's Chair"/>
    <n v="2001.86"/>
  </r>
  <r>
    <n v="307"/>
    <s v="CA-2015-111003"/>
    <d v="2015-06-01T00:00:00"/>
    <d v="2015-06-06T00:00:00"/>
    <x v="0"/>
    <x v="11"/>
    <n v="6"/>
    <n v="5"/>
    <s v="Standard Class"/>
    <s v="CR-12625"/>
    <x v="79"/>
    <x v="2"/>
    <s v="United States"/>
    <x v="53"/>
    <x v="22"/>
    <n v="8701"/>
    <x v="1"/>
    <s v="OFF-BI-10001072"/>
    <x v="0"/>
    <x v="6"/>
    <s v="GBC Clear Cover, 8-1/2 x 11, unpunched, 25 covers per pack"/>
    <n v="45.48"/>
  </r>
  <r>
    <n v="2201"/>
    <s v="US-2015-165659"/>
    <d v="2015-06-01T00:00:00"/>
    <d v="2015-06-06T00:00:00"/>
    <x v="0"/>
    <x v="11"/>
    <n v="6"/>
    <n v="5"/>
    <s v="Standard Class"/>
    <s v="LT-17110"/>
    <x v="80"/>
    <x v="0"/>
    <s v="United States"/>
    <x v="54"/>
    <x v="27"/>
    <n v="72209"/>
    <x v="2"/>
    <s v="FUR-FU-10001935"/>
    <x v="1"/>
    <x v="1"/>
    <s v="3M Hangers With Command Adhesive"/>
    <n v="22.2"/>
  </r>
  <r>
    <n v="9150"/>
    <s v="US-2015-157070"/>
    <d v="2015-06-01T00:00:00"/>
    <d v="2015-06-06T00:00:00"/>
    <x v="0"/>
    <x v="11"/>
    <n v="6"/>
    <n v="5"/>
    <s v="Standard Class"/>
    <s v="QJ-19255"/>
    <x v="81"/>
    <x v="1"/>
    <s v="United States"/>
    <x v="55"/>
    <x v="11"/>
    <n v="48234"/>
    <x v="0"/>
    <s v="OFF-BI-10001765"/>
    <x v="0"/>
    <x v="6"/>
    <s v="Wilson Jones Heavy-Duty Casebound Ring Binders with Metal Hinges"/>
    <n v="138.56"/>
  </r>
  <r>
    <n v="3888"/>
    <s v="CA-2015-100895"/>
    <d v="2015-06-02T00:00:00"/>
    <d v="2015-06-06T00:00:00"/>
    <x v="0"/>
    <x v="11"/>
    <n v="6"/>
    <n v="4"/>
    <s v="Standard Class"/>
    <s v="SV-20785"/>
    <x v="82"/>
    <x v="0"/>
    <s v="United States"/>
    <x v="3"/>
    <x v="3"/>
    <n v="30076"/>
    <x v="2"/>
    <s v="OFF-AR-10004511"/>
    <x v="0"/>
    <x v="0"/>
    <s v="Sanford Colorific Scented Colored Pencils, 12/Pack"/>
    <n v="8.56"/>
  </r>
  <r>
    <n v="716"/>
    <s v="CA-2015-153150"/>
    <d v="2015-07-01T00:00:00"/>
    <d v="2015-07-06T00:00:00"/>
    <x v="0"/>
    <x v="10"/>
    <n v="7"/>
    <n v="5"/>
    <s v="Second Class"/>
    <s v="Dl-13600"/>
    <x v="83"/>
    <x v="1"/>
    <s v="United States"/>
    <x v="49"/>
    <x v="24"/>
    <n v="98105"/>
    <x v="3"/>
    <s v="OFF-BI-10003355"/>
    <x v="0"/>
    <x v="6"/>
    <s v="Cardinal Holdit Business Card Pockets"/>
    <n v="19.920000000000002"/>
  </r>
  <r>
    <n v="2733"/>
    <s v="CA-2015-107594"/>
    <d v="2015-07-02T00:00:00"/>
    <d v="2015-07-06T00:00:00"/>
    <x v="0"/>
    <x v="10"/>
    <n v="7"/>
    <n v="4"/>
    <s v="Standard Class"/>
    <s v="EH-13945"/>
    <x v="84"/>
    <x v="0"/>
    <s v="United States"/>
    <x v="56"/>
    <x v="22"/>
    <n v="7060"/>
    <x v="1"/>
    <s v="TEC-PH-10002923"/>
    <x v="2"/>
    <x v="8"/>
    <s v="Logitech B530 USBÂ HeadsetÂ -Â headsetÂ - Full size, Binaural"/>
    <n v="73.98"/>
  </r>
  <r>
    <n v="2411"/>
    <s v="CA-2015-162684"/>
    <d v="2015-08-01T00:00:00"/>
    <d v="2015-08-06T00:00:00"/>
    <x v="0"/>
    <x v="3"/>
    <n v="8"/>
    <n v="5"/>
    <s v="Standard Class"/>
    <s v="AS-10630"/>
    <x v="85"/>
    <x v="2"/>
    <s v="United States"/>
    <x v="41"/>
    <x v="23"/>
    <n v="19120"/>
    <x v="1"/>
    <s v="OFF-FA-10000992"/>
    <x v="0"/>
    <x v="10"/>
    <s v="Acco Clips to Go Binder Clips, 24 Clips in Two Sizes"/>
    <n v="5.68"/>
  </r>
  <r>
    <n v="6440"/>
    <s v="CA-2015-166891"/>
    <d v="2015-10-04T00:00:00"/>
    <d v="2015-10-06T00:00:00"/>
    <x v="0"/>
    <x v="5"/>
    <n v="10"/>
    <n v="2"/>
    <s v="First Class"/>
    <s v="CC-12220"/>
    <x v="86"/>
    <x v="0"/>
    <s v="United States"/>
    <x v="10"/>
    <x v="8"/>
    <n v="10024"/>
    <x v="1"/>
    <s v="FUR-CH-10003298"/>
    <x v="1"/>
    <x v="5"/>
    <s v="Office Star - Contemporary Task Swivel chair with Loop Arms, Charcoal"/>
    <n v="589.41"/>
  </r>
  <r>
    <n v="6805"/>
    <s v="CA-2015-152233"/>
    <d v="2015-10-05T00:00:00"/>
    <d v="2015-10-06T00:00:00"/>
    <x v="0"/>
    <x v="5"/>
    <n v="10"/>
    <n v="1"/>
    <s v="First Class"/>
    <s v="KH-16510"/>
    <x v="87"/>
    <x v="0"/>
    <s v="United States"/>
    <x v="57"/>
    <x v="7"/>
    <n v="91767"/>
    <x v="3"/>
    <s v="TEC-AC-10002800"/>
    <x v="2"/>
    <x v="3"/>
    <s v="Plantronics Audio 478 Stereo USB Headset"/>
    <n v="99.98"/>
  </r>
  <r>
    <n v="4524"/>
    <s v="CA-2015-107454"/>
    <d v="2015-11-02T00:00:00"/>
    <d v="2015-11-06T00:00:00"/>
    <x v="0"/>
    <x v="6"/>
    <n v="11"/>
    <n v="4"/>
    <s v="Standard Class"/>
    <s v="RD-19720"/>
    <x v="88"/>
    <x v="0"/>
    <s v="United States"/>
    <x v="10"/>
    <x v="8"/>
    <n v="10024"/>
    <x v="1"/>
    <s v="OFF-LA-10001569"/>
    <x v="0"/>
    <x v="2"/>
    <s v="Avery 499"/>
    <n v="34.86"/>
  </r>
  <r>
    <n v="6502"/>
    <s v="CA-2015-129147"/>
    <d v="2015-11-02T00:00:00"/>
    <d v="2015-11-06T00:00:00"/>
    <x v="0"/>
    <x v="6"/>
    <n v="11"/>
    <n v="4"/>
    <s v="Standard Class"/>
    <s v="LC-17050"/>
    <x v="89"/>
    <x v="0"/>
    <s v="United States"/>
    <x v="58"/>
    <x v="4"/>
    <n v="44256"/>
    <x v="1"/>
    <s v="TEC-PH-10001299"/>
    <x v="2"/>
    <x v="8"/>
    <s v="Polycom CX300 Desktop Phone USB VoIP phone"/>
    <n v="539.96400000000006"/>
  </r>
  <r>
    <n v="7277"/>
    <s v="CA-2015-120670"/>
    <d v="2015-11-02T00:00:00"/>
    <d v="2015-11-06T00:00:00"/>
    <x v="0"/>
    <x v="6"/>
    <n v="11"/>
    <n v="4"/>
    <s v="Standard Class"/>
    <s v="JK-16120"/>
    <x v="90"/>
    <x v="2"/>
    <s v="United States"/>
    <x v="59"/>
    <x v="12"/>
    <n v="33311"/>
    <x v="2"/>
    <s v="TEC-AC-10004171"/>
    <x v="2"/>
    <x v="3"/>
    <s v="Razer Kraken 7.1 Surround Sound Over Ear USB Gaming Headset"/>
    <n v="799.92"/>
  </r>
  <r>
    <n v="7507"/>
    <s v="CA-2015-115889"/>
    <d v="2015-11-02T00:00:00"/>
    <d v="2015-11-06T00:00:00"/>
    <x v="0"/>
    <x v="6"/>
    <n v="11"/>
    <n v="4"/>
    <s v="Standard Class"/>
    <s v="SH-20395"/>
    <x v="91"/>
    <x v="0"/>
    <s v="United States"/>
    <x v="9"/>
    <x v="7"/>
    <n v="94122"/>
    <x v="3"/>
    <s v="TEC-PH-10001615"/>
    <x v="2"/>
    <x v="8"/>
    <s v="AT&amp;T CL82213"/>
    <n v="46.384"/>
  </r>
  <r>
    <n v="2788"/>
    <s v="US-2015-117744"/>
    <d v="2015-12-02T00:00:00"/>
    <d v="2015-12-06T00:00:00"/>
    <x v="0"/>
    <x v="7"/>
    <n v="12"/>
    <n v="4"/>
    <s v="Standard Class"/>
    <s v="MD-17860"/>
    <x v="92"/>
    <x v="1"/>
    <s v="United States"/>
    <x v="60"/>
    <x v="0"/>
    <n v="78415"/>
    <x v="0"/>
    <s v="FUR-FU-10001588"/>
    <x v="1"/>
    <x v="1"/>
    <s v="Deflect-o SuperTray Unbreakable Stackable Tray, Letter, Black"/>
    <n v="58.36"/>
  </r>
  <r>
    <n v="2623"/>
    <s v="CA-2015-164861"/>
    <d v="2015-12-03T00:00:00"/>
    <d v="2015-12-06T00:00:00"/>
    <x v="0"/>
    <x v="7"/>
    <n v="12"/>
    <n v="3"/>
    <s v="Second Class"/>
    <s v="MC-17635"/>
    <x v="93"/>
    <x v="1"/>
    <s v="United States"/>
    <x v="61"/>
    <x v="5"/>
    <n v="63116"/>
    <x v="0"/>
    <s v="OFF-PA-10001972"/>
    <x v="0"/>
    <x v="9"/>
    <s v="Xerox 214"/>
    <n v="25.92"/>
  </r>
  <r>
    <n v="9367"/>
    <s v="CA-2015-108147"/>
    <d v="2015-06-08T00:00:00"/>
    <d v="2015-06-13T00:00:00"/>
    <x v="0"/>
    <x v="11"/>
    <n v="6"/>
    <n v="5"/>
    <s v="Standard Class"/>
    <s v="RD-19480"/>
    <x v="94"/>
    <x v="0"/>
    <s v="United States"/>
    <x v="38"/>
    <x v="8"/>
    <n v="11561"/>
    <x v="1"/>
    <s v="OFF-BI-10003876"/>
    <x v="0"/>
    <x v="6"/>
    <s v="Green Canvas Binder for 8-1/2&quot; x 14&quot; Sheets"/>
    <n v="68.48"/>
  </r>
  <r>
    <n v="489"/>
    <s v="CA-2015-133753"/>
    <d v="2015-06-09T00:00:00"/>
    <d v="2015-06-13T00:00:00"/>
    <x v="0"/>
    <x v="11"/>
    <n v="6"/>
    <n v="4"/>
    <s v="Second Class"/>
    <s v="CW-11905"/>
    <x v="95"/>
    <x v="2"/>
    <s v="United States"/>
    <x v="47"/>
    <x v="0"/>
    <n v="77340"/>
    <x v="0"/>
    <s v="TEC-PH-10000376"/>
    <x v="2"/>
    <x v="8"/>
    <s v="Square Credit Card Reader"/>
    <n v="7.992"/>
  </r>
  <r>
    <n v="4955"/>
    <s v="CA-2015-160262"/>
    <d v="2015-06-09T00:00:00"/>
    <d v="2015-06-13T00:00:00"/>
    <x v="0"/>
    <x v="11"/>
    <n v="6"/>
    <n v="4"/>
    <s v="Second Class"/>
    <s v="TS-21205"/>
    <x v="96"/>
    <x v="1"/>
    <s v="United States"/>
    <x v="62"/>
    <x v="20"/>
    <n v="89031"/>
    <x v="3"/>
    <s v="OFF-AR-10002335"/>
    <x v="0"/>
    <x v="0"/>
    <s v="DIXON Oriole Pencils"/>
    <n v="18.059999999999999"/>
  </r>
  <r>
    <n v="2750"/>
    <s v="US-2015-141257"/>
    <d v="2015-06-08T00:00:00"/>
    <d v="2015-06-14T00:00:00"/>
    <x v="0"/>
    <x v="11"/>
    <n v="6"/>
    <n v="6"/>
    <s v="Standard Class"/>
    <s v="CS-11950"/>
    <x v="97"/>
    <x v="0"/>
    <s v="United States"/>
    <x v="49"/>
    <x v="24"/>
    <n v="98115"/>
    <x v="3"/>
    <s v="FUR-CH-10002758"/>
    <x v="1"/>
    <x v="5"/>
    <s v="Hon Deluxe Fabric Upholstered Stacking Chairs, Squared Back"/>
    <n v="585.55200000000002"/>
  </r>
  <r>
    <n v="6"/>
    <s v="CA-2015-115812"/>
    <d v="2015-06-09T00:00:00"/>
    <d v="2015-06-14T00:00:00"/>
    <x v="0"/>
    <x v="11"/>
    <n v="6"/>
    <n v="5"/>
    <s v="Standard Class"/>
    <s v="BH-11710"/>
    <x v="98"/>
    <x v="0"/>
    <s v="United States"/>
    <x v="11"/>
    <x v="7"/>
    <n v="90032"/>
    <x v="3"/>
    <s v="FUR-FU-10001487"/>
    <x v="1"/>
    <x v="1"/>
    <s v="Eldon Expressions Wood and Plastic Desk Accessories, Cherry Wood"/>
    <n v="48.86"/>
  </r>
  <r>
    <n v="9697"/>
    <s v="CA-2015-144281"/>
    <d v="2015-06-10T00:00:00"/>
    <d v="2015-06-15T00:00:00"/>
    <x v="0"/>
    <x v="11"/>
    <n v="6"/>
    <n v="5"/>
    <s v="Second Class"/>
    <s v="HK-14890"/>
    <x v="99"/>
    <x v="1"/>
    <s v="United States"/>
    <x v="55"/>
    <x v="11"/>
    <n v="48234"/>
    <x v="0"/>
    <s v="OFF-LA-10003930"/>
    <x v="0"/>
    <x v="2"/>
    <s v="Dot Matrix Printer Tape Reel Labels, White, 5000/Box"/>
    <n v="491.55"/>
  </r>
  <r>
    <n v="861"/>
    <s v="CA-2015-133851"/>
    <d v="2015-06-09T00:00:00"/>
    <d v="2015-06-16T00:00:00"/>
    <x v="0"/>
    <x v="11"/>
    <n v="6"/>
    <n v="7"/>
    <s v="Standard Class"/>
    <s v="CM-12445"/>
    <x v="100"/>
    <x v="0"/>
    <s v="United States"/>
    <x v="9"/>
    <x v="7"/>
    <n v="94122"/>
    <x v="3"/>
    <s v="OFF-SU-10001225"/>
    <x v="0"/>
    <x v="15"/>
    <s v="Staple remover"/>
    <n v="7.36"/>
  </r>
  <r>
    <n v="7981"/>
    <s v="CA-2015-103800"/>
    <d v="2015-01-03T00:00:00"/>
    <d v="2015-01-07T00:00:00"/>
    <x v="0"/>
    <x v="0"/>
    <n v="1"/>
    <n v="4"/>
    <s v="Standard Class"/>
    <s v="DP-13000"/>
    <x v="101"/>
    <x v="0"/>
    <s v="United States"/>
    <x v="13"/>
    <x v="0"/>
    <n v="77095"/>
    <x v="0"/>
    <s v="OFF-PA-10000174"/>
    <x v="0"/>
    <x v="9"/>
    <s v="Message Book, Wirebound, Four 5 1/2&quot; X 4&quot; Forms/Pg., 200 Dupl. Sets/Book"/>
    <n v="16.448"/>
  </r>
  <r>
    <n v="8310"/>
    <s v="CA-2015-168312"/>
    <d v="2015-03-01T00:00:00"/>
    <d v="2015-03-07T00:00:00"/>
    <x v="0"/>
    <x v="8"/>
    <n v="3"/>
    <n v="6"/>
    <s v="Standard Class"/>
    <s v="GW-14605"/>
    <x v="102"/>
    <x v="0"/>
    <s v="United States"/>
    <x v="13"/>
    <x v="0"/>
    <n v="77036"/>
    <x v="0"/>
    <s v="OFF-ST-10003692"/>
    <x v="0"/>
    <x v="11"/>
    <s v="Recycled Steel Personal File for Hanging File Folders"/>
    <n v="137.352"/>
  </r>
  <r>
    <n v="556"/>
    <s v="CA-2015-155852"/>
    <d v="2015-03-03T00:00:00"/>
    <d v="2015-03-07T00:00:00"/>
    <x v="0"/>
    <x v="8"/>
    <n v="3"/>
    <n v="4"/>
    <s v="Second Class"/>
    <s v="AJ-10945"/>
    <x v="103"/>
    <x v="0"/>
    <s v="United States"/>
    <x v="63"/>
    <x v="18"/>
    <n v="28403"/>
    <x v="2"/>
    <s v="OFF-AR-10003560"/>
    <x v="0"/>
    <x v="0"/>
    <s v="Zebra Zazzle Fluorescent Highlighters"/>
    <n v="19.456"/>
  </r>
  <r>
    <n v="8712"/>
    <s v="CA-2015-105648"/>
    <d v="2015-03-03T00:00:00"/>
    <d v="2015-03-07T00:00:00"/>
    <x v="0"/>
    <x v="8"/>
    <n v="3"/>
    <n v="4"/>
    <s v="Standard Class"/>
    <s v="EJ-14155"/>
    <x v="104"/>
    <x v="0"/>
    <s v="United States"/>
    <x v="48"/>
    <x v="7"/>
    <n v="92037"/>
    <x v="3"/>
    <s v="FUR-TA-10002958"/>
    <x v="1"/>
    <x v="12"/>
    <s v="Bevis Oval Conference Table, Walnut"/>
    <n v="626.35199999999998"/>
  </r>
  <r>
    <n v="711"/>
    <s v="CA-2015-113887"/>
    <d v="2015-04-05T00:00:00"/>
    <d v="2015-04-07T00:00:00"/>
    <x v="0"/>
    <x v="9"/>
    <n v="4"/>
    <n v="2"/>
    <s v="First Class"/>
    <s v="TH-21550"/>
    <x v="105"/>
    <x v="2"/>
    <s v="United States"/>
    <x v="10"/>
    <x v="8"/>
    <n v="10035"/>
    <x v="1"/>
    <s v="OFF-PA-10004071"/>
    <x v="0"/>
    <x v="9"/>
    <s v="Eaton Premium Continuous-Feed Paper, 25% Cotton, Letter Size, White, 1000 Shts/Box"/>
    <n v="55.48"/>
  </r>
  <r>
    <n v="3879"/>
    <s v="CA-2015-151001"/>
    <d v="2015-04-05T00:00:00"/>
    <d v="2015-04-07T00:00:00"/>
    <x v="0"/>
    <x v="9"/>
    <n v="4"/>
    <n v="2"/>
    <s v="First Class"/>
    <s v="JG-15805"/>
    <x v="106"/>
    <x v="1"/>
    <s v="United States"/>
    <x v="64"/>
    <x v="14"/>
    <n v="62521"/>
    <x v="0"/>
    <s v="OFF-ST-10003455"/>
    <x v="0"/>
    <x v="11"/>
    <s v="Tenex File Box, Personal Filing Tote with Lid, Black"/>
    <n v="49.631999999999998"/>
  </r>
  <r>
    <n v="9507"/>
    <s v="CA-2015-149104"/>
    <d v="2015-04-05T00:00:00"/>
    <d v="2015-04-07T00:00:00"/>
    <x v="0"/>
    <x v="9"/>
    <n v="4"/>
    <n v="2"/>
    <s v="Second Class"/>
    <s v="RD-19900"/>
    <x v="107"/>
    <x v="0"/>
    <s v="United States"/>
    <x v="65"/>
    <x v="11"/>
    <n v="48127"/>
    <x v="0"/>
    <s v="OFF-AR-10002952"/>
    <x v="0"/>
    <x v="0"/>
    <s v="Stanley Contemporary Battery Pencil Sharpeners"/>
    <n v="26.7"/>
  </r>
  <r>
    <n v="6253"/>
    <s v="CA-2015-165806"/>
    <d v="2015-04-07T00:00:00"/>
    <d v="2015-04-07T00:00:00"/>
    <x v="0"/>
    <x v="9"/>
    <n v="4"/>
    <n v="0"/>
    <s v="Same Day"/>
    <s v="VM-21685"/>
    <x v="108"/>
    <x v="2"/>
    <s v="United States"/>
    <x v="66"/>
    <x v="3"/>
    <n v="30062"/>
    <x v="2"/>
    <s v="OFF-PA-10003441"/>
    <x v="0"/>
    <x v="9"/>
    <s v="Xerox 226"/>
    <n v="58.32"/>
  </r>
  <r>
    <n v="7999"/>
    <s v="US-2015-148194"/>
    <d v="2015-05-04T00:00:00"/>
    <d v="2015-05-07T00:00:00"/>
    <x v="0"/>
    <x v="1"/>
    <n v="5"/>
    <n v="3"/>
    <s v="First Class"/>
    <s v="BS-11365"/>
    <x v="109"/>
    <x v="1"/>
    <s v="United States"/>
    <x v="49"/>
    <x v="24"/>
    <n v="98105"/>
    <x v="3"/>
    <s v="FUR-FU-10001852"/>
    <x v="1"/>
    <x v="1"/>
    <s v="Eldon Regeneration Recycled Desk Accessories, Smoke"/>
    <n v="12.18"/>
  </r>
  <r>
    <n v="8596"/>
    <s v="CA-2015-111934"/>
    <d v="2015-05-05T00:00:00"/>
    <d v="2015-05-07T00:00:00"/>
    <x v="0"/>
    <x v="1"/>
    <n v="5"/>
    <n v="2"/>
    <s v="First Class"/>
    <s v="GD-14590"/>
    <x v="110"/>
    <x v="1"/>
    <s v="United States"/>
    <x v="67"/>
    <x v="2"/>
    <n v="22204"/>
    <x v="2"/>
    <s v="OFF-BI-10004364"/>
    <x v="0"/>
    <x v="6"/>
    <s v="Storex Dura Pro Binders"/>
    <n v="11.88"/>
  </r>
  <r>
    <n v="719"/>
    <s v="CA-2015-104472"/>
    <d v="2015-06-02T00:00:00"/>
    <d v="2015-06-07T00:00:00"/>
    <x v="0"/>
    <x v="11"/>
    <n v="6"/>
    <n v="5"/>
    <s v="Standard Class"/>
    <s v="CK-12325"/>
    <x v="111"/>
    <x v="2"/>
    <s v="United States"/>
    <x v="68"/>
    <x v="25"/>
    <n v="84057"/>
    <x v="3"/>
    <s v="OFF-BI-10001658"/>
    <x v="0"/>
    <x v="6"/>
    <s v="GBC Standard Therm-A-Bind Covers"/>
    <n v="59.808"/>
  </r>
  <r>
    <n v="1700"/>
    <s v="CA-2015-135657"/>
    <d v="2015-06-03T00:00:00"/>
    <d v="2015-06-07T00:00:00"/>
    <x v="0"/>
    <x v="11"/>
    <n v="6"/>
    <n v="4"/>
    <s v="Second Class"/>
    <s v="SC-20725"/>
    <x v="112"/>
    <x v="0"/>
    <s v="United States"/>
    <x v="49"/>
    <x v="24"/>
    <n v="98115"/>
    <x v="3"/>
    <s v="FUR-TA-10004086"/>
    <x v="1"/>
    <x v="12"/>
    <s v="KI Adjustable-Height Table"/>
    <n v="515.88"/>
  </r>
  <r>
    <n v="6323"/>
    <s v="CA-2015-141299"/>
    <d v="2015-06-03T00:00:00"/>
    <d v="2015-06-07T00:00:00"/>
    <x v="0"/>
    <x v="11"/>
    <n v="6"/>
    <n v="4"/>
    <s v="Second Class"/>
    <s v="RB-19795"/>
    <x v="113"/>
    <x v="2"/>
    <s v="United States"/>
    <x v="69"/>
    <x v="11"/>
    <n v="48640"/>
    <x v="0"/>
    <s v="OFF-EN-10004459"/>
    <x v="0"/>
    <x v="14"/>
    <s v="Security-Tint Envelopes"/>
    <n v="15.28"/>
  </r>
  <r>
    <n v="6733"/>
    <s v="CA-2015-120096"/>
    <d v="2015-07-04T00:00:00"/>
    <d v="2015-07-07T00:00:00"/>
    <x v="0"/>
    <x v="10"/>
    <n v="7"/>
    <n v="3"/>
    <s v="First Class"/>
    <s v="KE-16420"/>
    <x v="114"/>
    <x v="1"/>
    <s v="United States"/>
    <x v="70"/>
    <x v="19"/>
    <n v="80013"/>
    <x v="3"/>
    <s v="OFF-PA-10001977"/>
    <x v="0"/>
    <x v="9"/>
    <s v="Xerox 194"/>
    <n v="177.536"/>
  </r>
  <r>
    <n v="5865"/>
    <s v="US-2015-117968"/>
    <d v="2015-08-05T00:00:00"/>
    <d v="2015-08-07T00:00:00"/>
    <x v="0"/>
    <x v="3"/>
    <n v="8"/>
    <n v="2"/>
    <s v="Second Class"/>
    <s v="RS-19420"/>
    <x v="115"/>
    <x v="1"/>
    <s v="United States"/>
    <x v="71"/>
    <x v="13"/>
    <n v="6450"/>
    <x v="1"/>
    <s v="OFF-AP-10002765"/>
    <x v="0"/>
    <x v="4"/>
    <s v="Fellowes Advanced Computer Series Surge Protectors"/>
    <n v="79.47"/>
  </r>
  <r>
    <n v="5029"/>
    <s v="CA-2015-151792"/>
    <d v="2015-09-02T00:00:00"/>
    <d v="2015-09-07T00:00:00"/>
    <x v="0"/>
    <x v="4"/>
    <n v="9"/>
    <n v="5"/>
    <s v="Second Class"/>
    <s v="CV-12295"/>
    <x v="116"/>
    <x v="0"/>
    <s v="United States"/>
    <x v="19"/>
    <x v="14"/>
    <n v="60653"/>
    <x v="0"/>
    <s v="TEC-AC-10001606"/>
    <x v="2"/>
    <x v="3"/>
    <s v="Logitech Wireless Performance Mouse MX for PC and Mac"/>
    <n v="239.976"/>
  </r>
  <r>
    <n v="7289"/>
    <s v="CA-2015-158281"/>
    <d v="2015-09-02T00:00:00"/>
    <d v="2015-09-07T00:00:00"/>
    <x v="0"/>
    <x v="4"/>
    <n v="9"/>
    <n v="5"/>
    <s v="Standard Class"/>
    <s v="AG-10525"/>
    <x v="117"/>
    <x v="1"/>
    <s v="United States"/>
    <x v="13"/>
    <x v="0"/>
    <n v="77095"/>
    <x v="0"/>
    <s v="TEC-MA-10002210"/>
    <x v="2"/>
    <x v="16"/>
    <s v="Epson TM-T88V Direct Thermal Printer - Monochrome - Desktop"/>
    <n v="559.71"/>
  </r>
  <r>
    <n v="9034"/>
    <s v="CA-2015-152268"/>
    <d v="2015-09-02T00:00:00"/>
    <d v="2015-09-07T00:00:00"/>
    <x v="0"/>
    <x v="4"/>
    <n v="9"/>
    <n v="5"/>
    <s v="Standard Class"/>
    <s v="SC-20095"/>
    <x v="118"/>
    <x v="0"/>
    <s v="United States"/>
    <x v="72"/>
    <x v="27"/>
    <n v="72701"/>
    <x v="2"/>
    <s v="OFF-BI-10001359"/>
    <x v="0"/>
    <x v="6"/>
    <s v="GBC DocuBind TL300 Electric Binding System"/>
    <n v="1793.98"/>
  </r>
  <r>
    <n v="5430"/>
    <s v="CA-2015-136861"/>
    <d v="2015-09-05T00:00:00"/>
    <d v="2015-09-07T00:00:00"/>
    <x v="0"/>
    <x v="4"/>
    <n v="9"/>
    <n v="2"/>
    <s v="First Class"/>
    <s v="PR-18880"/>
    <x v="119"/>
    <x v="0"/>
    <s v="United States"/>
    <x v="73"/>
    <x v="12"/>
    <n v="33710"/>
    <x v="2"/>
    <s v="FUR-FU-10001967"/>
    <x v="1"/>
    <x v="1"/>
    <s v="Telescoping Adjustable Floor Lamp"/>
    <n v="31.984000000000002"/>
  </r>
  <r>
    <n v="8218"/>
    <s v="CA-2015-120775"/>
    <d v="2015-10-03T00:00:00"/>
    <d v="2015-10-07T00:00:00"/>
    <x v="0"/>
    <x v="5"/>
    <n v="10"/>
    <n v="4"/>
    <s v="Standard Class"/>
    <s v="RD-19930"/>
    <x v="120"/>
    <x v="0"/>
    <s v="United States"/>
    <x v="74"/>
    <x v="0"/>
    <n v="75217"/>
    <x v="0"/>
    <s v="OFF-FA-10002676"/>
    <x v="0"/>
    <x v="10"/>
    <s v="Colored Push Pins"/>
    <n v="4.3440000000000003"/>
  </r>
  <r>
    <n v="806"/>
    <s v="CA-2015-134313"/>
    <d v="2015-11-01T00:00:00"/>
    <d v="2015-11-07T00:00:00"/>
    <x v="0"/>
    <x v="6"/>
    <n v="11"/>
    <n v="6"/>
    <s v="Standard Class"/>
    <s v="RA-19915"/>
    <x v="121"/>
    <x v="0"/>
    <s v="United States"/>
    <x v="32"/>
    <x v="19"/>
    <n v="80219"/>
    <x v="3"/>
    <s v="OFF-AR-10001897"/>
    <x v="0"/>
    <x v="0"/>
    <s v="Model L Table or Wall-Mount Pencil Sharpener"/>
    <n v="43.176000000000002"/>
  </r>
  <r>
    <n v="6228"/>
    <s v="CA-2015-148782"/>
    <d v="2015-11-02T00:00:00"/>
    <d v="2015-11-07T00:00:00"/>
    <x v="0"/>
    <x v="6"/>
    <n v="11"/>
    <n v="5"/>
    <s v="Standard Class"/>
    <s v="PO-18850"/>
    <x v="122"/>
    <x v="0"/>
    <s v="United States"/>
    <x v="75"/>
    <x v="0"/>
    <n v="75061"/>
    <x v="0"/>
    <s v="TEC-PH-10002923"/>
    <x v="2"/>
    <x v="8"/>
    <s v="Logitech B530 USBÂ HeadsetÂ -Â headsetÂ - Full size, Binaural"/>
    <n v="88.775999999999996"/>
  </r>
  <r>
    <n v="7577"/>
    <s v="CA-2015-134726"/>
    <d v="2015-11-02T00:00:00"/>
    <d v="2015-11-07T00:00:00"/>
    <x v="0"/>
    <x v="6"/>
    <n v="11"/>
    <n v="5"/>
    <s v="Second Class"/>
    <s v="SW-20755"/>
    <x v="123"/>
    <x v="1"/>
    <s v="United States"/>
    <x v="49"/>
    <x v="24"/>
    <n v="98115"/>
    <x v="3"/>
    <s v="TEC-AC-10000023"/>
    <x v="2"/>
    <x v="3"/>
    <s v="Maxell 74 Minute CD-R Spindle, 50/Pack"/>
    <n v="41.94"/>
  </r>
  <r>
    <n v="4759"/>
    <s v="CA-2015-121573"/>
    <d v="2015-11-03T00:00:00"/>
    <d v="2015-11-07T00:00:00"/>
    <x v="0"/>
    <x v="6"/>
    <n v="11"/>
    <n v="4"/>
    <s v="Standard Class"/>
    <s v="SG-20605"/>
    <x v="124"/>
    <x v="0"/>
    <s v="United States"/>
    <x v="10"/>
    <x v="8"/>
    <n v="10009"/>
    <x v="1"/>
    <s v="TEC-PH-10000984"/>
    <x v="2"/>
    <x v="8"/>
    <s v="Panasonic KX-TG9471B"/>
    <n v="783.96"/>
  </r>
  <r>
    <n v="9078"/>
    <s v="US-2015-124625"/>
    <d v="2015-11-03T00:00:00"/>
    <d v="2015-11-07T00:00:00"/>
    <x v="0"/>
    <x v="6"/>
    <n v="11"/>
    <n v="4"/>
    <s v="Standard Class"/>
    <s v="SP-20650"/>
    <x v="125"/>
    <x v="1"/>
    <s v="United States"/>
    <x v="76"/>
    <x v="28"/>
    <n v="68104"/>
    <x v="0"/>
    <s v="TEC-AC-10003280"/>
    <x v="2"/>
    <x v="3"/>
    <s v="Belkin F8E887 USB Wired Ergonomic Keyboard"/>
    <n v="89.97"/>
  </r>
  <r>
    <n v="3199"/>
    <s v="CA-2015-131527"/>
    <d v="2015-12-01T00:00:00"/>
    <d v="2015-12-07T00:00:00"/>
    <x v="0"/>
    <x v="7"/>
    <n v="12"/>
    <n v="6"/>
    <s v="Standard Class"/>
    <s v="TB-21280"/>
    <x v="126"/>
    <x v="0"/>
    <s v="United States"/>
    <x v="77"/>
    <x v="18"/>
    <n v="28540"/>
    <x v="2"/>
    <s v="TEC-PH-10001644"/>
    <x v="2"/>
    <x v="8"/>
    <s v="BlueLounge Milo Smartphone Stand, White/Metallic"/>
    <n v="95.968000000000004"/>
  </r>
  <r>
    <n v="4876"/>
    <s v="CA-2015-132864"/>
    <d v="2015-12-02T00:00:00"/>
    <d v="2015-12-07T00:00:00"/>
    <x v="0"/>
    <x v="7"/>
    <n v="12"/>
    <n v="5"/>
    <s v="Standard Class"/>
    <s v="KN-16390"/>
    <x v="127"/>
    <x v="1"/>
    <s v="United States"/>
    <x v="4"/>
    <x v="4"/>
    <n v="43229"/>
    <x v="1"/>
    <s v="TEC-AC-10001267"/>
    <x v="2"/>
    <x v="3"/>
    <s v="ImationÂ 32GB Pocket Pro USB 3.0Â Flash DriveÂ - 32 GB - Black - 1 P ..."/>
    <n v="119.8"/>
  </r>
  <r>
    <n v="6600"/>
    <s v="CA-2015-154095"/>
    <d v="2015-12-02T00:00:00"/>
    <d v="2015-12-07T00:00:00"/>
    <x v="0"/>
    <x v="7"/>
    <n v="12"/>
    <n v="5"/>
    <s v="Standard Class"/>
    <s v="ON-18715"/>
    <x v="128"/>
    <x v="1"/>
    <s v="United States"/>
    <x v="78"/>
    <x v="29"/>
    <n v="20735"/>
    <x v="1"/>
    <s v="FUR-FU-10003849"/>
    <x v="1"/>
    <x v="1"/>
    <s v="DAX Metal Frame, Desktop, Stepped-Edge"/>
    <n v="60.72"/>
  </r>
  <r>
    <n v="5378"/>
    <s v="CA-2015-125542"/>
    <d v="2015-12-05T00:00:00"/>
    <d v="2015-12-07T00:00:00"/>
    <x v="0"/>
    <x v="7"/>
    <n v="12"/>
    <n v="2"/>
    <s v="First Class"/>
    <s v="NB-18655"/>
    <x v="129"/>
    <x v="1"/>
    <s v="United States"/>
    <x v="41"/>
    <x v="23"/>
    <n v="19134"/>
    <x v="1"/>
    <s v="OFF-EN-10000056"/>
    <x v="0"/>
    <x v="14"/>
    <s v="Cameo Buff Policy Envelopes"/>
    <n v="348.488"/>
  </r>
  <r>
    <n v="7715"/>
    <s v="CA-2015-150203"/>
    <d v="2015-12-05T00:00:00"/>
    <d v="2015-12-07T00:00:00"/>
    <x v="0"/>
    <x v="7"/>
    <n v="12"/>
    <n v="2"/>
    <s v="First Class"/>
    <s v="JB-15925"/>
    <x v="130"/>
    <x v="0"/>
    <s v="United States"/>
    <x v="11"/>
    <x v="7"/>
    <n v="90032"/>
    <x v="3"/>
    <s v="OFF-AP-10001469"/>
    <x v="0"/>
    <x v="4"/>
    <s v="Fellowes 8 Outlet Superior Workstation Surge Protector"/>
    <n v="250.26"/>
  </r>
  <r>
    <n v="9243"/>
    <s v="CA-2015-113271"/>
    <d v="2015-07-09T00:00:00"/>
    <d v="2015-07-14T00:00:00"/>
    <x v="0"/>
    <x v="10"/>
    <n v="7"/>
    <n v="5"/>
    <s v="Standard Class"/>
    <s v="DS-13030"/>
    <x v="131"/>
    <x v="2"/>
    <s v="United States"/>
    <x v="9"/>
    <x v="7"/>
    <n v="94122"/>
    <x v="3"/>
    <s v="OFF-BI-10002609"/>
    <x v="0"/>
    <x v="6"/>
    <s v="Avery Hidden Tab Dividers for Binding Systems"/>
    <n v="14.304"/>
  </r>
  <r>
    <n v="5801"/>
    <s v="CA-2015-123225"/>
    <d v="2015-07-11T00:00:00"/>
    <d v="2015-07-14T00:00:00"/>
    <x v="0"/>
    <x v="10"/>
    <n v="7"/>
    <n v="3"/>
    <s v="First Class"/>
    <s v="MN-17935"/>
    <x v="132"/>
    <x v="0"/>
    <s v="United States"/>
    <x v="28"/>
    <x v="0"/>
    <n v="79907"/>
    <x v="0"/>
    <s v="TEC-PH-10000895"/>
    <x v="2"/>
    <x v="8"/>
    <s v="Polycom VVX 310 VoIP phone"/>
    <n v="575.96799999999996"/>
  </r>
  <r>
    <n v="3367"/>
    <s v="CA-2015-165379"/>
    <d v="2015-07-09T00:00:00"/>
    <d v="2015-07-15T00:00:00"/>
    <x v="0"/>
    <x v="10"/>
    <n v="7"/>
    <n v="6"/>
    <s v="Standard Class"/>
    <s v="BM-11650"/>
    <x v="133"/>
    <x v="1"/>
    <s v="United States"/>
    <x v="74"/>
    <x v="0"/>
    <n v="75217"/>
    <x v="0"/>
    <s v="OFF-PA-10003072"/>
    <x v="0"/>
    <x v="9"/>
    <s v="Eureka Recycled Copy Paper 8 1/2&quot; x 11&quot;, Ream"/>
    <n v="10.368"/>
  </r>
  <r>
    <n v="1029"/>
    <s v="CA-2015-163552"/>
    <d v="2015-07-11T00:00:00"/>
    <d v="2015-07-15T00:00:00"/>
    <x v="0"/>
    <x v="10"/>
    <n v="7"/>
    <n v="4"/>
    <s v="Standard Class"/>
    <s v="LA-16780"/>
    <x v="134"/>
    <x v="1"/>
    <s v="United States"/>
    <x v="79"/>
    <x v="22"/>
    <n v="7601"/>
    <x v="1"/>
    <s v="OFF-PA-10000474"/>
    <x v="0"/>
    <x v="9"/>
    <s v="Easy-staple paper"/>
    <n v="177.2"/>
  </r>
  <r>
    <n v="6335"/>
    <s v="CA-2015-133305"/>
    <d v="2015-07-11T00:00:00"/>
    <d v="2015-07-15T00:00:00"/>
    <x v="0"/>
    <x v="10"/>
    <n v="7"/>
    <n v="4"/>
    <s v="Standard Class"/>
    <s v="MH-17455"/>
    <x v="135"/>
    <x v="0"/>
    <s v="United States"/>
    <x v="10"/>
    <x v="8"/>
    <n v="10011"/>
    <x v="1"/>
    <s v="OFF-PA-10001970"/>
    <x v="0"/>
    <x v="9"/>
    <s v="Xerox 1881"/>
    <n v="49.12"/>
  </r>
  <r>
    <n v="7399"/>
    <s v="CA-2015-124807"/>
    <d v="2015-07-12T00:00:00"/>
    <d v="2015-07-15T00:00:00"/>
    <x v="0"/>
    <x v="10"/>
    <n v="7"/>
    <n v="3"/>
    <s v="Second Class"/>
    <s v="ME-17725"/>
    <x v="136"/>
    <x v="0"/>
    <s v="United States"/>
    <x v="19"/>
    <x v="14"/>
    <n v="60610"/>
    <x v="0"/>
    <s v="OFF-PA-10001526"/>
    <x v="0"/>
    <x v="9"/>
    <s v="Xerox 1949"/>
    <n v="35.856000000000002"/>
  </r>
  <r>
    <n v="1221"/>
    <s v="CA-2015-110184"/>
    <d v="2015-07-12T00:00:00"/>
    <d v="2015-07-16T00:00:00"/>
    <x v="0"/>
    <x v="10"/>
    <n v="7"/>
    <n v="4"/>
    <s v="Standard Class"/>
    <s v="BF-11170"/>
    <x v="137"/>
    <x v="2"/>
    <s v="United States"/>
    <x v="11"/>
    <x v="7"/>
    <n v="90036"/>
    <x v="3"/>
    <s v="OFF-ST-10000107"/>
    <x v="0"/>
    <x v="11"/>
    <s v="Fellowes Super Stor/Drawer"/>
    <n v="249.75"/>
  </r>
  <r>
    <n v="8314"/>
    <s v="CA-2015-161508"/>
    <d v="2015-07-12T00:00:00"/>
    <d v="2015-07-16T00:00:00"/>
    <x v="0"/>
    <x v="10"/>
    <n v="7"/>
    <n v="4"/>
    <s v="Standard Class"/>
    <s v="PV-18985"/>
    <x v="138"/>
    <x v="2"/>
    <s v="United States"/>
    <x v="80"/>
    <x v="0"/>
    <n v="77573"/>
    <x v="0"/>
    <s v="FUR-CH-10002126"/>
    <x v="1"/>
    <x v="5"/>
    <s v="Hon Deluxe Fabric Upholstered Stacking Chairs"/>
    <n v="512.35799999999995"/>
  </r>
  <r>
    <n v="338"/>
    <s v="CA-2015-129924"/>
    <d v="2015-07-12T00:00:00"/>
    <d v="2015-07-17T00:00:00"/>
    <x v="0"/>
    <x v="10"/>
    <n v="7"/>
    <n v="5"/>
    <s v="Standard Class"/>
    <s v="AC-10420"/>
    <x v="139"/>
    <x v="1"/>
    <s v="United States"/>
    <x v="9"/>
    <x v="7"/>
    <n v="94122"/>
    <x v="3"/>
    <s v="OFF-BI-10003314"/>
    <x v="0"/>
    <x v="6"/>
    <s v="Tuff Stuff Recycled Round Ring Binders"/>
    <n v="7.7119999999999997"/>
  </r>
  <r>
    <n v="7624"/>
    <s v="CA-2015-124464"/>
    <d v="2015-07-14T00:00:00"/>
    <d v="2015-07-20T00:00:00"/>
    <x v="0"/>
    <x v="10"/>
    <n v="7"/>
    <n v="6"/>
    <s v="Standard Class"/>
    <s v="SS-20515"/>
    <x v="140"/>
    <x v="2"/>
    <s v="United States"/>
    <x v="81"/>
    <x v="1"/>
    <n v="19711"/>
    <x v="1"/>
    <s v="OFF-AP-10000576"/>
    <x v="0"/>
    <x v="4"/>
    <s v="Belkin 7 Outlet SurgeMaster II"/>
    <n v="39.479999999999997"/>
  </r>
  <r>
    <n v="740"/>
    <s v="CA-2015-112326"/>
    <d v="2015-01-04T00:00:00"/>
    <d v="2015-01-08T00:00:00"/>
    <x v="0"/>
    <x v="0"/>
    <n v="1"/>
    <n v="4"/>
    <s v="Standard Class"/>
    <s v="PO-19195"/>
    <x v="141"/>
    <x v="2"/>
    <s v="United States"/>
    <x v="82"/>
    <x v="14"/>
    <n v="60540"/>
    <x v="0"/>
    <s v="OFF-LA-10003223"/>
    <x v="0"/>
    <x v="2"/>
    <s v="Avery 508"/>
    <n v="11.784000000000001"/>
  </r>
  <r>
    <n v="5328"/>
    <s v="CA-2015-130813"/>
    <d v="2015-01-06T00:00:00"/>
    <d v="2015-01-08T00:00:00"/>
    <x v="0"/>
    <x v="0"/>
    <n v="1"/>
    <n v="2"/>
    <s v="Second Class"/>
    <s v="LS-17230"/>
    <x v="142"/>
    <x v="0"/>
    <s v="United States"/>
    <x v="11"/>
    <x v="7"/>
    <n v="90049"/>
    <x v="3"/>
    <s v="OFF-PA-10002005"/>
    <x v="0"/>
    <x v="9"/>
    <s v="Xerox 225"/>
    <n v="19.440000000000001"/>
  </r>
  <r>
    <n v="1544"/>
    <s v="CA-2015-107181"/>
    <d v="2015-02-04T00:00:00"/>
    <d v="2015-02-08T00:00:00"/>
    <x v="0"/>
    <x v="2"/>
    <n v="2"/>
    <n v="4"/>
    <s v="Standard Class"/>
    <s v="DB-13270"/>
    <x v="143"/>
    <x v="2"/>
    <s v="United States"/>
    <x v="48"/>
    <x v="7"/>
    <n v="92024"/>
    <x v="3"/>
    <s v="OFF-BI-10004230"/>
    <x v="0"/>
    <x v="6"/>
    <s v="GBC Recycled Grain Textured Covers"/>
    <n v="82.896000000000001"/>
  </r>
  <r>
    <n v="8585"/>
    <s v="CA-2015-104808"/>
    <d v="2015-02-04T00:00:00"/>
    <d v="2015-02-08T00:00:00"/>
    <x v="0"/>
    <x v="2"/>
    <n v="2"/>
    <n v="4"/>
    <s v="Second Class"/>
    <s v="MH-17440"/>
    <x v="144"/>
    <x v="1"/>
    <s v="United States"/>
    <x v="33"/>
    <x v="7"/>
    <n v="92025"/>
    <x v="3"/>
    <s v="OFF-BI-10003676"/>
    <x v="0"/>
    <x v="6"/>
    <s v="GBC Standard Recycled Report Covers, Clear Plastic Sheets"/>
    <n v="17.248000000000001"/>
  </r>
  <r>
    <n v="6058"/>
    <s v="CA-2015-107524"/>
    <d v="2015-03-02T00:00:00"/>
    <d v="2015-03-08T00:00:00"/>
    <x v="0"/>
    <x v="8"/>
    <n v="3"/>
    <n v="6"/>
    <s v="Standard Class"/>
    <s v="KN-16705"/>
    <x v="145"/>
    <x v="2"/>
    <s v="United States"/>
    <x v="10"/>
    <x v="8"/>
    <n v="10009"/>
    <x v="1"/>
    <s v="OFF-EN-10001990"/>
    <x v="0"/>
    <x v="14"/>
    <s v="Staple envelope"/>
    <n v="11.36"/>
  </r>
  <r>
    <n v="1163"/>
    <s v="CA-2015-127964"/>
    <d v="2015-03-03T00:00:00"/>
    <d v="2015-03-08T00:00:00"/>
    <x v="0"/>
    <x v="8"/>
    <n v="3"/>
    <n v="5"/>
    <s v="Standard Class"/>
    <s v="AP-10720"/>
    <x v="146"/>
    <x v="2"/>
    <s v="United States"/>
    <x v="10"/>
    <x v="8"/>
    <n v="10035"/>
    <x v="1"/>
    <s v="TEC-PH-10004700"/>
    <x v="2"/>
    <x v="8"/>
    <s v="PowerGen Dual USB Car Charger"/>
    <n v="9.99"/>
  </r>
  <r>
    <n v="7247"/>
    <s v="US-2015-127978"/>
    <d v="2015-03-03T00:00:00"/>
    <d v="2015-03-08T00:00:00"/>
    <x v="0"/>
    <x v="8"/>
    <n v="3"/>
    <n v="5"/>
    <s v="Standard Class"/>
    <s v="JS-15595"/>
    <x v="147"/>
    <x v="1"/>
    <s v="United States"/>
    <x v="4"/>
    <x v="4"/>
    <n v="43229"/>
    <x v="1"/>
    <s v="OFF-LA-10000305"/>
    <x v="0"/>
    <x v="2"/>
    <s v="Avery 495"/>
    <n v="15.12"/>
  </r>
  <r>
    <n v="8497"/>
    <s v="CA-2015-169061"/>
    <d v="2015-03-05T00:00:00"/>
    <d v="2015-03-08T00:00:00"/>
    <x v="0"/>
    <x v="8"/>
    <n v="3"/>
    <n v="3"/>
    <s v="Second Class"/>
    <s v="AB-10150"/>
    <x v="148"/>
    <x v="0"/>
    <s v="United States"/>
    <x v="83"/>
    <x v="8"/>
    <n v="10701"/>
    <x v="1"/>
    <s v="OFF-AR-10000588"/>
    <x v="0"/>
    <x v="0"/>
    <s v="Newell 345"/>
    <n v="59.52"/>
  </r>
  <r>
    <n v="4962"/>
    <s v="CA-2015-156587"/>
    <d v="2015-03-07T00:00:00"/>
    <d v="2015-03-08T00:00:00"/>
    <x v="0"/>
    <x v="8"/>
    <n v="3"/>
    <n v="1"/>
    <s v="First Class"/>
    <s v="AB-10015"/>
    <x v="149"/>
    <x v="0"/>
    <s v="United States"/>
    <x v="49"/>
    <x v="24"/>
    <n v="98103"/>
    <x v="3"/>
    <s v="FUR-CH-10004477"/>
    <x v="1"/>
    <x v="5"/>
    <s v="Global Push Button Manager's Chair, Indigo"/>
    <n v="48.712000000000003"/>
  </r>
  <r>
    <n v="5683"/>
    <s v="CA-2015-164315"/>
    <d v="2015-04-02T00:00:00"/>
    <d v="2015-04-08T00:00:00"/>
    <x v="0"/>
    <x v="9"/>
    <n v="4"/>
    <n v="6"/>
    <s v="Standard Class"/>
    <s v="RD-19585"/>
    <x v="150"/>
    <x v="0"/>
    <s v="United States"/>
    <x v="84"/>
    <x v="3"/>
    <n v="30605"/>
    <x v="2"/>
    <s v="OFF-PA-10004248"/>
    <x v="0"/>
    <x v="9"/>
    <s v="Xerox 1990"/>
    <n v="15.84"/>
  </r>
  <r>
    <n v="8920"/>
    <s v="CA-2015-160276"/>
    <d v="2015-04-02T00:00:00"/>
    <d v="2015-04-08T00:00:00"/>
    <x v="0"/>
    <x v="9"/>
    <n v="4"/>
    <n v="6"/>
    <s v="Standard Class"/>
    <s v="AH-10690"/>
    <x v="151"/>
    <x v="1"/>
    <s v="United States"/>
    <x v="85"/>
    <x v="2"/>
    <n v="23464"/>
    <x v="2"/>
    <s v="FUR-FU-10003192"/>
    <x v="1"/>
    <x v="1"/>
    <s v="Luxo Adjustable Task Clamp Lamp"/>
    <n v="177.68"/>
  </r>
  <r>
    <n v="5121"/>
    <s v="CA-2015-149538"/>
    <d v="2015-04-04T00:00:00"/>
    <d v="2015-04-08T00:00:00"/>
    <x v="0"/>
    <x v="9"/>
    <n v="4"/>
    <n v="4"/>
    <s v="Standard Class"/>
    <s v="KB-16585"/>
    <x v="152"/>
    <x v="1"/>
    <s v="United States"/>
    <x v="86"/>
    <x v="30"/>
    <n v="70506"/>
    <x v="2"/>
    <s v="OFF-ST-10004180"/>
    <x v="0"/>
    <x v="11"/>
    <s v="Safco Commercial Shelving"/>
    <n v="232.55"/>
  </r>
  <r>
    <n v="1405"/>
    <s v="US-2015-118486"/>
    <d v="2015-04-06T00:00:00"/>
    <d v="2015-04-08T00:00:00"/>
    <x v="0"/>
    <x v="9"/>
    <n v="4"/>
    <n v="2"/>
    <s v="First Class"/>
    <s v="SD-20485"/>
    <x v="153"/>
    <x v="2"/>
    <s v="United States"/>
    <x v="41"/>
    <x v="23"/>
    <n v="19143"/>
    <x v="1"/>
    <s v="OFF-SU-10004498"/>
    <x v="0"/>
    <x v="15"/>
    <s v="Martin-Yale Premier Letter Opener"/>
    <n v="10.304"/>
  </r>
  <r>
    <n v="1166"/>
    <s v="CA-2015-117709"/>
    <d v="2015-05-04T00:00:00"/>
    <d v="2015-05-08T00:00:00"/>
    <x v="0"/>
    <x v="1"/>
    <n v="5"/>
    <n v="4"/>
    <s v="Standard Class"/>
    <s v="PM-18940"/>
    <x v="154"/>
    <x v="0"/>
    <s v="United States"/>
    <x v="87"/>
    <x v="11"/>
    <n v="49201"/>
    <x v="0"/>
    <s v="OFF-BI-10001294"/>
    <x v="0"/>
    <x v="6"/>
    <s v="Fellowes Binding Cases"/>
    <n v="46.8"/>
  </r>
  <r>
    <n v="4560"/>
    <s v="CA-2015-110219"/>
    <d v="2015-05-05T00:00:00"/>
    <d v="2015-05-08T00:00:00"/>
    <x v="0"/>
    <x v="1"/>
    <n v="5"/>
    <n v="3"/>
    <s v="First Class"/>
    <s v="EB-13870"/>
    <x v="155"/>
    <x v="0"/>
    <s v="United States"/>
    <x v="88"/>
    <x v="0"/>
    <n v="78207"/>
    <x v="0"/>
    <s v="FUR-CH-10001146"/>
    <x v="1"/>
    <x v="5"/>
    <s v="Global Value Mid-Back Manager's Chair, Gray"/>
    <n v="127.869"/>
  </r>
  <r>
    <n v="686"/>
    <s v="CA-2015-157784"/>
    <d v="2015-07-05T00:00:00"/>
    <d v="2015-07-08T00:00:00"/>
    <x v="0"/>
    <x v="10"/>
    <n v="7"/>
    <n v="3"/>
    <s v="First Class"/>
    <s v="MC-17845"/>
    <x v="156"/>
    <x v="0"/>
    <s v="United States"/>
    <x v="87"/>
    <x v="31"/>
    <n v="39212"/>
    <x v="2"/>
    <s v="TEC-AC-10003911"/>
    <x v="2"/>
    <x v="3"/>
    <s v="NETGEAR AC1750 Dual Band GigabitÂ Smart WiFi Router"/>
    <n v="479.97"/>
  </r>
  <r>
    <n v="5437"/>
    <s v="CA-2015-103317"/>
    <d v="2015-07-05T00:00:00"/>
    <d v="2015-07-08T00:00:00"/>
    <x v="0"/>
    <x v="10"/>
    <n v="7"/>
    <n v="3"/>
    <s v="First Class"/>
    <s v="DM-13525"/>
    <x v="157"/>
    <x v="1"/>
    <s v="United States"/>
    <x v="89"/>
    <x v="12"/>
    <n v="32137"/>
    <x v="2"/>
    <s v="FUR-FU-10001591"/>
    <x v="1"/>
    <x v="1"/>
    <s v="Advantus Panel Wall Certificate Holder - 8.5x11"/>
    <n v="19.52"/>
  </r>
  <r>
    <n v="1550"/>
    <s v="CA-2015-134278"/>
    <d v="2015-07-06T00:00:00"/>
    <d v="2015-07-08T00:00:00"/>
    <x v="0"/>
    <x v="10"/>
    <n v="7"/>
    <n v="2"/>
    <s v="First Class"/>
    <s v="EP-13915"/>
    <x v="158"/>
    <x v="0"/>
    <s v="United States"/>
    <x v="10"/>
    <x v="8"/>
    <n v="10011"/>
    <x v="1"/>
    <s v="TEC-CO-10001046"/>
    <x v="2"/>
    <x v="7"/>
    <s v="Canon Imageclass D680 Copier / Fax"/>
    <n v="559.99199999999996"/>
  </r>
  <r>
    <n v="6173"/>
    <s v="US-2015-106299"/>
    <d v="2015-08-02T00:00:00"/>
    <d v="2015-08-08T00:00:00"/>
    <x v="0"/>
    <x v="3"/>
    <n v="8"/>
    <n v="6"/>
    <s v="Standard Class"/>
    <s v="NZ-18565"/>
    <x v="159"/>
    <x v="2"/>
    <s v="United States"/>
    <x v="2"/>
    <x v="5"/>
    <n v="65807"/>
    <x v="0"/>
    <s v="OFF-BI-10001758"/>
    <x v="0"/>
    <x v="6"/>
    <s v="Wilson Jones 14 Line Acrylic Coated Pressboard Data Binders"/>
    <n v="26.7"/>
  </r>
  <r>
    <n v="856"/>
    <s v="CA-2015-125612"/>
    <d v="2015-08-03T00:00:00"/>
    <d v="2015-08-08T00:00:00"/>
    <x v="0"/>
    <x v="3"/>
    <n v="8"/>
    <n v="5"/>
    <s v="Standard Class"/>
    <s v="BK-11260"/>
    <x v="160"/>
    <x v="0"/>
    <s v="United States"/>
    <x v="10"/>
    <x v="8"/>
    <n v="10035"/>
    <x v="1"/>
    <s v="OFF-PA-10001019"/>
    <x v="0"/>
    <x v="9"/>
    <s v="Xerox 1884"/>
    <n v="39.96"/>
  </r>
  <r>
    <n v="9157"/>
    <s v="CA-2015-134215"/>
    <d v="2015-08-04T00:00:00"/>
    <d v="2015-08-08T00:00:00"/>
    <x v="0"/>
    <x v="3"/>
    <n v="8"/>
    <n v="4"/>
    <s v="Standard Class"/>
    <s v="ML-17395"/>
    <x v="161"/>
    <x v="1"/>
    <s v="United States"/>
    <x v="90"/>
    <x v="32"/>
    <n v="4401"/>
    <x v="1"/>
    <s v="OFF-AP-10001271"/>
    <x v="0"/>
    <x v="4"/>
    <s v="Eureka The Boss Cordless Rechargeable Stick Vac"/>
    <n v="101.96"/>
  </r>
  <r>
    <n v="9140"/>
    <s v="CA-2015-106971"/>
    <d v="2015-09-02T00:00:00"/>
    <d v="2015-09-08T00:00:00"/>
    <x v="0"/>
    <x v="4"/>
    <n v="9"/>
    <n v="6"/>
    <s v="Standard Class"/>
    <s v="BM-11785"/>
    <x v="162"/>
    <x v="0"/>
    <s v="United States"/>
    <x v="91"/>
    <x v="14"/>
    <n v="60089"/>
    <x v="0"/>
    <s v="TEC-AC-10000844"/>
    <x v="2"/>
    <x v="3"/>
    <s v="LogitechÂ Gaming G510s - Keyboard"/>
    <n v="475.94400000000002"/>
  </r>
  <r>
    <n v="1351"/>
    <s v="CA-2015-153976"/>
    <d v="2015-10-03T00:00:00"/>
    <d v="2015-10-08T00:00:00"/>
    <x v="0"/>
    <x v="5"/>
    <n v="10"/>
    <n v="5"/>
    <s v="Second Class"/>
    <s v="BP-11290"/>
    <x v="163"/>
    <x v="0"/>
    <s v="United States"/>
    <x v="92"/>
    <x v="14"/>
    <n v="60201"/>
    <x v="0"/>
    <s v="FUR-CH-10002880"/>
    <x v="1"/>
    <x v="5"/>
    <s v="Global High-Back Leather Tilter, Burgundy"/>
    <n v="258.279"/>
  </r>
  <r>
    <n v="2275"/>
    <s v="CA-2015-157882"/>
    <d v="2015-10-03T00:00:00"/>
    <d v="2015-10-08T00:00:00"/>
    <x v="0"/>
    <x v="5"/>
    <n v="10"/>
    <n v="5"/>
    <s v="Second Class"/>
    <s v="AR-10405"/>
    <x v="164"/>
    <x v="1"/>
    <s v="United States"/>
    <x v="11"/>
    <x v="7"/>
    <n v="90036"/>
    <x v="3"/>
    <s v="FUR-TA-10001866"/>
    <x v="1"/>
    <x v="12"/>
    <s v="Bevis Round Conference Room Tables and Bases"/>
    <n v="143.43199999999999"/>
  </r>
  <r>
    <n v="2724"/>
    <s v="CA-2015-153479"/>
    <d v="2015-10-04T00:00:00"/>
    <d v="2015-10-08T00:00:00"/>
    <x v="0"/>
    <x v="5"/>
    <n v="10"/>
    <n v="4"/>
    <s v="Standard Class"/>
    <s v="DF-13135"/>
    <x v="165"/>
    <x v="0"/>
    <s v="United States"/>
    <x v="50"/>
    <x v="7"/>
    <n v="94591"/>
    <x v="3"/>
    <s v="OFF-LA-10004689"/>
    <x v="0"/>
    <x v="2"/>
    <s v="Avery 512"/>
    <n v="14.45"/>
  </r>
  <r>
    <n v="5418"/>
    <s v="CA-2015-132542"/>
    <d v="2015-10-06T00:00:00"/>
    <d v="2015-10-08T00:00:00"/>
    <x v="0"/>
    <x v="5"/>
    <n v="10"/>
    <n v="2"/>
    <s v="Second Class"/>
    <s v="AM-10360"/>
    <x v="166"/>
    <x v="1"/>
    <s v="United States"/>
    <x v="76"/>
    <x v="28"/>
    <n v="68104"/>
    <x v="0"/>
    <s v="OFF-BI-10004099"/>
    <x v="0"/>
    <x v="6"/>
    <s v="GBC VeloBinder Strips"/>
    <n v="15.36"/>
  </r>
  <r>
    <n v="7677"/>
    <s v="CA-2015-142951"/>
    <d v="2015-10-08T00:00:00"/>
    <d v="2015-10-08T00:00:00"/>
    <x v="0"/>
    <x v="5"/>
    <n v="10"/>
    <n v="0"/>
    <s v="Same Day"/>
    <s v="JG-15115"/>
    <x v="167"/>
    <x v="0"/>
    <s v="United States"/>
    <x v="31"/>
    <x v="18"/>
    <n v="28205"/>
    <x v="2"/>
    <s v="TEC-AC-10002331"/>
    <x v="2"/>
    <x v="3"/>
    <s v="Maxell 74 Minute CDR, 10/Pack"/>
    <n v="23.472000000000001"/>
  </r>
  <r>
    <n v="4159"/>
    <s v="CA-2015-126907"/>
    <d v="2015-11-01T00:00:00"/>
    <d v="2015-11-08T00:00:00"/>
    <x v="0"/>
    <x v="6"/>
    <n v="11"/>
    <n v="7"/>
    <s v="Standard Class"/>
    <s v="SM-20950"/>
    <x v="168"/>
    <x v="1"/>
    <s v="United States"/>
    <x v="19"/>
    <x v="14"/>
    <n v="60610"/>
    <x v="0"/>
    <s v="OFF-PA-10000533"/>
    <x v="0"/>
    <x v="9"/>
    <s v="Southworth Parchment Paper &amp; Envelopes"/>
    <n v="15.696"/>
  </r>
  <r>
    <n v="4828"/>
    <s v="CA-2015-152562"/>
    <d v="2015-11-01T00:00:00"/>
    <d v="2015-11-08T00:00:00"/>
    <x v="0"/>
    <x v="6"/>
    <n v="11"/>
    <n v="7"/>
    <s v="Standard Class"/>
    <s v="JO-15145"/>
    <x v="169"/>
    <x v="1"/>
    <s v="United States"/>
    <x v="15"/>
    <x v="10"/>
    <n v="40475"/>
    <x v="2"/>
    <s v="OFF-ST-10000464"/>
    <x v="0"/>
    <x v="11"/>
    <s v="Multi-Use Personal File Cart and Caster Set, Three Stacking Bins"/>
    <n v="69.52"/>
  </r>
  <r>
    <n v="5896"/>
    <s v="CA-2015-168305"/>
    <d v="2015-11-01T00:00:00"/>
    <d v="2015-11-08T00:00:00"/>
    <x v="0"/>
    <x v="6"/>
    <n v="11"/>
    <n v="7"/>
    <s v="Standard Class"/>
    <s v="PL-18925"/>
    <x v="170"/>
    <x v="2"/>
    <s v="United States"/>
    <x v="11"/>
    <x v="7"/>
    <n v="90049"/>
    <x v="3"/>
    <s v="OFF-LA-10003498"/>
    <x v="0"/>
    <x v="2"/>
    <s v="Avery 475"/>
    <n v="44.4"/>
  </r>
  <r>
    <n v="3991"/>
    <s v="CA-2015-137589"/>
    <d v="2015-11-03T00:00:00"/>
    <d v="2015-11-08T00:00:00"/>
    <x v="0"/>
    <x v="6"/>
    <n v="11"/>
    <n v="5"/>
    <s v="Standard Class"/>
    <s v="MS-17770"/>
    <x v="171"/>
    <x v="0"/>
    <s v="United States"/>
    <x v="93"/>
    <x v="23"/>
    <n v="17602"/>
    <x v="1"/>
    <s v="OFF-SU-10000157"/>
    <x v="0"/>
    <x v="15"/>
    <s v="Compact Automatic Electric Letter Opener"/>
    <n v="286.34399999999999"/>
  </r>
  <r>
    <n v="6266"/>
    <s v="CA-2015-146731"/>
    <d v="2015-11-03T00:00:00"/>
    <d v="2015-11-08T00:00:00"/>
    <x v="0"/>
    <x v="6"/>
    <n v="11"/>
    <n v="5"/>
    <s v="Standard Class"/>
    <s v="AT-10735"/>
    <x v="172"/>
    <x v="0"/>
    <s v="United States"/>
    <x v="94"/>
    <x v="33"/>
    <n v="37211"/>
    <x v="2"/>
    <s v="OFF-PA-10000141"/>
    <x v="0"/>
    <x v="9"/>
    <s v="Ampad Evidence Wirebond Steno Books, 6&quot; x 9&quot;"/>
    <n v="3.488"/>
  </r>
  <r>
    <n v="2743"/>
    <s v="CA-2015-149244"/>
    <d v="2015-11-04T00:00:00"/>
    <d v="2015-11-08T00:00:00"/>
    <x v="0"/>
    <x v="6"/>
    <n v="11"/>
    <n v="4"/>
    <s v="Standard Class"/>
    <s v="MS-17530"/>
    <x v="173"/>
    <x v="0"/>
    <s v="United States"/>
    <x v="48"/>
    <x v="7"/>
    <n v="92037"/>
    <x v="3"/>
    <s v="FUR-FU-10004671"/>
    <x v="1"/>
    <x v="1"/>
    <s v="Executive Impressions 12&quot; Wall Clock"/>
    <n v="35.340000000000003"/>
  </r>
  <r>
    <n v="2716"/>
    <s v="CA-2015-127187"/>
    <d v="2015-12-04T00:00:00"/>
    <d v="2015-12-08T00:00:00"/>
    <x v="0"/>
    <x v="7"/>
    <n v="12"/>
    <n v="4"/>
    <s v="Standard Class"/>
    <s v="CP-12085"/>
    <x v="174"/>
    <x v="1"/>
    <s v="United States"/>
    <x v="10"/>
    <x v="8"/>
    <n v="10024"/>
    <x v="1"/>
    <s v="TEC-PH-10000673"/>
    <x v="2"/>
    <x v="8"/>
    <s v="Plantronics Voyager Pro HD - Bluetooth Headset"/>
    <n v="129.97999999999999"/>
  </r>
  <r>
    <n v="2720"/>
    <s v="CA-2015-110030"/>
    <d v="2015-12-06T00:00:00"/>
    <d v="2015-12-08T00:00:00"/>
    <x v="0"/>
    <x v="7"/>
    <n v="12"/>
    <n v="2"/>
    <s v="Second Class"/>
    <s v="LF-17185"/>
    <x v="175"/>
    <x v="0"/>
    <s v="United States"/>
    <x v="13"/>
    <x v="0"/>
    <n v="77095"/>
    <x v="0"/>
    <s v="FUR-FU-10002759"/>
    <x v="1"/>
    <x v="1"/>
    <s v="12-1/2 Diameter Round Wall Clock"/>
    <n v="23.975999999999999"/>
  </r>
  <r>
    <n v="7066"/>
    <s v="CA-2015-106726"/>
    <d v="2015-12-06T00:00:00"/>
    <d v="2015-12-08T00:00:00"/>
    <x v="0"/>
    <x v="7"/>
    <n v="12"/>
    <n v="2"/>
    <s v="First Class"/>
    <s v="RS-19765"/>
    <x v="176"/>
    <x v="1"/>
    <s v="United States"/>
    <x v="11"/>
    <x v="7"/>
    <n v="90008"/>
    <x v="3"/>
    <s v="OFF-ST-10001496"/>
    <x v="0"/>
    <x v="11"/>
    <s v="Standard Rollaway File with Lock"/>
    <n v="1261.33"/>
  </r>
  <r>
    <n v="8945"/>
    <s v="CA-2015-154592"/>
    <d v="2015-12-07T00:00:00"/>
    <d v="2015-12-08T00:00:00"/>
    <x v="0"/>
    <x v="7"/>
    <n v="12"/>
    <n v="1"/>
    <s v="First Class"/>
    <s v="EH-14005"/>
    <x v="177"/>
    <x v="2"/>
    <s v="United States"/>
    <x v="9"/>
    <x v="7"/>
    <n v="94109"/>
    <x v="3"/>
    <s v="OFF-PA-10000062"/>
    <x v="0"/>
    <x v="9"/>
    <s v="Green Bar Computer Printout Paper"/>
    <n v="164.88"/>
  </r>
  <r>
    <n v="3392"/>
    <s v="CA-2015-166471"/>
    <d v="2015-08-09T00:00:00"/>
    <d v="2015-08-13T00:00:00"/>
    <x v="0"/>
    <x v="3"/>
    <n v="8"/>
    <n v="4"/>
    <s v="Standard Class"/>
    <s v="MG-17650"/>
    <x v="178"/>
    <x v="2"/>
    <s v="United States"/>
    <x v="49"/>
    <x v="24"/>
    <n v="98103"/>
    <x v="3"/>
    <s v="TEC-PH-10001530"/>
    <x v="2"/>
    <x v="8"/>
    <s v="Cisco Unified IP Phone 7945G VoIP phone"/>
    <n v="1091.1679999999999"/>
  </r>
  <r>
    <n v="3629"/>
    <s v="CA-2015-169726"/>
    <d v="2015-08-09T00:00:00"/>
    <d v="2015-08-13T00:00:00"/>
    <x v="0"/>
    <x v="3"/>
    <n v="8"/>
    <n v="4"/>
    <s v="Standard Class"/>
    <s v="JH-15985"/>
    <x v="179"/>
    <x v="0"/>
    <s v="United States"/>
    <x v="49"/>
    <x v="24"/>
    <n v="98103"/>
    <x v="3"/>
    <s v="OFF-BI-10004600"/>
    <x v="0"/>
    <x v="6"/>
    <s v="Ibico Ibimaster 300 Manual Binding System"/>
    <n v="2060.7440000000001"/>
  </r>
  <r>
    <n v="1466"/>
    <s v="CA-2015-151708"/>
    <d v="2015-08-08T00:00:00"/>
    <d v="2015-08-14T00:00:00"/>
    <x v="0"/>
    <x v="3"/>
    <n v="8"/>
    <n v="6"/>
    <s v="Standard Class"/>
    <s v="MB-17305"/>
    <x v="180"/>
    <x v="0"/>
    <s v="United States"/>
    <x v="22"/>
    <x v="15"/>
    <n v="85301"/>
    <x v="3"/>
    <s v="FUR-FU-10001602"/>
    <x v="1"/>
    <x v="1"/>
    <s v="Eldon Delta Triangular Chair Mat, 52&quot; x 58&quot;, Clear"/>
    <n v="121.376"/>
  </r>
  <r>
    <n v="7070"/>
    <s v="CA-2015-141901"/>
    <d v="2015-08-09T00:00:00"/>
    <d v="2015-08-14T00:00:00"/>
    <x v="0"/>
    <x v="3"/>
    <n v="8"/>
    <n v="5"/>
    <s v="Standard Class"/>
    <s v="GM-14500"/>
    <x v="181"/>
    <x v="0"/>
    <s v="United States"/>
    <x v="95"/>
    <x v="7"/>
    <n v="93727"/>
    <x v="3"/>
    <s v="OFF-PA-10001667"/>
    <x v="0"/>
    <x v="9"/>
    <s v="Great White Multi-Use Recycled Paper (20Lb. and 84 Bright)"/>
    <n v="5.98"/>
  </r>
  <r>
    <n v="595"/>
    <s v="CA-2015-131450"/>
    <d v="2015-08-08T00:00:00"/>
    <d v="2015-08-15T00:00:00"/>
    <x v="0"/>
    <x v="3"/>
    <n v="8"/>
    <n v="7"/>
    <s v="Standard Class"/>
    <s v="LR-16915"/>
    <x v="182"/>
    <x v="0"/>
    <s v="United States"/>
    <x v="48"/>
    <x v="7"/>
    <n v="92024"/>
    <x v="3"/>
    <s v="OFF-AP-10004708"/>
    <x v="0"/>
    <x v="4"/>
    <s v="Fellowes Superior 10 Outlet Split Surge Protector"/>
    <n v="76.12"/>
  </r>
  <r>
    <n v="1741"/>
    <s v="CA-2015-110527"/>
    <d v="2015-08-09T00:00:00"/>
    <d v="2015-08-16T00:00:00"/>
    <x v="0"/>
    <x v="3"/>
    <n v="8"/>
    <n v="7"/>
    <s v="Standard Class"/>
    <s v="ED-13885"/>
    <x v="183"/>
    <x v="2"/>
    <s v="United States"/>
    <x v="48"/>
    <x v="7"/>
    <n v="92037"/>
    <x v="3"/>
    <s v="OFF-LA-10000262"/>
    <x v="0"/>
    <x v="2"/>
    <s v="Avery 494"/>
    <n v="20.88"/>
  </r>
  <r>
    <n v="3230"/>
    <s v="CA-2015-154641"/>
    <d v="2015-08-11T00:00:00"/>
    <d v="2015-08-16T00:00:00"/>
    <x v="0"/>
    <x v="3"/>
    <n v="8"/>
    <n v="5"/>
    <s v="Standard Class"/>
    <s v="KL-16645"/>
    <x v="184"/>
    <x v="0"/>
    <s v="United States"/>
    <x v="10"/>
    <x v="8"/>
    <n v="10035"/>
    <x v="1"/>
    <s v="OFF-ST-10004459"/>
    <x v="0"/>
    <x v="11"/>
    <s v="Tennsco Single-Tier Lockers"/>
    <n v="375.34"/>
  </r>
  <r>
    <n v="6769"/>
    <s v="CA-2015-109302"/>
    <d v="2015-08-12T00:00:00"/>
    <d v="2015-08-16T00:00:00"/>
    <x v="0"/>
    <x v="3"/>
    <n v="8"/>
    <n v="4"/>
    <s v="Standard Class"/>
    <s v="CS-12175"/>
    <x v="185"/>
    <x v="1"/>
    <s v="United States"/>
    <x v="53"/>
    <x v="22"/>
    <n v="8701"/>
    <x v="1"/>
    <s v="OFF-BI-10002854"/>
    <x v="0"/>
    <x v="6"/>
    <s v="Performers Binder/Pad Holder, Black"/>
    <n v="196.21"/>
  </r>
  <r>
    <n v="8244"/>
    <s v="CA-2015-109897"/>
    <d v="2015-08-12T00:00:00"/>
    <d v="2015-08-16T00:00:00"/>
    <x v="0"/>
    <x v="3"/>
    <n v="8"/>
    <n v="4"/>
    <s v="Standard Class"/>
    <s v="BW-11200"/>
    <x v="186"/>
    <x v="0"/>
    <s v="United States"/>
    <x v="9"/>
    <x v="7"/>
    <n v="94122"/>
    <x v="3"/>
    <s v="TEC-PH-10003691"/>
    <x v="2"/>
    <x v="8"/>
    <s v="BlackBerry Q10"/>
    <n v="806.33600000000001"/>
  </r>
  <r>
    <n v="8287"/>
    <s v="CA-2015-156244"/>
    <d v="2015-08-12T00:00:00"/>
    <d v="2015-08-16T00:00:00"/>
    <x v="0"/>
    <x v="3"/>
    <n v="8"/>
    <n v="4"/>
    <s v="Standard Class"/>
    <s v="DH-13675"/>
    <x v="187"/>
    <x v="2"/>
    <s v="United States"/>
    <x v="21"/>
    <x v="12"/>
    <n v="33180"/>
    <x v="2"/>
    <s v="OFF-PA-10000295"/>
    <x v="0"/>
    <x v="9"/>
    <s v="Xerox 229"/>
    <n v="31.103999999999999"/>
  </r>
  <r>
    <n v="9138"/>
    <s v="CA-2015-123400"/>
    <d v="2015-02-02T00:00:00"/>
    <d v="2015-02-09T00:00:00"/>
    <x v="0"/>
    <x v="2"/>
    <n v="2"/>
    <n v="7"/>
    <s v="Standard Class"/>
    <s v="EB-13930"/>
    <x v="188"/>
    <x v="0"/>
    <s v="United States"/>
    <x v="73"/>
    <x v="12"/>
    <n v="33710"/>
    <x v="2"/>
    <s v="OFF-BI-10000666"/>
    <x v="0"/>
    <x v="6"/>
    <s v="Surelock Post Binders"/>
    <n v="18.335999999999999"/>
  </r>
  <r>
    <n v="1998"/>
    <s v="CA-2015-131905"/>
    <d v="2015-02-06T00:00:00"/>
    <d v="2015-02-09T00:00:00"/>
    <x v="0"/>
    <x v="2"/>
    <n v="2"/>
    <n v="3"/>
    <s v="First Class"/>
    <s v="ND-18460"/>
    <x v="189"/>
    <x v="1"/>
    <s v="United States"/>
    <x v="5"/>
    <x v="2"/>
    <n v="23320"/>
    <x v="2"/>
    <s v="OFF-LA-10002787"/>
    <x v="0"/>
    <x v="2"/>
    <s v="Avery 480"/>
    <n v="15"/>
  </r>
  <r>
    <n v="1561"/>
    <s v="CA-2015-105172"/>
    <d v="2015-04-04T00:00:00"/>
    <d v="2015-04-09T00:00:00"/>
    <x v="0"/>
    <x v="9"/>
    <n v="4"/>
    <n v="5"/>
    <s v="Standard Class"/>
    <s v="PK-18910"/>
    <x v="190"/>
    <x v="2"/>
    <s v="United States"/>
    <x v="9"/>
    <x v="7"/>
    <n v="94109"/>
    <x v="3"/>
    <s v="OFF-LA-10001641"/>
    <x v="0"/>
    <x v="2"/>
    <s v="Avery 518"/>
    <n v="18.899999999999999"/>
  </r>
  <r>
    <n v="3955"/>
    <s v="CA-2015-133228"/>
    <d v="2015-04-04T00:00:00"/>
    <d v="2015-04-09T00:00:00"/>
    <x v="0"/>
    <x v="9"/>
    <n v="4"/>
    <n v="5"/>
    <s v="Standard Class"/>
    <s v="MS-17710"/>
    <x v="191"/>
    <x v="0"/>
    <s v="United States"/>
    <x v="55"/>
    <x v="11"/>
    <n v="48205"/>
    <x v="0"/>
    <s v="FUR-FU-10004020"/>
    <x v="1"/>
    <x v="1"/>
    <s v="Advantus Panel Wall Acrylic Frame"/>
    <n v="5.47"/>
  </r>
  <r>
    <n v="3277"/>
    <s v="CA-2015-102988"/>
    <d v="2015-04-05T00:00:00"/>
    <d v="2015-04-09T00:00:00"/>
    <x v="0"/>
    <x v="9"/>
    <n v="4"/>
    <n v="4"/>
    <s v="Second Class"/>
    <s v="GM-14695"/>
    <x v="192"/>
    <x v="1"/>
    <s v="United States"/>
    <x v="96"/>
    <x v="2"/>
    <n v="22304"/>
    <x v="2"/>
    <s v="OFF-AR-10004757"/>
    <x v="0"/>
    <x v="0"/>
    <s v="Crayola Colored Pencils"/>
    <n v="22.96"/>
  </r>
  <r>
    <n v="4212"/>
    <s v="CA-2015-166457"/>
    <d v="2015-05-05T00:00:00"/>
    <d v="2015-05-09T00:00:00"/>
    <x v="0"/>
    <x v="1"/>
    <n v="5"/>
    <n v="4"/>
    <s v="Second Class"/>
    <s v="PF-19120"/>
    <x v="193"/>
    <x v="0"/>
    <s v="United States"/>
    <x v="15"/>
    <x v="10"/>
    <n v="40475"/>
    <x v="2"/>
    <s v="OFF-PA-10003016"/>
    <x v="0"/>
    <x v="9"/>
    <s v="Adams &quot;While You Were Out&quot; Message Pads"/>
    <n v="9.42"/>
  </r>
  <r>
    <n v="1875"/>
    <s v="CA-2015-147914"/>
    <d v="2015-06-04T00:00:00"/>
    <d v="2015-06-09T00:00:00"/>
    <x v="0"/>
    <x v="11"/>
    <n v="6"/>
    <n v="5"/>
    <s v="Standard Class"/>
    <s v="MP-17470"/>
    <x v="194"/>
    <x v="2"/>
    <s v="United States"/>
    <x v="4"/>
    <x v="4"/>
    <n v="43229"/>
    <x v="1"/>
    <s v="OFF-PA-10001685"/>
    <x v="0"/>
    <x v="9"/>
    <s v="Easy-staple paper"/>
    <n v="16.224"/>
  </r>
  <r>
    <n v="8608"/>
    <s v="CA-2015-151946"/>
    <d v="2015-06-04T00:00:00"/>
    <d v="2015-06-09T00:00:00"/>
    <x v="0"/>
    <x v="11"/>
    <n v="6"/>
    <n v="5"/>
    <s v="Standard Class"/>
    <s v="BT-11440"/>
    <x v="195"/>
    <x v="0"/>
    <s v="United States"/>
    <x v="10"/>
    <x v="8"/>
    <n v="10035"/>
    <x v="1"/>
    <s v="FUR-FU-10002878"/>
    <x v="1"/>
    <x v="1"/>
    <s v="Seth Thomas 14&quot; Day/Date Wall Clock"/>
    <n v="56.96"/>
  </r>
  <r>
    <n v="1376"/>
    <s v="CA-2015-126361"/>
    <d v="2015-08-04T00:00:00"/>
    <d v="2015-08-09T00:00:00"/>
    <x v="0"/>
    <x v="3"/>
    <n v="8"/>
    <n v="5"/>
    <s v="Second Class"/>
    <s v="VD-21670"/>
    <x v="196"/>
    <x v="0"/>
    <s v="United States"/>
    <x v="97"/>
    <x v="25"/>
    <n v="84062"/>
    <x v="3"/>
    <s v="OFF-AP-10003590"/>
    <x v="0"/>
    <x v="4"/>
    <s v="Hoover WindTunnel Plus Canister Vacuum"/>
    <n v="1089.75"/>
  </r>
  <r>
    <n v="172"/>
    <s v="CA-2015-118962"/>
    <d v="2015-08-05T00:00:00"/>
    <d v="2015-08-09T00:00:00"/>
    <x v="0"/>
    <x v="3"/>
    <n v="8"/>
    <n v="4"/>
    <s v="Standard Class"/>
    <s v="CS-12130"/>
    <x v="197"/>
    <x v="0"/>
    <s v="United States"/>
    <x v="11"/>
    <x v="7"/>
    <n v="90004"/>
    <x v="3"/>
    <s v="OFF-PA-10000659"/>
    <x v="0"/>
    <x v="9"/>
    <s v="Adams Phone Message Book, Professional, 400 Message Capacity, 5 3/6â€ x 11â€"/>
    <n v="20.94"/>
  </r>
  <r>
    <n v="6623"/>
    <s v="CA-2015-130449"/>
    <d v="2015-09-06T00:00:00"/>
    <d v="2015-09-09T00:00:00"/>
    <x v="0"/>
    <x v="4"/>
    <n v="9"/>
    <n v="3"/>
    <s v="First Class"/>
    <s v="VP-21760"/>
    <x v="198"/>
    <x v="1"/>
    <s v="United States"/>
    <x v="9"/>
    <x v="7"/>
    <n v="94109"/>
    <x v="3"/>
    <s v="FUR-FU-10001487"/>
    <x v="1"/>
    <x v="1"/>
    <s v="Eldon Expressions Wood and Plastic Desk Accessories, Cherry Wood"/>
    <n v="41.88"/>
  </r>
  <r>
    <n v="4877"/>
    <s v="US-2015-155817"/>
    <d v="2015-10-03T00:00:00"/>
    <d v="2015-10-09T00:00:00"/>
    <x v="0"/>
    <x v="5"/>
    <n v="10"/>
    <n v="6"/>
    <s v="Standard Class"/>
    <s v="SL-20155"/>
    <x v="199"/>
    <x v="2"/>
    <s v="United States"/>
    <x v="98"/>
    <x v="18"/>
    <n v="27707"/>
    <x v="2"/>
    <s v="OFF-ST-10000532"/>
    <x v="0"/>
    <x v="11"/>
    <s v="Advantus Rolling Drawer Organizers"/>
    <n v="61.567999999999998"/>
  </r>
  <r>
    <n v="4948"/>
    <s v="CA-2015-102085"/>
    <d v="2015-10-04T00:00:00"/>
    <d v="2015-10-09T00:00:00"/>
    <x v="0"/>
    <x v="5"/>
    <n v="10"/>
    <n v="5"/>
    <s v="Standard Class"/>
    <s v="JD-16015"/>
    <x v="200"/>
    <x v="0"/>
    <s v="United States"/>
    <x v="49"/>
    <x v="24"/>
    <n v="98115"/>
    <x v="3"/>
    <s v="OFF-LA-10002475"/>
    <x v="0"/>
    <x v="2"/>
    <s v="Avery 519"/>
    <n v="29.24"/>
  </r>
  <r>
    <n v="318"/>
    <s v="CA-2015-164973"/>
    <d v="2015-11-04T00:00:00"/>
    <d v="2015-11-09T00:00:00"/>
    <x v="0"/>
    <x v="6"/>
    <n v="11"/>
    <n v="5"/>
    <s v="Standard Class"/>
    <s v="NM-18445"/>
    <x v="201"/>
    <x v="2"/>
    <s v="United States"/>
    <x v="10"/>
    <x v="8"/>
    <n v="10024"/>
    <x v="1"/>
    <s v="FUR-CH-10002602"/>
    <x v="1"/>
    <x v="5"/>
    <s v="DMI Arturo Collection Mission-style Design Wood Chair"/>
    <n v="135.88200000000001"/>
  </r>
  <r>
    <n v="3186"/>
    <s v="CA-2015-123498"/>
    <d v="2015-11-07T00:00:00"/>
    <d v="2015-11-09T00:00:00"/>
    <x v="0"/>
    <x v="6"/>
    <n v="11"/>
    <n v="2"/>
    <s v="First Class"/>
    <s v="TC-20980"/>
    <x v="202"/>
    <x v="1"/>
    <s v="United States"/>
    <x v="13"/>
    <x v="0"/>
    <n v="77041"/>
    <x v="0"/>
    <s v="OFF-BI-10000632"/>
    <x v="0"/>
    <x v="6"/>
    <s v="Satellite Sectional Post Binders"/>
    <n v="26.045999999999999"/>
  </r>
  <r>
    <n v="9002"/>
    <s v="CA-2015-103807"/>
    <d v="2015-12-02T00:00:00"/>
    <d v="2015-12-09T00:00:00"/>
    <x v="0"/>
    <x v="7"/>
    <n v="12"/>
    <n v="7"/>
    <s v="Standard Class"/>
    <s v="EM-13825"/>
    <x v="203"/>
    <x v="1"/>
    <s v="United States"/>
    <x v="99"/>
    <x v="3"/>
    <n v="30328"/>
    <x v="2"/>
    <s v="TEC-AC-10000199"/>
    <x v="2"/>
    <x v="3"/>
    <s v="Kingston Digital DataTraveler 8GB USB 2.0"/>
    <n v="5.95"/>
  </r>
  <r>
    <n v="1983"/>
    <s v="CA-2015-122749"/>
    <d v="2015-12-03T00:00:00"/>
    <d v="2015-12-09T00:00:00"/>
    <x v="0"/>
    <x v="7"/>
    <n v="12"/>
    <n v="6"/>
    <s v="Standard Class"/>
    <s v="NG-18430"/>
    <x v="204"/>
    <x v="0"/>
    <s v="United States"/>
    <x v="100"/>
    <x v="34"/>
    <n v="73120"/>
    <x v="0"/>
    <s v="TEC-PH-10003811"/>
    <x v="2"/>
    <x v="8"/>
    <s v="Jabra Supreme Plus Driver EditionÂ Headset"/>
    <n v="479.96"/>
  </r>
  <r>
    <n v="181"/>
    <s v="CA-2015-166191"/>
    <d v="2015-12-05T00:00:00"/>
    <d v="2015-12-09T00:00:00"/>
    <x v="0"/>
    <x v="7"/>
    <n v="12"/>
    <n v="4"/>
    <s v="Second Class"/>
    <s v="DK-13150"/>
    <x v="205"/>
    <x v="1"/>
    <s v="United States"/>
    <x v="64"/>
    <x v="14"/>
    <n v="62521"/>
    <x v="0"/>
    <s v="OFF-ST-10003455"/>
    <x v="0"/>
    <x v="11"/>
    <s v="Tenex File Box, Personal Filing Tote with Lid, Black"/>
    <n v="24.815999999999999"/>
  </r>
  <r>
    <n v="5572"/>
    <s v="CA-2015-151162"/>
    <d v="2015-12-05T00:00:00"/>
    <d v="2015-12-09T00:00:00"/>
    <x v="0"/>
    <x v="7"/>
    <n v="12"/>
    <n v="4"/>
    <s v="Standard Class"/>
    <s v="EA-14035"/>
    <x v="206"/>
    <x v="1"/>
    <s v="United States"/>
    <x v="4"/>
    <x v="4"/>
    <n v="43229"/>
    <x v="1"/>
    <s v="OFF-PA-10001033"/>
    <x v="0"/>
    <x v="9"/>
    <s v="Xerox 1893"/>
    <n v="98.376000000000005"/>
  </r>
  <r>
    <n v="1679"/>
    <s v="CA-2015-122882"/>
    <d v="2015-09-07T00:00:00"/>
    <d v="2015-09-13T00:00:00"/>
    <x v="0"/>
    <x v="4"/>
    <n v="9"/>
    <n v="6"/>
    <s v="Standard Class"/>
    <s v="SB-20290"/>
    <x v="207"/>
    <x v="1"/>
    <s v="United States"/>
    <x v="41"/>
    <x v="23"/>
    <n v="19134"/>
    <x v="1"/>
    <s v="OFF-ST-10002344"/>
    <x v="0"/>
    <x v="11"/>
    <s v="Carina 42&quot;Hx23 3/4&quot;W Media Storage Unit"/>
    <n v="64.784000000000006"/>
  </r>
  <r>
    <n v="2718"/>
    <s v="CA-2015-100006"/>
    <d v="2015-09-07T00:00:00"/>
    <d v="2015-09-13T00:00:00"/>
    <x v="0"/>
    <x v="4"/>
    <n v="9"/>
    <n v="6"/>
    <s v="Standard Class"/>
    <s v="DK-13375"/>
    <x v="208"/>
    <x v="0"/>
    <s v="United States"/>
    <x v="10"/>
    <x v="8"/>
    <n v="10024"/>
    <x v="1"/>
    <s v="TEC-PH-10002075"/>
    <x v="2"/>
    <x v="8"/>
    <s v="AT&amp;T EL51110 DECT"/>
    <n v="377.97"/>
  </r>
  <r>
    <n v="5979"/>
    <s v="CA-2015-117765"/>
    <d v="2015-09-07T00:00:00"/>
    <d v="2015-09-13T00:00:00"/>
    <x v="0"/>
    <x v="4"/>
    <n v="9"/>
    <n v="6"/>
    <s v="Standard Class"/>
    <s v="RB-19465"/>
    <x v="209"/>
    <x v="2"/>
    <s v="United States"/>
    <x v="101"/>
    <x v="34"/>
    <n v="74133"/>
    <x v="0"/>
    <s v="FUR-TA-10001039"/>
    <x v="1"/>
    <x v="12"/>
    <s v="KI Adjustable-Height Table"/>
    <n v="429.9"/>
  </r>
  <r>
    <n v="837"/>
    <s v="US-2015-115987"/>
    <d v="2015-09-08T00:00:00"/>
    <d v="2015-09-13T00:00:00"/>
    <x v="0"/>
    <x v="4"/>
    <n v="9"/>
    <n v="5"/>
    <s v="Second Class"/>
    <s v="LH-17020"/>
    <x v="210"/>
    <x v="0"/>
    <s v="United States"/>
    <x v="102"/>
    <x v="0"/>
    <n v="75701"/>
    <x v="0"/>
    <s v="OFF-BI-10001071"/>
    <x v="0"/>
    <x v="6"/>
    <s v="GBC ProClick Punch Binding System"/>
    <n v="51.183999999999997"/>
  </r>
  <r>
    <n v="4134"/>
    <s v="CA-2015-128839"/>
    <d v="2015-09-08T00:00:00"/>
    <d v="2015-09-13T00:00:00"/>
    <x v="0"/>
    <x v="4"/>
    <n v="9"/>
    <n v="5"/>
    <s v="Standard Class"/>
    <s v="TT-21070"/>
    <x v="211"/>
    <x v="0"/>
    <s v="United States"/>
    <x v="5"/>
    <x v="2"/>
    <n v="23320"/>
    <x v="2"/>
    <s v="OFF-FA-10002280"/>
    <x v="0"/>
    <x v="10"/>
    <s v="Advantus Plastic Paper Clips"/>
    <n v="45"/>
  </r>
  <r>
    <n v="8707"/>
    <s v="CA-2015-146815"/>
    <d v="2015-09-08T00:00:00"/>
    <d v="2015-09-13T00:00:00"/>
    <x v="0"/>
    <x v="4"/>
    <n v="9"/>
    <n v="5"/>
    <s v="Standard Class"/>
    <s v="PP-18955"/>
    <x v="212"/>
    <x v="2"/>
    <s v="United States"/>
    <x v="10"/>
    <x v="8"/>
    <n v="10009"/>
    <x v="1"/>
    <s v="FUR-CH-10004289"/>
    <x v="1"/>
    <x v="5"/>
    <s v="Global Super Steno Chair"/>
    <n v="172.76400000000001"/>
  </r>
  <r>
    <n v="9450"/>
    <s v="CA-2015-140032"/>
    <d v="2015-09-08T00:00:00"/>
    <d v="2015-09-13T00:00:00"/>
    <x v="0"/>
    <x v="4"/>
    <n v="9"/>
    <n v="5"/>
    <s v="Standard Class"/>
    <s v="TS-21340"/>
    <x v="213"/>
    <x v="0"/>
    <s v="United States"/>
    <x v="9"/>
    <x v="7"/>
    <n v="94109"/>
    <x v="3"/>
    <s v="OFF-BI-10000822"/>
    <x v="0"/>
    <x v="6"/>
    <s v="Acco PRESSTEX Data Binder with Storage Hooks, Light Blue, 9 1/2&quot; X 11&quot;"/>
    <n v="8.6080000000000005"/>
  </r>
  <r>
    <n v="7982"/>
    <s v="CA-2015-113383"/>
    <d v="2015-09-10T00:00:00"/>
    <d v="2015-09-13T00:00:00"/>
    <x v="0"/>
    <x v="4"/>
    <n v="9"/>
    <n v="3"/>
    <s v="First Class"/>
    <s v="SF-20065"/>
    <x v="214"/>
    <x v="0"/>
    <s v="United States"/>
    <x v="103"/>
    <x v="22"/>
    <n v="7011"/>
    <x v="1"/>
    <s v="OFF-AP-10004532"/>
    <x v="0"/>
    <x v="4"/>
    <s v="Kensington 6 Outlet Guardian Standard Surge Protector"/>
    <n v="81.92"/>
  </r>
  <r>
    <n v="9479"/>
    <s v="CA-2015-126193"/>
    <d v="2015-09-07T00:00:00"/>
    <d v="2015-09-14T00:00:00"/>
    <x v="0"/>
    <x v="4"/>
    <n v="9"/>
    <n v="7"/>
    <s v="Standard Class"/>
    <s v="SS-20410"/>
    <x v="215"/>
    <x v="0"/>
    <s v="United States"/>
    <x v="104"/>
    <x v="14"/>
    <n v="60543"/>
    <x v="0"/>
    <s v="OFF-FA-10000936"/>
    <x v="0"/>
    <x v="10"/>
    <s v="Acco Hot Clips Clips to Go"/>
    <n v="13.16"/>
  </r>
  <r>
    <n v="4850"/>
    <s v="CA-2015-107818"/>
    <d v="2015-09-08T00:00:00"/>
    <d v="2015-09-14T00:00:00"/>
    <x v="0"/>
    <x v="4"/>
    <n v="9"/>
    <n v="6"/>
    <s v="Standard Class"/>
    <s v="MC-17275"/>
    <x v="216"/>
    <x v="0"/>
    <s v="United States"/>
    <x v="105"/>
    <x v="24"/>
    <n v="99301"/>
    <x v="3"/>
    <s v="OFF-AR-10003045"/>
    <x v="0"/>
    <x v="0"/>
    <s v="Prang Colored Pencils"/>
    <n v="5.88"/>
  </r>
  <r>
    <n v="3597"/>
    <s v="CA-2015-102869"/>
    <d v="2015-09-09T00:00:00"/>
    <d v="2015-09-14T00:00:00"/>
    <x v="0"/>
    <x v="4"/>
    <n v="9"/>
    <n v="5"/>
    <s v="Second Class"/>
    <s v="LC-17140"/>
    <x v="217"/>
    <x v="0"/>
    <s v="United States"/>
    <x v="41"/>
    <x v="23"/>
    <n v="19140"/>
    <x v="1"/>
    <s v="OFF-PA-10000788"/>
    <x v="0"/>
    <x v="9"/>
    <s v="Xerox 210"/>
    <n v="15.552"/>
  </r>
  <r>
    <n v="5854"/>
    <s v="US-2015-138835"/>
    <d v="2015-09-10T00:00:00"/>
    <d v="2015-09-14T00:00:00"/>
    <x v="0"/>
    <x v="4"/>
    <n v="9"/>
    <n v="4"/>
    <s v="Standard Class"/>
    <s v="DA-13450"/>
    <x v="218"/>
    <x v="2"/>
    <s v="United States"/>
    <x v="85"/>
    <x v="2"/>
    <n v="23464"/>
    <x v="2"/>
    <s v="OFF-BI-10003314"/>
    <x v="0"/>
    <x v="6"/>
    <s v="Tuff Stuff Recycled Round Ring Binders"/>
    <n v="9.64"/>
  </r>
  <r>
    <n v="5290"/>
    <s v="CA-2015-146283"/>
    <d v="2015-09-08T00:00:00"/>
    <d v="2015-09-15T00:00:00"/>
    <x v="0"/>
    <x v="4"/>
    <n v="9"/>
    <n v="7"/>
    <s v="Standard Class"/>
    <s v="KT-16465"/>
    <x v="219"/>
    <x v="0"/>
    <s v="United States"/>
    <x v="13"/>
    <x v="0"/>
    <n v="77036"/>
    <x v="0"/>
    <s v="OFF-PA-10002259"/>
    <x v="0"/>
    <x v="9"/>
    <s v="Geographics Note Cards, Blank, White, 8 1/2&quot; x 11&quot;"/>
    <n v="17.904"/>
  </r>
  <r>
    <n v="6312"/>
    <s v="CA-2015-112837"/>
    <d v="2015-09-11T00:00:00"/>
    <d v="2015-09-16T00:00:00"/>
    <x v="0"/>
    <x v="4"/>
    <n v="9"/>
    <n v="5"/>
    <s v="Standard Class"/>
    <s v="LW-17125"/>
    <x v="220"/>
    <x v="0"/>
    <s v="United States"/>
    <x v="106"/>
    <x v="7"/>
    <n v="93030"/>
    <x v="3"/>
    <s v="FUR-FU-10004006"/>
    <x v="1"/>
    <x v="1"/>
    <s v="Deflect-o DuraMat Lighweight, Studded, Beveled Mat for Low Pile Carpeting"/>
    <n v="127.95"/>
  </r>
  <r>
    <n v="3161"/>
    <s v="US-2015-150924"/>
    <d v="2015-09-12T00:00:00"/>
    <d v="2015-09-16T00:00:00"/>
    <x v="0"/>
    <x v="4"/>
    <n v="9"/>
    <n v="4"/>
    <s v="Second Class"/>
    <s v="PT-19090"/>
    <x v="221"/>
    <x v="0"/>
    <s v="United States"/>
    <x v="13"/>
    <x v="0"/>
    <n v="77070"/>
    <x v="0"/>
    <s v="OFF-BI-10004040"/>
    <x v="0"/>
    <x v="6"/>
    <s v="Wilson Jones Impact Binders"/>
    <n v="5.18"/>
  </r>
  <r>
    <n v="705"/>
    <s v="CA-2015-138527"/>
    <d v="2015-09-12T00:00:00"/>
    <d v="2015-09-17T00:00:00"/>
    <x v="0"/>
    <x v="4"/>
    <n v="9"/>
    <n v="5"/>
    <s v="Standard Class"/>
    <s v="BN-11470"/>
    <x v="222"/>
    <x v="1"/>
    <s v="United States"/>
    <x v="107"/>
    <x v="18"/>
    <n v="27511"/>
    <x v="2"/>
    <s v="OFF-PA-10001800"/>
    <x v="0"/>
    <x v="9"/>
    <s v="Xerox 220"/>
    <n v="10.368"/>
  </r>
  <r>
    <n v="9426"/>
    <s v="CA-2015-116246"/>
    <d v="2015-09-12T00:00:00"/>
    <d v="2015-09-17T00:00:00"/>
    <x v="0"/>
    <x v="4"/>
    <n v="9"/>
    <n v="5"/>
    <s v="Second Class"/>
    <s v="LW-17215"/>
    <x v="223"/>
    <x v="0"/>
    <s v="United States"/>
    <x v="10"/>
    <x v="8"/>
    <n v="10035"/>
    <x v="1"/>
    <s v="FUR-CH-10002024"/>
    <x v="1"/>
    <x v="5"/>
    <s v="HON 5400 Series Task Chairs for Big and Tall"/>
    <n v="3785.2919999999999"/>
  </r>
  <r>
    <n v="5449"/>
    <s v="US-2015-119081"/>
    <d v="2015-09-12T00:00:00"/>
    <d v="2015-09-19T00:00:00"/>
    <x v="0"/>
    <x v="4"/>
    <n v="9"/>
    <n v="7"/>
    <s v="Standard Class"/>
    <s v="TA-21385"/>
    <x v="224"/>
    <x v="2"/>
    <s v="United States"/>
    <x v="108"/>
    <x v="35"/>
    <n v="66062"/>
    <x v="0"/>
    <s v="OFF-SU-10000157"/>
    <x v="0"/>
    <x v="15"/>
    <s v="Compact Automatic Electric Letter Opener"/>
    <n v="357.93"/>
  </r>
  <r>
    <n v="492"/>
    <s v="CA-2015-113362"/>
    <d v="2015-09-14T00:00:00"/>
    <d v="2015-09-19T00:00:00"/>
    <x v="0"/>
    <x v="4"/>
    <n v="9"/>
    <n v="5"/>
    <s v="Standard Class"/>
    <s v="AJ-10960"/>
    <x v="225"/>
    <x v="0"/>
    <s v="United States"/>
    <x v="109"/>
    <x v="8"/>
    <n v="14609"/>
    <x v="1"/>
    <s v="OFF-ST-10001809"/>
    <x v="0"/>
    <x v="11"/>
    <s v="Fellowes Officeware Wire Shelving"/>
    <n v="449.15"/>
  </r>
  <r>
    <n v="7475"/>
    <s v="CA-2015-167199"/>
    <d v="2015-01-06T00:00:00"/>
    <d v="2015-01-10T00:00:00"/>
    <x v="0"/>
    <x v="0"/>
    <n v="1"/>
    <n v="4"/>
    <s v="Standard Class"/>
    <s v="ME-17320"/>
    <x v="226"/>
    <x v="2"/>
    <s v="United States"/>
    <x v="110"/>
    <x v="10"/>
    <n v="42420"/>
    <x v="2"/>
    <s v="FUR-CH-10004063"/>
    <x v="1"/>
    <x v="5"/>
    <s v="Global Deluxe High-Back Manager's Chair"/>
    <n v="2573.8200000000002"/>
  </r>
  <r>
    <n v="8981"/>
    <s v="CA-2015-108182"/>
    <d v="2015-02-06T00:00:00"/>
    <d v="2015-02-10T00:00:00"/>
    <x v="0"/>
    <x v="2"/>
    <n v="2"/>
    <n v="4"/>
    <s v="Second Class"/>
    <s v="DL-13315"/>
    <x v="227"/>
    <x v="0"/>
    <s v="United States"/>
    <x v="111"/>
    <x v="14"/>
    <n v="60441"/>
    <x v="0"/>
    <s v="OFF-BI-10001196"/>
    <x v="0"/>
    <x v="6"/>
    <s v="Avery Flip-Chart Easel Binder, Black"/>
    <n v="8.952"/>
  </r>
  <r>
    <n v="8736"/>
    <s v="US-2015-169390"/>
    <d v="2015-02-07T00:00:00"/>
    <d v="2015-02-10T00:00:00"/>
    <x v="0"/>
    <x v="2"/>
    <n v="2"/>
    <n v="3"/>
    <s v="Second Class"/>
    <s v="CS-12250"/>
    <x v="228"/>
    <x v="1"/>
    <s v="United States"/>
    <x v="10"/>
    <x v="8"/>
    <n v="10024"/>
    <x v="1"/>
    <s v="OFF-ST-10001558"/>
    <x v="0"/>
    <x v="11"/>
    <s v="Acco Perma 4000 Stacking Storage Drawers"/>
    <n v="64.959999999999994"/>
  </r>
  <r>
    <n v="869"/>
    <s v="CA-2015-136742"/>
    <d v="2015-04-06T00:00:00"/>
    <d v="2015-04-10T00:00:00"/>
    <x v="0"/>
    <x v="9"/>
    <n v="4"/>
    <n v="4"/>
    <s v="Standard Class"/>
    <s v="GP-14740"/>
    <x v="229"/>
    <x v="1"/>
    <s v="United States"/>
    <x v="93"/>
    <x v="23"/>
    <n v="17602"/>
    <x v="1"/>
    <s v="OFF-BI-10003719"/>
    <x v="0"/>
    <x v="6"/>
    <s v="Large Capacity Hanging Post Binders"/>
    <n v="44.91"/>
  </r>
  <r>
    <n v="8839"/>
    <s v="CA-2015-153808"/>
    <d v="2015-04-06T00:00:00"/>
    <d v="2015-04-10T00:00:00"/>
    <x v="0"/>
    <x v="9"/>
    <n v="4"/>
    <n v="4"/>
    <s v="Second Class"/>
    <s v="FH-14275"/>
    <x v="230"/>
    <x v="1"/>
    <s v="United States"/>
    <x v="11"/>
    <x v="7"/>
    <n v="90004"/>
    <x v="3"/>
    <s v="OFF-AR-10001725"/>
    <x v="0"/>
    <x v="0"/>
    <s v="Boston Home &amp; Office Model 2000 Electric Pencil Sharpeners"/>
    <n v="70.95"/>
  </r>
  <r>
    <n v="3482"/>
    <s v="CA-2015-124023"/>
    <d v="2015-04-07T00:00:00"/>
    <d v="2015-04-10T00:00:00"/>
    <x v="0"/>
    <x v="9"/>
    <n v="4"/>
    <n v="3"/>
    <s v="First Class"/>
    <s v="PJ-19015"/>
    <x v="231"/>
    <x v="0"/>
    <s v="United States"/>
    <x v="112"/>
    <x v="36"/>
    <n v="36608"/>
    <x v="2"/>
    <s v="FUR-FU-10004415"/>
    <x v="1"/>
    <x v="1"/>
    <s v="Stacking Tray, Side-Loading, Legal, Smoke"/>
    <n v="8.9600000000000009"/>
  </r>
  <r>
    <n v="3862"/>
    <s v="CA-2015-135755"/>
    <d v="2015-05-03T00:00:00"/>
    <d v="2015-05-10T00:00:00"/>
    <x v="0"/>
    <x v="1"/>
    <n v="5"/>
    <n v="7"/>
    <s v="Standard Class"/>
    <s v="NC-18415"/>
    <x v="232"/>
    <x v="0"/>
    <s v="United States"/>
    <x v="83"/>
    <x v="8"/>
    <n v="10701"/>
    <x v="1"/>
    <s v="OFF-BI-10004828"/>
    <x v="0"/>
    <x v="6"/>
    <s v="GBC Poly Designer Binding Covers"/>
    <n v="40.176000000000002"/>
  </r>
  <r>
    <n v="1335"/>
    <s v="CA-2015-121664"/>
    <d v="2015-05-06T00:00:00"/>
    <d v="2015-05-10T00:00:00"/>
    <x v="0"/>
    <x v="1"/>
    <n v="5"/>
    <n v="4"/>
    <s v="Standard Class"/>
    <s v="HP-14815"/>
    <x v="233"/>
    <x v="2"/>
    <s v="United States"/>
    <x v="11"/>
    <x v="7"/>
    <n v="90049"/>
    <x v="3"/>
    <s v="OFF-BI-10003684"/>
    <x v="0"/>
    <x v="6"/>
    <s v="Wilson Jones Legal Size Ring Binders"/>
    <n v="140.73599999999999"/>
  </r>
  <r>
    <n v="8800"/>
    <s v="CA-2015-116666"/>
    <d v="2015-05-08T00:00:00"/>
    <d v="2015-05-10T00:00:00"/>
    <x v="0"/>
    <x v="1"/>
    <n v="5"/>
    <n v="2"/>
    <s v="First Class"/>
    <s v="KT-16480"/>
    <x v="234"/>
    <x v="0"/>
    <s v="United States"/>
    <x v="41"/>
    <x v="23"/>
    <n v="19134"/>
    <x v="1"/>
    <s v="TEC-CO-10001449"/>
    <x v="2"/>
    <x v="7"/>
    <s v="Hewlett Packard LaserJet 3310 Copier"/>
    <n v="1799.97"/>
  </r>
  <r>
    <n v="6473"/>
    <s v="CA-2015-151897"/>
    <d v="2015-06-06T00:00:00"/>
    <d v="2015-06-10T00:00:00"/>
    <x v="0"/>
    <x v="11"/>
    <n v="6"/>
    <n v="4"/>
    <s v="Standard Class"/>
    <s v="VT-21700"/>
    <x v="235"/>
    <x v="2"/>
    <s v="United States"/>
    <x v="13"/>
    <x v="0"/>
    <n v="77070"/>
    <x v="0"/>
    <s v="OFF-LA-10001074"/>
    <x v="0"/>
    <x v="2"/>
    <s v="Round Specialty Laser Printer Labels"/>
    <n v="100.24"/>
  </r>
  <r>
    <n v="394"/>
    <s v="US-2015-134971"/>
    <d v="2015-06-07T00:00:00"/>
    <d v="2015-06-10T00:00:00"/>
    <x v="0"/>
    <x v="11"/>
    <n v="6"/>
    <n v="3"/>
    <s v="Second Class"/>
    <s v="BP-11095"/>
    <x v="236"/>
    <x v="1"/>
    <s v="United States"/>
    <x v="113"/>
    <x v="14"/>
    <n v="61604"/>
    <x v="0"/>
    <s v="OFF-BI-10003982"/>
    <x v="0"/>
    <x v="6"/>
    <s v="Wilson Jones Century Plastic Molded Ring Binders"/>
    <n v="12.462"/>
  </r>
  <r>
    <n v="4780"/>
    <s v="CA-2015-150301"/>
    <d v="2015-07-08T00:00:00"/>
    <d v="2015-07-10T00:00:00"/>
    <x v="0"/>
    <x v="10"/>
    <n v="7"/>
    <n v="2"/>
    <s v="First Class"/>
    <s v="MH-18025"/>
    <x v="237"/>
    <x v="0"/>
    <s v="United States"/>
    <x v="114"/>
    <x v="8"/>
    <n v="14215"/>
    <x v="1"/>
    <s v="FUR-CH-10002647"/>
    <x v="1"/>
    <x v="5"/>
    <s v="Situations Contoured Folding Chairs, 4/Set"/>
    <n v="63.881999999999998"/>
  </r>
  <r>
    <n v="8955"/>
    <s v="CA-2015-156790"/>
    <d v="2015-08-08T00:00:00"/>
    <d v="2015-08-10T00:00:00"/>
    <x v="0"/>
    <x v="3"/>
    <n v="8"/>
    <n v="2"/>
    <s v="Second Class"/>
    <s v="VG-21790"/>
    <x v="238"/>
    <x v="0"/>
    <s v="United States"/>
    <x v="77"/>
    <x v="12"/>
    <n v="32216"/>
    <x v="2"/>
    <s v="FUR-BO-10000468"/>
    <x v="1"/>
    <x v="13"/>
    <s v="O'Sullivan 2-Shelf Heavy-Duty Bookcases"/>
    <n v="155.45599999999999"/>
  </r>
  <r>
    <n v="2516"/>
    <s v="CA-2015-106572"/>
    <d v="2015-09-05T00:00:00"/>
    <d v="2015-09-10T00:00:00"/>
    <x v="0"/>
    <x v="4"/>
    <n v="9"/>
    <n v="5"/>
    <s v="Standard Class"/>
    <s v="NP-18700"/>
    <x v="239"/>
    <x v="0"/>
    <s v="United States"/>
    <x v="115"/>
    <x v="4"/>
    <n v="43402"/>
    <x v="1"/>
    <s v="OFF-ST-10000585"/>
    <x v="0"/>
    <x v="11"/>
    <s v="Economy Rollaway Files"/>
    <n v="264.32"/>
  </r>
  <r>
    <n v="6020"/>
    <s v="CA-2015-152422"/>
    <d v="2015-10-05T00:00:00"/>
    <d v="2015-10-10T00:00:00"/>
    <x v="0"/>
    <x v="5"/>
    <n v="10"/>
    <n v="5"/>
    <s v="Second Class"/>
    <s v="BD-11635"/>
    <x v="240"/>
    <x v="0"/>
    <s v="United States"/>
    <x v="4"/>
    <x v="4"/>
    <n v="43229"/>
    <x v="1"/>
    <s v="OFF-AP-10002892"/>
    <x v="0"/>
    <x v="4"/>
    <s v="Belkin F5C206VTEL 6 Outlet Surge"/>
    <n v="91.92"/>
  </r>
  <r>
    <n v="482"/>
    <s v="CA-2015-134677"/>
    <d v="2015-10-06T00:00:00"/>
    <d v="2015-10-10T00:00:00"/>
    <x v="0"/>
    <x v="5"/>
    <n v="10"/>
    <n v="4"/>
    <s v="Standard Class"/>
    <s v="XP-21865"/>
    <x v="241"/>
    <x v="0"/>
    <s v="United States"/>
    <x v="48"/>
    <x v="7"/>
    <n v="92024"/>
    <x v="3"/>
    <s v="TEC-AC-10001445"/>
    <x v="2"/>
    <x v="3"/>
    <s v="ImationÂ USB 2.0 SwivelÂ Flash DriveÂ USBÂ flash driveÂ - 4 GB - Pink"/>
    <n v="9.09"/>
  </r>
  <r>
    <n v="4533"/>
    <s v="CA-2015-140403"/>
    <d v="2015-10-10T00:00:00"/>
    <d v="2015-10-10T00:00:00"/>
    <x v="0"/>
    <x v="5"/>
    <n v="10"/>
    <n v="0"/>
    <s v="Same Day"/>
    <s v="TN-21040"/>
    <x v="242"/>
    <x v="2"/>
    <s v="United States"/>
    <x v="116"/>
    <x v="7"/>
    <n v="95336"/>
    <x v="3"/>
    <s v="FUR-CH-10002774"/>
    <x v="1"/>
    <x v="5"/>
    <s v="Global Deluxe Stacking Chair, Gray"/>
    <n v="122.352"/>
  </r>
  <r>
    <n v="8873"/>
    <s v="US-2015-105137"/>
    <d v="2015-10-10T00:00:00"/>
    <d v="2015-10-10T00:00:00"/>
    <x v="0"/>
    <x v="5"/>
    <n v="10"/>
    <n v="0"/>
    <s v="Same Day"/>
    <s v="RB-19435"/>
    <x v="243"/>
    <x v="0"/>
    <s v="United States"/>
    <x v="4"/>
    <x v="4"/>
    <n v="43229"/>
    <x v="1"/>
    <s v="TEC-MA-10002694"/>
    <x v="2"/>
    <x v="16"/>
    <s v="Hewlett-Packard Deskjet F4180 All-in-One Color Ink-jet - Printer / copier / scanner"/>
    <n v="101.994"/>
  </r>
  <r>
    <n v="9275"/>
    <s v="US-2015-134054"/>
    <d v="2015-10-10T00:00:00"/>
    <d v="2015-10-10T00:00:00"/>
    <x v="0"/>
    <x v="5"/>
    <n v="10"/>
    <n v="0"/>
    <s v="Same Day"/>
    <s v="FC-14335"/>
    <x v="244"/>
    <x v="1"/>
    <s v="United States"/>
    <x v="117"/>
    <x v="37"/>
    <n v="87105"/>
    <x v="3"/>
    <s v="OFF-AR-10000937"/>
    <x v="0"/>
    <x v="0"/>
    <s v="Dixon Ticonderoga Core-Lock Colored Pencils, 48-Color Set"/>
    <n v="255.85"/>
  </r>
  <r>
    <n v="4996"/>
    <s v="CA-2015-132227"/>
    <d v="2015-11-04T00:00:00"/>
    <d v="2015-11-10T00:00:00"/>
    <x v="0"/>
    <x v="6"/>
    <n v="11"/>
    <n v="6"/>
    <s v="Standard Class"/>
    <s v="SZ-20035"/>
    <x v="245"/>
    <x v="2"/>
    <s v="United States"/>
    <x v="10"/>
    <x v="8"/>
    <n v="10011"/>
    <x v="1"/>
    <s v="OFF-BI-10000962"/>
    <x v="0"/>
    <x v="6"/>
    <s v="Acco Flexible ACCOHIDE Square Ring Data Binder, Dark Blue, 11 1/2&quot; X 14&quot; 7/8&quot;"/>
    <n v="52.064"/>
  </r>
  <r>
    <n v="6684"/>
    <s v="CA-2015-109134"/>
    <d v="2015-11-05T00:00:00"/>
    <d v="2015-11-10T00:00:00"/>
    <x v="0"/>
    <x v="6"/>
    <n v="11"/>
    <n v="5"/>
    <s v="Standard Class"/>
    <s v="DE-13255"/>
    <x v="246"/>
    <x v="2"/>
    <s v="United States"/>
    <x v="11"/>
    <x v="7"/>
    <n v="90008"/>
    <x v="3"/>
    <s v="FUR-FU-10000320"/>
    <x v="1"/>
    <x v="1"/>
    <s v="OIC Stacking Trays"/>
    <n v="20.04"/>
  </r>
  <r>
    <n v="8683"/>
    <s v="CA-2015-133634"/>
    <d v="2015-11-05T00:00:00"/>
    <d v="2015-11-10T00:00:00"/>
    <x v="0"/>
    <x v="6"/>
    <n v="11"/>
    <n v="5"/>
    <s v="Standard Class"/>
    <s v="SR-20740"/>
    <x v="247"/>
    <x v="2"/>
    <s v="United States"/>
    <x v="67"/>
    <x v="2"/>
    <n v="22204"/>
    <x v="2"/>
    <s v="TEC-AC-10002550"/>
    <x v="2"/>
    <x v="3"/>
    <s v="Maxell 4.7GB DVD-RW 3/Pack"/>
    <n v="47.79"/>
  </r>
  <r>
    <n v="9711"/>
    <s v="CA-2015-114251"/>
    <d v="2015-11-05T00:00:00"/>
    <d v="2015-11-10T00:00:00"/>
    <x v="0"/>
    <x v="6"/>
    <n v="11"/>
    <n v="5"/>
    <s v="Standard Class"/>
    <s v="MD-17350"/>
    <x v="248"/>
    <x v="0"/>
    <s v="United States"/>
    <x v="41"/>
    <x v="23"/>
    <n v="19143"/>
    <x v="1"/>
    <s v="FUR-FU-10001468"/>
    <x v="1"/>
    <x v="1"/>
    <s v="Tenex Antistatic Computer Chair Mats"/>
    <n v="273.56799999999998"/>
  </r>
  <r>
    <n v="68"/>
    <s v="CA-2015-106376"/>
    <d v="2015-12-05T00:00:00"/>
    <d v="2015-12-10T00:00:00"/>
    <x v="0"/>
    <x v="7"/>
    <n v="12"/>
    <n v="5"/>
    <s v="Standard Class"/>
    <s v="BS-11590"/>
    <x v="249"/>
    <x v="1"/>
    <s v="United States"/>
    <x v="118"/>
    <x v="15"/>
    <n v="85234"/>
    <x v="3"/>
    <s v="OFF-AR-10002671"/>
    <x v="0"/>
    <x v="0"/>
    <s v="Hunt BOSTON Model 1606 High-Volume Electric Pencil Sharpener, Beige"/>
    <n v="1113.0239999999999"/>
  </r>
  <r>
    <n v="7569"/>
    <s v="CA-2015-133830"/>
    <d v="2015-12-05T00:00:00"/>
    <d v="2015-12-10T00:00:00"/>
    <x v="0"/>
    <x v="7"/>
    <n v="12"/>
    <n v="5"/>
    <s v="Standard Class"/>
    <s v="RL-19615"/>
    <x v="250"/>
    <x v="0"/>
    <s v="United States"/>
    <x v="11"/>
    <x v="7"/>
    <n v="90045"/>
    <x v="3"/>
    <s v="OFF-AR-10003045"/>
    <x v="0"/>
    <x v="0"/>
    <s v="Prang Colored Pencils"/>
    <n v="26.46"/>
  </r>
  <r>
    <n v="7237"/>
    <s v="CA-2015-138737"/>
    <d v="2015-12-07T00:00:00"/>
    <d v="2015-12-10T00:00:00"/>
    <x v="0"/>
    <x v="7"/>
    <n v="12"/>
    <n v="3"/>
    <s v="First Class"/>
    <s v="FP-14320"/>
    <x v="251"/>
    <x v="0"/>
    <s v="United States"/>
    <x v="11"/>
    <x v="7"/>
    <n v="90049"/>
    <x v="3"/>
    <s v="OFF-AR-10003190"/>
    <x v="0"/>
    <x v="0"/>
    <s v="Newell 32"/>
    <n v="8.64"/>
  </r>
  <r>
    <n v="3715"/>
    <s v="CA-2015-135608"/>
    <d v="2015-12-08T00:00:00"/>
    <d v="2015-12-10T00:00:00"/>
    <x v="0"/>
    <x v="7"/>
    <n v="12"/>
    <n v="2"/>
    <s v="Second Class"/>
    <s v="JK-15625"/>
    <x v="252"/>
    <x v="0"/>
    <s v="United States"/>
    <x v="119"/>
    <x v="24"/>
    <n v="98502"/>
    <x v="3"/>
    <s v="OFF-PA-10001954"/>
    <x v="0"/>
    <x v="9"/>
    <s v="Xerox 1964"/>
    <n v="45.68"/>
  </r>
  <r>
    <n v="8853"/>
    <s v="CA-2015-119977"/>
    <d v="2015-10-08T00:00:00"/>
    <d v="2015-10-13T00:00:00"/>
    <x v="0"/>
    <x v="5"/>
    <n v="10"/>
    <n v="5"/>
    <s v="Second Class"/>
    <s v="DN-13690"/>
    <x v="253"/>
    <x v="0"/>
    <s v="United States"/>
    <x v="10"/>
    <x v="8"/>
    <n v="10011"/>
    <x v="1"/>
    <s v="OFF-PA-10003823"/>
    <x v="0"/>
    <x v="9"/>
    <s v="Xerox 197"/>
    <n v="123.92"/>
  </r>
  <r>
    <n v="4168"/>
    <s v="CA-2015-157924"/>
    <d v="2015-10-11T00:00:00"/>
    <d v="2015-10-13T00:00:00"/>
    <x v="0"/>
    <x v="5"/>
    <n v="10"/>
    <n v="2"/>
    <s v="First Class"/>
    <s v="HA-14920"/>
    <x v="254"/>
    <x v="0"/>
    <s v="United States"/>
    <x v="120"/>
    <x v="7"/>
    <n v="91104"/>
    <x v="3"/>
    <s v="OFF-ST-10002352"/>
    <x v="0"/>
    <x v="11"/>
    <s v="Iris Project Case"/>
    <n v="31.92"/>
  </r>
  <r>
    <n v="9459"/>
    <s v="CA-2015-138240"/>
    <d v="2015-10-09T00:00:00"/>
    <d v="2015-10-14T00:00:00"/>
    <x v="0"/>
    <x v="5"/>
    <n v="10"/>
    <n v="5"/>
    <s v="Standard Class"/>
    <s v="SJ-20500"/>
    <x v="255"/>
    <x v="0"/>
    <s v="United States"/>
    <x v="9"/>
    <x v="7"/>
    <n v="94122"/>
    <x v="3"/>
    <s v="OFF-AR-10002135"/>
    <x v="0"/>
    <x v="0"/>
    <s v="Boston Heavy-Duty Trimline Electric Pencil Sharpeners"/>
    <n v="144.6"/>
  </r>
  <r>
    <n v="3266"/>
    <s v="US-2015-126571"/>
    <d v="2015-10-11T00:00:00"/>
    <d v="2015-10-15T00:00:00"/>
    <x v="0"/>
    <x v="5"/>
    <n v="10"/>
    <n v="4"/>
    <s v="Standard Class"/>
    <s v="JF-15565"/>
    <x v="256"/>
    <x v="0"/>
    <s v="United States"/>
    <x v="41"/>
    <x v="23"/>
    <n v="19120"/>
    <x v="1"/>
    <s v="OFF-ST-10003816"/>
    <x v="0"/>
    <x v="11"/>
    <s v="Fellowes High-Stak Drawer Files"/>
    <n v="281.904"/>
  </r>
  <r>
    <n v="5928"/>
    <s v="CA-2015-114314"/>
    <d v="2015-10-11T00:00:00"/>
    <d v="2015-10-15T00:00:00"/>
    <x v="0"/>
    <x v="5"/>
    <n v="10"/>
    <n v="4"/>
    <s v="Standard Class"/>
    <s v="DB-13555"/>
    <x v="257"/>
    <x v="1"/>
    <s v="United States"/>
    <x v="72"/>
    <x v="27"/>
    <n v="72701"/>
    <x v="2"/>
    <s v="OFF-LA-10000240"/>
    <x v="0"/>
    <x v="2"/>
    <s v="Self-Adhesive Address Labels for Typewriters by Universal"/>
    <n v="7.31"/>
  </r>
  <r>
    <n v="6215"/>
    <s v="CA-2015-128538"/>
    <d v="2015-10-11T00:00:00"/>
    <d v="2015-10-15T00:00:00"/>
    <x v="0"/>
    <x v="5"/>
    <n v="10"/>
    <n v="4"/>
    <s v="Standard Class"/>
    <s v="AS-10240"/>
    <x v="258"/>
    <x v="0"/>
    <s v="United States"/>
    <x v="25"/>
    <x v="7"/>
    <n v="90278"/>
    <x v="3"/>
    <s v="OFF-EN-10001219"/>
    <x v="0"/>
    <x v="14"/>
    <s v="#10- 4 1/8&quot; x 9 1/2&quot; Security-Tint Envelopes"/>
    <n v="7.64"/>
  </r>
  <r>
    <n v="4001"/>
    <s v="CA-2015-116834"/>
    <d v="2015-10-11T00:00:00"/>
    <d v="2015-10-16T00:00:00"/>
    <x v="0"/>
    <x v="5"/>
    <n v="10"/>
    <n v="5"/>
    <s v="Standard Class"/>
    <s v="Dp-13240"/>
    <x v="259"/>
    <x v="2"/>
    <s v="United States"/>
    <x v="49"/>
    <x v="24"/>
    <n v="98115"/>
    <x v="3"/>
    <s v="FUR-FU-10001196"/>
    <x v="1"/>
    <x v="1"/>
    <s v="DAX Cubicle Frames - 8x10"/>
    <n v="63.47"/>
  </r>
  <r>
    <n v="9440"/>
    <s v="US-2015-154655"/>
    <d v="2015-10-12T00:00:00"/>
    <d v="2015-10-17T00:00:00"/>
    <x v="0"/>
    <x v="5"/>
    <n v="10"/>
    <n v="5"/>
    <s v="Standard Class"/>
    <s v="BP-11050"/>
    <x v="260"/>
    <x v="1"/>
    <s v="United States"/>
    <x v="19"/>
    <x v="14"/>
    <n v="60623"/>
    <x v="0"/>
    <s v="OFF-SU-10000898"/>
    <x v="0"/>
    <x v="15"/>
    <s v="Acme Hot Forged Carbon Steel Scissors with Nickel-Plated Handles, 3 7/8&quot; Cut, 8&quot;L"/>
    <n v="22.24"/>
  </r>
  <r>
    <n v="4898"/>
    <s v="US-2015-122021"/>
    <d v="2015-10-15T00:00:00"/>
    <d v="2015-10-17T00:00:00"/>
    <x v="0"/>
    <x v="5"/>
    <n v="10"/>
    <n v="2"/>
    <s v="First Class"/>
    <s v="AC-10660"/>
    <x v="261"/>
    <x v="0"/>
    <s v="United States"/>
    <x v="121"/>
    <x v="4"/>
    <n v="44134"/>
    <x v="1"/>
    <s v="FUR-CH-10003761"/>
    <x v="1"/>
    <x v="5"/>
    <s v="Global Italian Leather Office Chair"/>
    <n v="183.37200000000001"/>
  </r>
  <r>
    <n v="7665"/>
    <s v="CA-2015-151967"/>
    <d v="2015-10-22T00:00:00"/>
    <d v="2015-10-26T00:00:00"/>
    <x v="0"/>
    <x v="5"/>
    <n v="10"/>
    <n v="4"/>
    <s v="Standard Class"/>
    <s v="NB-18580"/>
    <x v="262"/>
    <x v="1"/>
    <s v="United States"/>
    <x v="122"/>
    <x v="30"/>
    <n v="71111"/>
    <x v="2"/>
    <s v="FUR-FU-10000193"/>
    <x v="1"/>
    <x v="1"/>
    <s v="Tenex Chairmats For Use with Hard Floors"/>
    <n v="129.91999999999999"/>
  </r>
  <r>
    <n v="5254"/>
    <s v="US-2015-131982"/>
    <d v="2015-03-07T00:00:00"/>
    <d v="2015-03-11T00:00:00"/>
    <x v="0"/>
    <x v="8"/>
    <n v="3"/>
    <n v="4"/>
    <s v="Second Class"/>
    <s v="NP-18685"/>
    <x v="263"/>
    <x v="2"/>
    <s v="United States"/>
    <x v="123"/>
    <x v="24"/>
    <n v="98198"/>
    <x v="3"/>
    <s v="OFF-BI-10004224"/>
    <x v="0"/>
    <x v="6"/>
    <s v="Catalog Binders with Expanding Posts"/>
    <n v="107.648"/>
  </r>
  <r>
    <n v="4410"/>
    <s v="US-2015-154879"/>
    <d v="2015-05-06T00:00:00"/>
    <d v="2015-05-11T00:00:00"/>
    <x v="0"/>
    <x v="1"/>
    <n v="5"/>
    <n v="5"/>
    <s v="Standard Class"/>
    <s v="SN-20710"/>
    <x v="264"/>
    <x v="2"/>
    <s v="United States"/>
    <x v="11"/>
    <x v="7"/>
    <n v="90004"/>
    <x v="3"/>
    <s v="OFF-LA-10004425"/>
    <x v="0"/>
    <x v="2"/>
    <s v="Staple-on labels"/>
    <n v="5.78"/>
  </r>
  <r>
    <n v="2140"/>
    <s v="CA-2015-159520"/>
    <d v="2015-06-06T00:00:00"/>
    <d v="2015-06-11T00:00:00"/>
    <x v="0"/>
    <x v="11"/>
    <n v="6"/>
    <n v="5"/>
    <s v="Standard Class"/>
    <s v="GT-14635"/>
    <x v="265"/>
    <x v="1"/>
    <s v="United States"/>
    <x v="38"/>
    <x v="8"/>
    <n v="11561"/>
    <x v="1"/>
    <s v="OFF-BI-10003982"/>
    <x v="0"/>
    <x v="6"/>
    <s v="Wilson Jones Century Plastic Molded Ring Binders"/>
    <n v="149.54400000000001"/>
  </r>
  <r>
    <n v="4722"/>
    <s v="CA-2015-106229"/>
    <d v="2015-06-07T00:00:00"/>
    <d v="2015-06-11T00:00:00"/>
    <x v="0"/>
    <x v="11"/>
    <n v="6"/>
    <n v="4"/>
    <s v="Second Class"/>
    <s v="NR-18550"/>
    <x v="266"/>
    <x v="0"/>
    <s v="United States"/>
    <x v="70"/>
    <x v="14"/>
    <n v="60505"/>
    <x v="0"/>
    <s v="FUR-TA-10002041"/>
    <x v="1"/>
    <x v="12"/>
    <s v="Bevis Round Conference Table Top, X-Base"/>
    <n v="268.935"/>
  </r>
  <r>
    <n v="1812"/>
    <s v="CA-2015-132612"/>
    <d v="2015-06-09T00:00:00"/>
    <d v="2015-06-11T00:00:00"/>
    <x v="0"/>
    <x v="11"/>
    <n v="6"/>
    <n v="2"/>
    <s v="Second Class"/>
    <s v="FO-14305"/>
    <x v="267"/>
    <x v="0"/>
    <s v="United States"/>
    <x v="124"/>
    <x v="2"/>
    <n v="22801"/>
    <x v="2"/>
    <s v="FUR-TA-10004534"/>
    <x v="1"/>
    <x v="12"/>
    <s v="Bevis 44 x 96 Conference Tables"/>
    <n v="1441.3"/>
  </r>
  <r>
    <n v="3791"/>
    <s v="CA-2015-107139"/>
    <d v="2015-07-05T00:00:00"/>
    <d v="2015-07-11T00:00:00"/>
    <x v="0"/>
    <x v="10"/>
    <n v="7"/>
    <n v="6"/>
    <s v="Standard Class"/>
    <s v="DP-13390"/>
    <x v="268"/>
    <x v="2"/>
    <s v="United States"/>
    <x v="11"/>
    <x v="7"/>
    <n v="90004"/>
    <x v="3"/>
    <s v="OFF-BI-10001670"/>
    <x v="0"/>
    <x v="6"/>
    <s v="Vinyl Sectional Post Binders"/>
    <n v="180.96"/>
  </r>
  <r>
    <n v="4398"/>
    <s v="US-2015-138758"/>
    <d v="2015-07-07T00:00:00"/>
    <d v="2015-07-11T00:00:00"/>
    <x v="0"/>
    <x v="10"/>
    <n v="7"/>
    <n v="4"/>
    <s v="Standard Class"/>
    <s v="JL-15835"/>
    <x v="269"/>
    <x v="0"/>
    <s v="United States"/>
    <x v="41"/>
    <x v="23"/>
    <n v="19120"/>
    <x v="1"/>
    <s v="FUR-CH-10002880"/>
    <x v="1"/>
    <x v="5"/>
    <s v="Global High-Back Leather Tilter, Burgundy"/>
    <n v="172.18600000000001"/>
  </r>
  <r>
    <n v="5358"/>
    <s v="CA-2015-150490"/>
    <d v="2015-08-05T00:00:00"/>
    <d v="2015-08-11T00:00:00"/>
    <x v="0"/>
    <x v="3"/>
    <n v="8"/>
    <n v="6"/>
    <s v="Standard Class"/>
    <s v="SS-20590"/>
    <x v="270"/>
    <x v="0"/>
    <s v="United States"/>
    <x v="9"/>
    <x v="7"/>
    <n v="94122"/>
    <x v="3"/>
    <s v="TEC-AC-10004510"/>
    <x v="2"/>
    <x v="3"/>
    <s v="Logitech Desktop MK120 Mouse and keyboard Combo"/>
    <n v="16.36"/>
  </r>
  <r>
    <n v="3773"/>
    <s v="CA-2015-115357"/>
    <d v="2015-08-06T00:00:00"/>
    <d v="2015-08-11T00:00:00"/>
    <x v="0"/>
    <x v="3"/>
    <n v="8"/>
    <n v="5"/>
    <s v="Second Class"/>
    <s v="RF-19735"/>
    <x v="271"/>
    <x v="0"/>
    <s v="United States"/>
    <x v="6"/>
    <x v="38"/>
    <n v="29203"/>
    <x v="2"/>
    <s v="TEC-AC-10000023"/>
    <x v="2"/>
    <x v="3"/>
    <s v="Maxell 74 Minute CD-R Spindle, 50/Pack"/>
    <n v="62.91"/>
  </r>
  <r>
    <n v="8544"/>
    <s v="CA-2015-137575"/>
    <d v="2015-08-06T00:00:00"/>
    <d v="2015-08-11T00:00:00"/>
    <x v="0"/>
    <x v="3"/>
    <n v="8"/>
    <n v="5"/>
    <s v="Standard Class"/>
    <s v="TB-21625"/>
    <x v="272"/>
    <x v="0"/>
    <s v="United States"/>
    <x v="10"/>
    <x v="8"/>
    <n v="10035"/>
    <x v="1"/>
    <s v="TEC-AC-10004571"/>
    <x v="2"/>
    <x v="3"/>
    <s v="Logitech G700s Rechargeable Gaming Mouse"/>
    <n v="199.98"/>
  </r>
  <r>
    <n v="2751"/>
    <s v="CA-2015-154669"/>
    <d v="2015-08-08T00:00:00"/>
    <d v="2015-08-11T00:00:00"/>
    <x v="0"/>
    <x v="3"/>
    <n v="8"/>
    <n v="3"/>
    <s v="Second Class"/>
    <s v="TM-21010"/>
    <x v="273"/>
    <x v="0"/>
    <s v="United States"/>
    <x v="125"/>
    <x v="7"/>
    <n v="95687"/>
    <x v="3"/>
    <s v="OFF-ST-10000532"/>
    <x v="0"/>
    <x v="11"/>
    <s v="Advantus Rolling Drawer Organizers"/>
    <n v="423.28"/>
  </r>
  <r>
    <n v="1279"/>
    <s v="CA-2015-163293"/>
    <d v="2015-09-08T00:00:00"/>
    <d v="2015-09-11T00:00:00"/>
    <x v="0"/>
    <x v="4"/>
    <n v="9"/>
    <n v="3"/>
    <s v="First Class"/>
    <s v="KC-16255"/>
    <x v="274"/>
    <x v="1"/>
    <s v="United States"/>
    <x v="126"/>
    <x v="3"/>
    <n v="31204"/>
    <x v="2"/>
    <s v="TEC-AC-10004209"/>
    <x v="2"/>
    <x v="3"/>
    <s v="Memorex Froggy Flash Drive 4 GB"/>
    <n v="32.97"/>
  </r>
  <r>
    <n v="8017"/>
    <s v="US-2015-131870"/>
    <d v="2015-09-09T00:00:00"/>
    <d v="2015-09-11T00:00:00"/>
    <x v="0"/>
    <x v="4"/>
    <n v="9"/>
    <n v="2"/>
    <s v="First Class"/>
    <s v="NF-18595"/>
    <x v="275"/>
    <x v="2"/>
    <s v="United States"/>
    <x v="93"/>
    <x v="4"/>
    <n v="43130"/>
    <x v="1"/>
    <s v="FUR-FU-10002501"/>
    <x v="1"/>
    <x v="1"/>
    <s v="Nu-Dell Executive Frame"/>
    <n v="60.671999999999997"/>
  </r>
  <r>
    <n v="4309"/>
    <s v="CA-2015-125829"/>
    <d v="2015-11-04T00:00:00"/>
    <d v="2015-11-11T00:00:00"/>
    <x v="0"/>
    <x v="6"/>
    <n v="11"/>
    <n v="7"/>
    <s v="Standard Class"/>
    <s v="WB-21850"/>
    <x v="276"/>
    <x v="0"/>
    <s v="United States"/>
    <x v="11"/>
    <x v="7"/>
    <n v="90045"/>
    <x v="3"/>
    <s v="TEC-PH-10001079"/>
    <x v="2"/>
    <x v="8"/>
    <s v="Polycom SoundPoint Pro SE-225 Corded phone"/>
    <n v="666.34400000000005"/>
  </r>
  <r>
    <n v="5654"/>
    <s v="US-2015-134187"/>
    <d v="2015-11-04T00:00:00"/>
    <d v="2015-11-11T00:00:00"/>
    <x v="0"/>
    <x v="6"/>
    <n v="11"/>
    <n v="7"/>
    <s v="Standard Class"/>
    <s v="TH-21235"/>
    <x v="277"/>
    <x v="1"/>
    <s v="United States"/>
    <x v="38"/>
    <x v="7"/>
    <n v="90805"/>
    <x v="3"/>
    <s v="OFF-AR-10000940"/>
    <x v="0"/>
    <x v="0"/>
    <s v="Newell 343"/>
    <n v="2.94"/>
  </r>
  <r>
    <n v="472"/>
    <s v="CA-2015-144666"/>
    <d v="2015-11-09T00:00:00"/>
    <d v="2015-11-11T00:00:00"/>
    <x v="0"/>
    <x v="6"/>
    <n v="11"/>
    <n v="2"/>
    <s v="Second Class"/>
    <s v="JP-15520"/>
    <x v="278"/>
    <x v="0"/>
    <s v="United States"/>
    <x v="9"/>
    <x v="7"/>
    <n v="94110"/>
    <x v="3"/>
    <s v="OFF-ST-10002743"/>
    <x v="0"/>
    <x v="11"/>
    <s v="SAFCO Boltless Steel Shelving"/>
    <n v="340.92"/>
  </r>
  <r>
    <n v="2984"/>
    <s v="US-2015-112872"/>
    <d v="2015-12-06T00:00:00"/>
    <d v="2015-12-11T00:00:00"/>
    <x v="0"/>
    <x v="7"/>
    <n v="12"/>
    <n v="5"/>
    <s v="Second Class"/>
    <s v="RC-19960"/>
    <x v="279"/>
    <x v="0"/>
    <s v="United States"/>
    <x v="2"/>
    <x v="21"/>
    <n v="97477"/>
    <x v="3"/>
    <s v="OFF-ST-10002205"/>
    <x v="0"/>
    <x v="11"/>
    <s v="File Shuttle I and Handi-File"/>
    <n v="53.423999999999999"/>
  </r>
  <r>
    <n v="8138"/>
    <s v="CA-2015-103219"/>
    <d v="2015-11-09T00:00:00"/>
    <d v="2015-11-13T00:00:00"/>
    <x v="0"/>
    <x v="6"/>
    <n v="11"/>
    <n v="4"/>
    <s v="Standard Class"/>
    <s v="BF-11215"/>
    <x v="280"/>
    <x v="2"/>
    <s v="United States"/>
    <x v="10"/>
    <x v="8"/>
    <n v="10035"/>
    <x v="1"/>
    <s v="FUR-FU-10004091"/>
    <x v="1"/>
    <x v="1"/>
    <s v="Eldon 200 Class Desk Accessories, Black"/>
    <n v="56.52"/>
  </r>
  <r>
    <n v="982"/>
    <s v="CA-2015-163419"/>
    <d v="2015-11-11T00:00:00"/>
    <d v="2015-11-14T00:00:00"/>
    <x v="0"/>
    <x v="6"/>
    <n v="11"/>
    <n v="3"/>
    <s v="Second Class"/>
    <s v="TZ-21580"/>
    <x v="281"/>
    <x v="0"/>
    <s v="United States"/>
    <x v="127"/>
    <x v="19"/>
    <n v="80027"/>
    <x v="3"/>
    <s v="OFF-AR-10000034"/>
    <x v="0"/>
    <x v="0"/>
    <s v="BIC Brite Liner Grip Highlighters, Assorted, 5/Pack"/>
    <n v="3.3919999999999999"/>
  </r>
  <r>
    <n v="3325"/>
    <s v="CA-2015-165309"/>
    <d v="2015-11-11T00:00:00"/>
    <d v="2015-11-15T00:00:00"/>
    <x v="0"/>
    <x v="6"/>
    <n v="11"/>
    <n v="4"/>
    <s v="Standard Class"/>
    <s v="KD-16270"/>
    <x v="282"/>
    <x v="0"/>
    <s v="United States"/>
    <x v="13"/>
    <x v="0"/>
    <n v="77095"/>
    <x v="0"/>
    <s v="OFF-BI-10001359"/>
    <x v="0"/>
    <x v="6"/>
    <s v="GBC DocuBind TL300 Electric Binding System"/>
    <n v="896.99"/>
  </r>
  <r>
    <n v="5955"/>
    <s v="CA-2015-155796"/>
    <d v="2015-11-11T00:00:00"/>
    <d v="2015-11-15T00:00:00"/>
    <x v="0"/>
    <x v="6"/>
    <n v="11"/>
    <n v="4"/>
    <s v="Second Class"/>
    <s v="TS-21430"/>
    <x v="283"/>
    <x v="1"/>
    <s v="United States"/>
    <x v="128"/>
    <x v="23"/>
    <n v="19601"/>
    <x v="1"/>
    <s v="FUR-FU-10000409"/>
    <x v="1"/>
    <x v="1"/>
    <s v="GE 4 Foot Flourescent Tube, 40 Watt"/>
    <n v="23.968"/>
  </r>
  <r>
    <n v="2413"/>
    <s v="CA-2015-151295"/>
    <d v="2015-11-12T00:00:00"/>
    <d v="2015-11-16T00:00:00"/>
    <x v="0"/>
    <x v="6"/>
    <n v="11"/>
    <n v="4"/>
    <s v="Standard Class"/>
    <s v="JA-15970"/>
    <x v="284"/>
    <x v="0"/>
    <s v="United States"/>
    <x v="11"/>
    <x v="7"/>
    <n v="90045"/>
    <x v="3"/>
    <s v="OFF-PA-10001947"/>
    <x v="0"/>
    <x v="9"/>
    <s v="Xerox 1974"/>
    <n v="11.96"/>
  </r>
  <r>
    <n v="5551"/>
    <s v="US-2015-159618"/>
    <d v="2015-11-12T00:00:00"/>
    <d v="2015-11-16T00:00:00"/>
    <x v="0"/>
    <x v="6"/>
    <n v="11"/>
    <n v="4"/>
    <s v="Standard Class"/>
    <s v="DB-12970"/>
    <x v="285"/>
    <x v="1"/>
    <s v="United States"/>
    <x v="13"/>
    <x v="0"/>
    <n v="77036"/>
    <x v="0"/>
    <s v="OFF-AR-10003183"/>
    <x v="0"/>
    <x v="0"/>
    <s v="Avery Fluorescent Highlighter Four-Color Set"/>
    <n v="2.6720000000000002"/>
  </r>
  <r>
    <n v="17"/>
    <s v="CA-2015-105893"/>
    <d v="2015-11-11T00:00:00"/>
    <d v="2015-11-18T00:00:00"/>
    <x v="0"/>
    <x v="6"/>
    <n v="11"/>
    <n v="7"/>
    <s v="Standard Class"/>
    <s v="PK-19075"/>
    <x v="286"/>
    <x v="0"/>
    <s v="United States"/>
    <x v="12"/>
    <x v="6"/>
    <n v="53711"/>
    <x v="0"/>
    <s v="OFF-ST-10004186"/>
    <x v="0"/>
    <x v="11"/>
    <s v="Stur-D-Stor Shelving, Vertical 5-Shelf: 72&quot;H x 36&quot;W x 18 1/2&quot;D"/>
    <n v="665.88"/>
  </r>
  <r>
    <n v="5779"/>
    <s v="CA-2015-105270"/>
    <d v="2015-11-11T00:00:00"/>
    <d v="2015-11-18T00:00:00"/>
    <x v="0"/>
    <x v="6"/>
    <n v="11"/>
    <n v="7"/>
    <s v="Standard Class"/>
    <s v="AP-10915"/>
    <x v="287"/>
    <x v="0"/>
    <s v="United States"/>
    <x v="11"/>
    <x v="7"/>
    <n v="90008"/>
    <x v="3"/>
    <s v="OFF-AR-10003156"/>
    <x v="0"/>
    <x v="0"/>
    <s v="50 Colored Long Pencils"/>
    <n v="30.48"/>
  </r>
  <r>
    <n v="3602"/>
    <s v="CA-2015-159835"/>
    <d v="2015-11-17T00:00:00"/>
    <d v="2015-11-24T00:00:00"/>
    <x v="0"/>
    <x v="6"/>
    <n v="11"/>
    <n v="7"/>
    <s v="Standard Class"/>
    <s v="RB-19330"/>
    <x v="288"/>
    <x v="0"/>
    <s v="United States"/>
    <x v="41"/>
    <x v="23"/>
    <n v="19143"/>
    <x v="1"/>
    <s v="OFF-PA-10002137"/>
    <x v="0"/>
    <x v="9"/>
    <s v="Southworth 100% RÃ©sumÃ© Paper, 24lb."/>
    <n v="12.448"/>
  </r>
  <r>
    <n v="5392"/>
    <s v="US-2015-123183"/>
    <d v="2015-11-19T00:00:00"/>
    <d v="2015-11-25T00:00:00"/>
    <x v="0"/>
    <x v="6"/>
    <n v="11"/>
    <n v="6"/>
    <s v="Standard Class"/>
    <s v="GR-14560"/>
    <x v="289"/>
    <x v="1"/>
    <s v="United States"/>
    <x v="63"/>
    <x v="1"/>
    <n v="19805"/>
    <x v="1"/>
    <s v="OFF-LA-10002787"/>
    <x v="0"/>
    <x v="2"/>
    <s v="Avery 480"/>
    <n v="22.5"/>
  </r>
  <r>
    <n v="1760"/>
    <s v="CA-2015-141817"/>
    <d v="2015-01-05T00:00:00"/>
    <d v="2015-01-12T00:00:00"/>
    <x v="0"/>
    <x v="0"/>
    <n v="1"/>
    <n v="7"/>
    <s v="Standard Class"/>
    <s v="MB-18085"/>
    <x v="290"/>
    <x v="0"/>
    <s v="United States"/>
    <x v="41"/>
    <x v="23"/>
    <n v="19143"/>
    <x v="1"/>
    <s v="OFF-AR-10003478"/>
    <x v="0"/>
    <x v="0"/>
    <s v="Avery Hi-Liter EverBold Pen Style Fluorescent Highlighters, 4/Pack"/>
    <n v="19.536000000000001"/>
  </r>
  <r>
    <n v="7661"/>
    <s v="CA-2015-105417"/>
    <d v="2015-01-07T00:00:00"/>
    <d v="2015-01-12T00:00:00"/>
    <x v="0"/>
    <x v="0"/>
    <n v="1"/>
    <n v="5"/>
    <s v="Standard Class"/>
    <s v="VS-21820"/>
    <x v="291"/>
    <x v="0"/>
    <s v="United States"/>
    <x v="47"/>
    <x v="0"/>
    <n v="77340"/>
    <x v="0"/>
    <s v="FUR-FU-10004864"/>
    <x v="1"/>
    <x v="1"/>
    <s v="Howard Miller 14-1/2&quot; Diameter Chrome Round Wall Clock"/>
    <n v="76.727999999999994"/>
  </r>
  <r>
    <n v="850"/>
    <s v="CA-2015-107755"/>
    <d v="2015-02-07T00:00:00"/>
    <d v="2015-02-12T00:00:00"/>
    <x v="0"/>
    <x v="2"/>
    <n v="2"/>
    <n v="5"/>
    <s v="Standard Class"/>
    <s v="CK-12760"/>
    <x v="292"/>
    <x v="1"/>
    <s v="United States"/>
    <x v="129"/>
    <x v="22"/>
    <n v="7036"/>
    <x v="1"/>
    <s v="TEC-AC-10000710"/>
    <x v="2"/>
    <x v="3"/>
    <s v="Maxell DVD-RAM Discs"/>
    <n v="115.36"/>
  </r>
  <r>
    <n v="9641"/>
    <s v="CA-2015-104563"/>
    <d v="2015-03-07T00:00:00"/>
    <d v="2015-03-12T00:00:00"/>
    <x v="0"/>
    <x v="8"/>
    <n v="3"/>
    <n v="5"/>
    <s v="Standard Class"/>
    <s v="CM-12715"/>
    <x v="293"/>
    <x v="1"/>
    <s v="United States"/>
    <x v="49"/>
    <x v="24"/>
    <n v="98103"/>
    <x v="3"/>
    <s v="OFF-AR-10000390"/>
    <x v="0"/>
    <x v="0"/>
    <s v="Newell Chalk Holder"/>
    <n v="20.65"/>
  </r>
  <r>
    <n v="5036"/>
    <s v="CA-2015-169803"/>
    <d v="2015-04-06T00:00:00"/>
    <d v="2015-04-12T00:00:00"/>
    <x v="0"/>
    <x v="9"/>
    <n v="4"/>
    <n v="6"/>
    <s v="Standard Class"/>
    <s v="SC-20260"/>
    <x v="294"/>
    <x v="1"/>
    <s v="United States"/>
    <x v="49"/>
    <x v="24"/>
    <n v="98115"/>
    <x v="3"/>
    <s v="FUR-TA-10000688"/>
    <x v="1"/>
    <x v="12"/>
    <s v="Chromcraft Bull-Nose Wood Round Conference Table Top, Wood Base"/>
    <n v="653.54999999999995"/>
  </r>
  <r>
    <n v="6016"/>
    <s v="CA-2015-102652"/>
    <d v="2015-04-06T00:00:00"/>
    <d v="2015-04-12T00:00:00"/>
    <x v="0"/>
    <x v="9"/>
    <n v="4"/>
    <n v="6"/>
    <s v="Standard Class"/>
    <s v="AY-10555"/>
    <x v="295"/>
    <x v="1"/>
    <s v="United States"/>
    <x v="11"/>
    <x v="7"/>
    <n v="90049"/>
    <x v="3"/>
    <s v="FUR-FU-10000747"/>
    <x v="1"/>
    <x v="1"/>
    <s v="Tenex B1-RE Series Chair Mats for Low Pile Carpets"/>
    <n v="91.96"/>
  </r>
  <r>
    <n v="5927"/>
    <s v="US-2015-118997"/>
    <d v="2015-04-08T00:00:00"/>
    <d v="2015-04-12T00:00:00"/>
    <x v="0"/>
    <x v="9"/>
    <n v="4"/>
    <n v="4"/>
    <s v="Standard Class"/>
    <s v="RA-19885"/>
    <x v="296"/>
    <x v="1"/>
    <s v="United States"/>
    <x v="64"/>
    <x v="36"/>
    <n v="35601"/>
    <x v="2"/>
    <s v="FUR-TA-10001086"/>
    <x v="1"/>
    <x v="12"/>
    <s v="SAFCO PlanMaster Boards, 60w x 37-1/2d, White Melamine"/>
    <n v="1215.92"/>
  </r>
  <r>
    <n v="7410"/>
    <s v="CA-2015-121769"/>
    <d v="2015-04-08T00:00:00"/>
    <d v="2015-04-12T00:00:00"/>
    <x v="0"/>
    <x v="9"/>
    <n v="4"/>
    <n v="4"/>
    <s v="Standard Class"/>
    <s v="JS-15880"/>
    <x v="297"/>
    <x v="0"/>
    <s v="United States"/>
    <x v="130"/>
    <x v="4"/>
    <n v="43615"/>
    <x v="1"/>
    <s v="FUR-TA-10004442"/>
    <x v="1"/>
    <x v="12"/>
    <s v="Riverside Furniture Stanwyck Manor Table Series"/>
    <n v="172.11"/>
  </r>
  <r>
    <n v="6563"/>
    <s v="CA-2015-166086"/>
    <d v="2015-05-07T00:00:00"/>
    <d v="2015-05-12T00:00:00"/>
    <x v="0"/>
    <x v="1"/>
    <n v="5"/>
    <n v="5"/>
    <s v="Standard Class"/>
    <s v="CT-11995"/>
    <x v="298"/>
    <x v="0"/>
    <s v="United States"/>
    <x v="131"/>
    <x v="9"/>
    <n v="1841"/>
    <x v="1"/>
    <s v="OFF-BI-10001078"/>
    <x v="0"/>
    <x v="6"/>
    <s v="Acco PRESSTEX Data Binder with Storage Hooks, Dark Blue, 14 7/8&quot; X 11&quot;"/>
    <n v="16.14"/>
  </r>
  <r>
    <n v="6301"/>
    <s v="US-2015-161305"/>
    <d v="2015-06-06T00:00:00"/>
    <d v="2015-06-12T00:00:00"/>
    <x v="0"/>
    <x v="11"/>
    <n v="6"/>
    <n v="6"/>
    <s v="Standard Class"/>
    <s v="SB-20170"/>
    <x v="299"/>
    <x v="0"/>
    <s v="United States"/>
    <x v="19"/>
    <x v="14"/>
    <n v="60623"/>
    <x v="0"/>
    <s v="OFF-BI-10002794"/>
    <x v="0"/>
    <x v="6"/>
    <s v="Avery Trapezoid Ring Binder, 3&quot; Capacity, Black, 1040 sheets"/>
    <n v="24.588000000000001"/>
  </r>
  <r>
    <n v="3885"/>
    <s v="CA-2015-152849"/>
    <d v="2015-07-05T00:00:00"/>
    <d v="2015-07-12T00:00:00"/>
    <x v="0"/>
    <x v="10"/>
    <n v="7"/>
    <n v="7"/>
    <s v="Standard Class"/>
    <s v="DW-13195"/>
    <x v="300"/>
    <x v="1"/>
    <s v="United States"/>
    <x v="132"/>
    <x v="33"/>
    <n v="37918"/>
    <x v="2"/>
    <s v="OFF-AR-10002833"/>
    <x v="0"/>
    <x v="0"/>
    <s v="Newell 322"/>
    <n v="4.3680000000000003"/>
  </r>
  <r>
    <n v="6846"/>
    <s v="CA-2015-147543"/>
    <d v="2015-07-06T00:00:00"/>
    <d v="2015-07-12T00:00:00"/>
    <x v="0"/>
    <x v="10"/>
    <n v="7"/>
    <n v="6"/>
    <s v="Standard Class"/>
    <s v="BC-11125"/>
    <x v="301"/>
    <x v="2"/>
    <s v="United States"/>
    <x v="133"/>
    <x v="7"/>
    <n v="92020"/>
    <x v="3"/>
    <s v="FUR-CH-10000155"/>
    <x v="1"/>
    <x v="5"/>
    <s v="Global Comet Stacking Armless Chair"/>
    <n v="478.48"/>
  </r>
  <r>
    <n v="6288"/>
    <s v="CA-2015-100090"/>
    <d v="2015-07-08T00:00:00"/>
    <d v="2015-07-12T00:00:00"/>
    <x v="0"/>
    <x v="10"/>
    <n v="7"/>
    <n v="4"/>
    <s v="Standard Class"/>
    <s v="EB-13705"/>
    <x v="302"/>
    <x v="1"/>
    <s v="United States"/>
    <x v="9"/>
    <x v="7"/>
    <n v="94122"/>
    <x v="3"/>
    <s v="FUR-TA-10003715"/>
    <x v="1"/>
    <x v="12"/>
    <s v="Hon 2111 Invitation Series Corner Table"/>
    <n v="502.488"/>
  </r>
  <r>
    <n v="8894"/>
    <s v="CA-2015-124723"/>
    <d v="2015-08-05T00:00:00"/>
    <d v="2015-08-12T00:00:00"/>
    <x v="0"/>
    <x v="3"/>
    <n v="8"/>
    <n v="7"/>
    <s v="Standard Class"/>
    <s v="GZ-14470"/>
    <x v="303"/>
    <x v="0"/>
    <s v="United States"/>
    <x v="134"/>
    <x v="0"/>
    <n v="77590"/>
    <x v="0"/>
    <s v="FUR-TA-10001307"/>
    <x v="1"/>
    <x v="12"/>
    <s v="SAFCO PlanMaster Heigh-Adjustable Drafting Table Base, 43w x 30d x 30-37h, Black"/>
    <n v="489.23"/>
  </r>
  <r>
    <n v="5069"/>
    <s v="CA-2015-124478"/>
    <d v="2015-08-08T00:00:00"/>
    <d v="2015-08-12T00:00:00"/>
    <x v="0"/>
    <x v="3"/>
    <n v="8"/>
    <n v="4"/>
    <s v="Standard Class"/>
    <s v="MA-17560"/>
    <x v="304"/>
    <x v="2"/>
    <s v="United States"/>
    <x v="135"/>
    <x v="11"/>
    <n v="48183"/>
    <x v="0"/>
    <s v="TEC-CO-10001571"/>
    <x v="2"/>
    <x v="7"/>
    <s v="Sharp 1540cs Digital Laser Copier"/>
    <n v="549.99"/>
  </r>
  <r>
    <n v="8367"/>
    <s v="CA-2015-109918"/>
    <d v="2015-09-07T00:00:00"/>
    <d v="2015-09-12T00:00:00"/>
    <x v="0"/>
    <x v="4"/>
    <n v="9"/>
    <n v="5"/>
    <s v="Second Class"/>
    <s v="LR-17035"/>
    <x v="305"/>
    <x v="1"/>
    <s v="United States"/>
    <x v="136"/>
    <x v="7"/>
    <n v="95051"/>
    <x v="3"/>
    <s v="OFF-SU-10004290"/>
    <x v="0"/>
    <x v="15"/>
    <s v="Acme Design Line 8&quot; Stainless Steel Bent Scissors w/Champagne Handles, 3-1/8&quot; Cut"/>
    <n v="27.36"/>
  </r>
  <r>
    <n v="165"/>
    <s v="CA-2015-139892"/>
    <d v="2015-09-08T00:00:00"/>
    <d v="2015-09-12T00:00:00"/>
    <x v="0"/>
    <x v="4"/>
    <n v="9"/>
    <n v="4"/>
    <s v="Standard Class"/>
    <s v="BM-11140"/>
    <x v="306"/>
    <x v="0"/>
    <s v="United States"/>
    <x v="88"/>
    <x v="0"/>
    <n v="78207"/>
    <x v="0"/>
    <s v="OFF-AR-10004441"/>
    <x v="0"/>
    <x v="0"/>
    <s v="BIC Brite Liner Highlighters"/>
    <n v="9.9359999999999999"/>
  </r>
  <r>
    <n v="4314"/>
    <s v="CA-2015-123127"/>
    <d v="2015-09-08T00:00:00"/>
    <d v="2015-09-12T00:00:00"/>
    <x v="0"/>
    <x v="4"/>
    <n v="9"/>
    <n v="4"/>
    <s v="Standard Class"/>
    <s v="SP-20620"/>
    <x v="307"/>
    <x v="1"/>
    <s v="United States"/>
    <x v="38"/>
    <x v="8"/>
    <n v="11561"/>
    <x v="1"/>
    <s v="OFF-AP-10001962"/>
    <x v="0"/>
    <x v="4"/>
    <s v="Black &amp; Decker Filter for Double Action Dustbuster Cordless Vac BLDV7210"/>
    <n v="16.78"/>
  </r>
  <r>
    <n v="2671"/>
    <s v="CA-2015-126403"/>
    <d v="2015-09-09T00:00:00"/>
    <d v="2015-09-12T00:00:00"/>
    <x v="0"/>
    <x v="4"/>
    <n v="9"/>
    <n v="3"/>
    <s v="Second Class"/>
    <s v="RR-19525"/>
    <x v="308"/>
    <x v="1"/>
    <s v="United States"/>
    <x v="14"/>
    <x v="9"/>
    <n v="1852"/>
    <x v="1"/>
    <s v="OFF-PA-10001144"/>
    <x v="0"/>
    <x v="9"/>
    <s v="Xerox 1913"/>
    <n v="166.44"/>
  </r>
  <r>
    <n v="4831"/>
    <s v="CA-2015-120278"/>
    <d v="2015-11-07T00:00:00"/>
    <d v="2015-11-12T00:00:00"/>
    <x v="0"/>
    <x v="6"/>
    <n v="11"/>
    <n v="5"/>
    <s v="Standard Class"/>
    <s v="MS-17365"/>
    <x v="309"/>
    <x v="0"/>
    <s v="United States"/>
    <x v="137"/>
    <x v="6"/>
    <n v="54401"/>
    <x v="0"/>
    <s v="OFF-AP-10001293"/>
    <x v="0"/>
    <x v="4"/>
    <s v="Belkin 8 Outlet Surge Protector"/>
    <n v="245.88"/>
  </r>
  <r>
    <n v="1863"/>
    <s v="CA-2015-151078"/>
    <d v="2015-11-12T00:00:00"/>
    <d v="2015-11-12T00:00:00"/>
    <x v="0"/>
    <x v="6"/>
    <n v="11"/>
    <n v="0"/>
    <s v="Same Day"/>
    <s v="RF-19840"/>
    <x v="310"/>
    <x v="0"/>
    <s v="United States"/>
    <x v="88"/>
    <x v="0"/>
    <n v="78207"/>
    <x v="0"/>
    <s v="OFF-ST-10001328"/>
    <x v="0"/>
    <x v="11"/>
    <s v="Personal Filing Tote with Lid, Black/Gray"/>
    <n v="49.631999999999998"/>
  </r>
  <r>
    <n v="921"/>
    <s v="CA-2015-138296"/>
    <d v="2015-12-05T00:00:00"/>
    <d v="2015-12-12T00:00:00"/>
    <x v="0"/>
    <x v="7"/>
    <n v="12"/>
    <n v="7"/>
    <s v="Standard Class"/>
    <s v="RC-19825"/>
    <x v="311"/>
    <x v="0"/>
    <s v="United States"/>
    <x v="96"/>
    <x v="2"/>
    <n v="22304"/>
    <x v="2"/>
    <s v="OFF-ST-10002444"/>
    <x v="0"/>
    <x v="11"/>
    <s v="Recycled Eldon Regeneration Jumbo File"/>
    <n v="24.56"/>
  </r>
  <r>
    <n v="3142"/>
    <s v="US-2015-122959"/>
    <d v="2015-12-12T00:00:00"/>
    <d v="2015-12-12T00:00:00"/>
    <x v="0"/>
    <x v="7"/>
    <n v="12"/>
    <n v="0"/>
    <s v="Same Day"/>
    <s v="CY-12745"/>
    <x v="312"/>
    <x v="1"/>
    <s v="United States"/>
    <x v="88"/>
    <x v="0"/>
    <n v="78207"/>
    <x v="0"/>
    <s v="OFF-BI-10003650"/>
    <x v="0"/>
    <x v="6"/>
    <s v="GBC DocuBind 300 Electric Binding Machine"/>
    <n v="210.392"/>
  </r>
  <r>
    <n v="1794"/>
    <s v="CA-2015-104773"/>
    <d v="2015-12-08T00:00:00"/>
    <d v="2015-12-13T00:00:00"/>
    <x v="0"/>
    <x v="7"/>
    <n v="12"/>
    <n v="5"/>
    <s v="Standard Class"/>
    <s v="TB-21175"/>
    <x v="313"/>
    <x v="1"/>
    <s v="United States"/>
    <x v="13"/>
    <x v="0"/>
    <n v="77041"/>
    <x v="0"/>
    <s v="OFF-ST-10000777"/>
    <x v="0"/>
    <x v="11"/>
    <s v="Companion Letter/Legal File, Black"/>
    <n v="60.415999999999997"/>
  </r>
  <r>
    <n v="3665"/>
    <s v="CA-2015-129364"/>
    <d v="2015-12-08T00:00:00"/>
    <d v="2015-12-13T00:00:00"/>
    <x v="0"/>
    <x v="7"/>
    <n v="12"/>
    <n v="5"/>
    <s v="Standard Class"/>
    <s v="TB-21250"/>
    <x v="314"/>
    <x v="0"/>
    <s v="United States"/>
    <x v="138"/>
    <x v="21"/>
    <n v="97301"/>
    <x v="3"/>
    <s v="OFF-LA-10001569"/>
    <x v="0"/>
    <x v="2"/>
    <s v="Avery 499"/>
    <n v="27.888000000000002"/>
  </r>
  <r>
    <n v="4565"/>
    <s v="CA-2015-101175"/>
    <d v="2015-12-09T00:00:00"/>
    <d v="2015-12-14T00:00:00"/>
    <x v="0"/>
    <x v="7"/>
    <n v="12"/>
    <n v="5"/>
    <s v="Standard Class"/>
    <s v="DM-12955"/>
    <x v="315"/>
    <x v="1"/>
    <s v="United States"/>
    <x v="139"/>
    <x v="15"/>
    <n v="85204"/>
    <x v="3"/>
    <s v="OFF-ST-10004950"/>
    <x v="0"/>
    <x v="11"/>
    <s v="Acco Perma 3000 Stacking Storage Drawers"/>
    <n v="100.70399999999999"/>
  </r>
  <r>
    <n v="5999"/>
    <s v="US-2015-112991"/>
    <d v="2015-12-10T00:00:00"/>
    <d v="2015-12-14T00:00:00"/>
    <x v="0"/>
    <x v="7"/>
    <n v="12"/>
    <n v="4"/>
    <s v="Standard Class"/>
    <s v="SH-19975"/>
    <x v="316"/>
    <x v="1"/>
    <s v="United States"/>
    <x v="140"/>
    <x v="16"/>
    <n v="83605"/>
    <x v="3"/>
    <s v="FUR-CH-10001708"/>
    <x v="1"/>
    <x v="5"/>
    <s v="Office Star - Contemporary Swivel Chair with Padded Adjustable Arms and Flex Back"/>
    <n v="338.35199999999998"/>
  </r>
  <r>
    <n v="9213"/>
    <s v="CA-2015-144071"/>
    <d v="2015-12-08T00:00:00"/>
    <d v="2015-12-15T00:00:00"/>
    <x v="0"/>
    <x v="7"/>
    <n v="12"/>
    <n v="7"/>
    <s v="Standard Class"/>
    <s v="DJ-13420"/>
    <x v="317"/>
    <x v="1"/>
    <s v="United States"/>
    <x v="9"/>
    <x v="7"/>
    <n v="94110"/>
    <x v="3"/>
    <s v="FUR-FU-10000397"/>
    <x v="1"/>
    <x v="1"/>
    <s v="Luxo Economy Swing Arm Lamp"/>
    <n v="39.880000000000003"/>
  </r>
  <r>
    <n v="873"/>
    <s v="CA-2015-148488"/>
    <d v="2015-12-10T00:00:00"/>
    <d v="2015-12-15T00:00:00"/>
    <x v="0"/>
    <x v="7"/>
    <n v="12"/>
    <n v="5"/>
    <s v="Standard Class"/>
    <s v="SM-20005"/>
    <x v="318"/>
    <x v="0"/>
    <s v="United States"/>
    <x v="10"/>
    <x v="8"/>
    <n v="10009"/>
    <x v="1"/>
    <s v="OFF-PA-10004470"/>
    <x v="0"/>
    <x v="9"/>
    <s v="Adams Write n' Stick Phone Message Book, 11&quot; X 5 1/4&quot;, 200 Messages"/>
    <n v="11.36"/>
  </r>
  <r>
    <n v="4854"/>
    <s v="CA-2015-113320"/>
    <d v="2015-12-12T00:00:00"/>
    <d v="2015-12-15T00:00:00"/>
    <x v="0"/>
    <x v="7"/>
    <n v="12"/>
    <n v="3"/>
    <s v="Second Class"/>
    <s v="LH-17155"/>
    <x v="319"/>
    <x v="0"/>
    <s v="United States"/>
    <x v="141"/>
    <x v="7"/>
    <n v="94601"/>
    <x v="3"/>
    <s v="FUR-FU-10004270"/>
    <x v="1"/>
    <x v="1"/>
    <s v="Eldon Image Series Desk Accessories, Burgundy"/>
    <n v="12.54"/>
  </r>
  <r>
    <n v="5486"/>
    <s v="CA-2015-107573"/>
    <d v="2015-12-12T00:00:00"/>
    <d v="2015-12-17T00:00:00"/>
    <x v="0"/>
    <x v="7"/>
    <n v="12"/>
    <n v="5"/>
    <s v="Standard Class"/>
    <s v="PB-19150"/>
    <x v="320"/>
    <x v="0"/>
    <s v="United States"/>
    <x v="21"/>
    <x v="12"/>
    <n v="33178"/>
    <x v="2"/>
    <s v="OFF-EN-10001099"/>
    <x v="0"/>
    <x v="14"/>
    <s v="Staple envelope"/>
    <n v="23.472000000000001"/>
  </r>
  <r>
    <n v="6918"/>
    <s v="CA-2015-124247"/>
    <d v="2015-12-16T00:00:00"/>
    <d v="2015-12-21T00:00:00"/>
    <x v="0"/>
    <x v="7"/>
    <n v="12"/>
    <n v="5"/>
    <s v="Standard Class"/>
    <s v="SH-20635"/>
    <x v="321"/>
    <x v="1"/>
    <s v="United States"/>
    <x v="142"/>
    <x v="7"/>
    <n v="95823"/>
    <x v="3"/>
    <s v="FUR-CH-10001854"/>
    <x v="1"/>
    <x v="5"/>
    <s v="Office Star - Professional Matrix Back Chair with 2-to-1 Synchro Tilt and Mesh Fabric Seat"/>
    <n v="1403.92"/>
  </r>
  <r>
    <n v="9442"/>
    <s v="CA-2015-165477"/>
    <d v="2015-12-29T00:00:00"/>
    <d v="2015-12-31T00:00:00"/>
    <x v="0"/>
    <x v="7"/>
    <n v="12"/>
    <n v="2"/>
    <s v="Second Class"/>
    <s v="RE-19405"/>
    <x v="322"/>
    <x v="0"/>
    <s v="United States"/>
    <x v="42"/>
    <x v="4"/>
    <n v="44240"/>
    <x v="1"/>
    <s v="OFF-AP-10003281"/>
    <x v="0"/>
    <x v="4"/>
    <s v="Acco 6 Outlet Guardian Standard Surge Suppressor"/>
    <n v="48.36"/>
  </r>
  <r>
    <n v="7091"/>
    <s v="CA-2016-119480"/>
    <d v="2016-01-09T00:00:00"/>
    <d v="2016-01-13T00:00:00"/>
    <x v="1"/>
    <x v="0"/>
    <n v="1"/>
    <n v="4"/>
    <s v="Standard Class"/>
    <s v="CC-12685"/>
    <x v="323"/>
    <x v="0"/>
    <s v="United States"/>
    <x v="110"/>
    <x v="10"/>
    <n v="42420"/>
    <x v="2"/>
    <s v="OFF-PA-10000474"/>
    <x v="0"/>
    <x v="9"/>
    <s v="Easy-staple paper"/>
    <n v="106.32"/>
  </r>
  <r>
    <n v="1670"/>
    <s v="US-2016-157154"/>
    <d v="2016-01-10T00:00:00"/>
    <d v="2016-01-15T00:00:00"/>
    <x v="1"/>
    <x v="0"/>
    <n v="1"/>
    <n v="5"/>
    <s v="Standard Class"/>
    <s v="MM-17920"/>
    <x v="324"/>
    <x v="0"/>
    <s v="United States"/>
    <x v="10"/>
    <x v="8"/>
    <n v="10011"/>
    <x v="1"/>
    <s v="FUR-TA-10001889"/>
    <x v="1"/>
    <x v="12"/>
    <s v="Bush Advantage Collection Racetrack Conference Table"/>
    <n v="1018.104"/>
  </r>
  <r>
    <n v="9797"/>
    <s v="CA-2016-128608"/>
    <d v="2016-01-12T00:00:00"/>
    <d v="2016-01-17T00:00:00"/>
    <x v="1"/>
    <x v="0"/>
    <n v="1"/>
    <n v="5"/>
    <s v="Standard Class"/>
    <s v="CS-12490"/>
    <x v="325"/>
    <x v="1"/>
    <s v="United States"/>
    <x v="130"/>
    <x v="4"/>
    <n v="43615"/>
    <x v="1"/>
    <s v="OFF-AR-10001374"/>
    <x v="0"/>
    <x v="0"/>
    <s v="BIC Brite Liner Highlighters, Chisel Tip"/>
    <n v="10.368"/>
  </r>
  <r>
    <n v="3454"/>
    <s v="CA-2016-153325"/>
    <d v="2016-03-01T00:00:00"/>
    <d v="2016-03-02T00:00:00"/>
    <x v="1"/>
    <x v="8"/>
    <n v="3"/>
    <n v="1"/>
    <s v="Second Class"/>
    <s v="ST-20530"/>
    <x v="326"/>
    <x v="0"/>
    <s v="United States"/>
    <x v="126"/>
    <x v="3"/>
    <n v="31204"/>
    <x v="2"/>
    <s v="OFF-BI-10004236"/>
    <x v="0"/>
    <x v="6"/>
    <s v="XtraLife ClearVue Slant-D Ring Binder, White, 3&quot;"/>
    <n v="58.72"/>
  </r>
  <r>
    <n v="9445"/>
    <s v="CA-2016-104052"/>
    <d v="2016-03-01T00:00:00"/>
    <d v="2016-03-02T00:00:00"/>
    <x v="1"/>
    <x v="8"/>
    <n v="3"/>
    <n v="1"/>
    <s v="First Class"/>
    <s v="TP-21565"/>
    <x v="327"/>
    <x v="1"/>
    <s v="United States"/>
    <x v="143"/>
    <x v="0"/>
    <n v="75019"/>
    <x v="0"/>
    <s v="TEC-PH-10003215"/>
    <x v="2"/>
    <x v="8"/>
    <s v="Jackery Bar Premium Fast-charging Portable Charger"/>
    <n v="95.84"/>
  </r>
  <r>
    <n v="1167"/>
    <s v="CA-2016-125416"/>
    <d v="2016-11-02T00:00:00"/>
    <d v="2016-11-02T00:00:00"/>
    <x v="1"/>
    <x v="6"/>
    <n v="11"/>
    <n v="0"/>
    <s v="Same Day"/>
    <s v="KC-16540"/>
    <x v="328"/>
    <x v="0"/>
    <s v="United States"/>
    <x v="49"/>
    <x v="24"/>
    <n v="98115"/>
    <x v="3"/>
    <s v="TEC-AC-10001552"/>
    <x v="2"/>
    <x v="3"/>
    <s v="Logitech K350 2.4Ghz Wireless Keyboard"/>
    <n v="447.93"/>
  </r>
  <r>
    <n v="1474"/>
    <s v="US-2016-105676"/>
    <d v="2016-12-01T00:00:00"/>
    <d v="2016-12-02T00:00:00"/>
    <x v="1"/>
    <x v="7"/>
    <n v="12"/>
    <n v="1"/>
    <s v="Same Day"/>
    <s v="NM-18520"/>
    <x v="329"/>
    <x v="0"/>
    <s v="United States"/>
    <x v="13"/>
    <x v="0"/>
    <n v="77036"/>
    <x v="0"/>
    <s v="FUR-FU-10004270"/>
    <x v="1"/>
    <x v="1"/>
    <s v="Eldon Image Series Desk Accessories, Burgundy"/>
    <n v="6.6879999999999997"/>
  </r>
  <r>
    <n v="8126"/>
    <s v="CA-2016-137064"/>
    <d v="2016-02-06T00:00:00"/>
    <d v="2016-02-13T00:00:00"/>
    <x v="1"/>
    <x v="2"/>
    <n v="2"/>
    <n v="7"/>
    <s v="Standard Class"/>
    <s v="TS-21655"/>
    <x v="330"/>
    <x v="0"/>
    <s v="United States"/>
    <x v="13"/>
    <x v="0"/>
    <n v="77070"/>
    <x v="0"/>
    <s v="OFF-BI-10002049"/>
    <x v="0"/>
    <x v="6"/>
    <s v="UniKeep View Case Binders"/>
    <n v="2.9340000000000002"/>
  </r>
  <r>
    <n v="8502"/>
    <s v="CA-2016-102316"/>
    <d v="2016-03-01T00:00:00"/>
    <d v="2016-03-03T00:00:00"/>
    <x v="1"/>
    <x v="8"/>
    <n v="3"/>
    <n v="2"/>
    <s v="Second Class"/>
    <s v="DH-13075"/>
    <x v="331"/>
    <x v="1"/>
    <s v="United States"/>
    <x v="11"/>
    <x v="7"/>
    <n v="90045"/>
    <x v="3"/>
    <s v="TEC-PH-10000376"/>
    <x v="2"/>
    <x v="8"/>
    <s v="Square Credit Card Reader"/>
    <n v="15.984"/>
  </r>
  <r>
    <n v="6953"/>
    <s v="CA-2016-129917"/>
    <d v="2016-10-02T00:00:00"/>
    <d v="2016-10-03T00:00:00"/>
    <x v="1"/>
    <x v="5"/>
    <n v="10"/>
    <n v="1"/>
    <s v="First Class"/>
    <s v="HM-14980"/>
    <x v="332"/>
    <x v="0"/>
    <s v="United States"/>
    <x v="11"/>
    <x v="7"/>
    <n v="90008"/>
    <x v="3"/>
    <s v="OFF-BI-10001757"/>
    <x v="0"/>
    <x v="6"/>
    <s v="Pressboard Hanging Data Binders for Unburst Sheets"/>
    <n v="11.808"/>
  </r>
  <r>
    <n v="6551"/>
    <s v="CA-2016-126739"/>
    <d v="2016-11-01T00:00:00"/>
    <d v="2016-11-03T00:00:00"/>
    <x v="1"/>
    <x v="6"/>
    <n v="11"/>
    <n v="2"/>
    <s v="Second Class"/>
    <s v="JH-16180"/>
    <x v="333"/>
    <x v="0"/>
    <s v="United States"/>
    <x v="10"/>
    <x v="8"/>
    <n v="10035"/>
    <x v="1"/>
    <s v="FUR-CH-10000422"/>
    <x v="1"/>
    <x v="5"/>
    <s v="Global Highback Leather Tilter in Burgundy"/>
    <n v="327.56400000000002"/>
  </r>
  <r>
    <n v="4167"/>
    <s v="CA-2016-160213"/>
    <d v="2016-03-08T00:00:00"/>
    <d v="2016-03-13T00:00:00"/>
    <x v="1"/>
    <x v="8"/>
    <n v="3"/>
    <n v="5"/>
    <s v="Standard Class"/>
    <s v="AR-10825"/>
    <x v="334"/>
    <x v="1"/>
    <s v="United States"/>
    <x v="38"/>
    <x v="8"/>
    <n v="11561"/>
    <x v="1"/>
    <s v="OFF-PA-10003848"/>
    <x v="0"/>
    <x v="9"/>
    <s v="Xerox 1997"/>
    <n v="19.440000000000001"/>
  </r>
  <r>
    <n v="7878"/>
    <s v="CA-2016-148705"/>
    <d v="2016-03-12T00:00:00"/>
    <d v="2016-03-18T00:00:00"/>
    <x v="1"/>
    <x v="8"/>
    <n v="3"/>
    <n v="6"/>
    <s v="Standard Class"/>
    <s v="EB-14170"/>
    <x v="335"/>
    <x v="0"/>
    <s v="United States"/>
    <x v="31"/>
    <x v="18"/>
    <n v="28205"/>
    <x v="2"/>
    <s v="OFF-LA-10001641"/>
    <x v="0"/>
    <x v="2"/>
    <s v="Avery 518"/>
    <n v="5.04"/>
  </r>
  <r>
    <n v="1559"/>
    <s v="CA-2016-112116"/>
    <d v="2016-03-16T00:00:00"/>
    <d v="2016-03-18T00:00:00"/>
    <x v="1"/>
    <x v="8"/>
    <n v="3"/>
    <n v="2"/>
    <s v="Second Class"/>
    <s v="JE-15475"/>
    <x v="336"/>
    <x v="0"/>
    <s v="United States"/>
    <x v="49"/>
    <x v="24"/>
    <n v="98103"/>
    <x v="3"/>
    <s v="FUR-TA-10001039"/>
    <x v="1"/>
    <x v="12"/>
    <s v="KI Adjustable-Height Table"/>
    <n v="171.96"/>
  </r>
  <r>
    <n v="2564"/>
    <s v="CA-2016-110632"/>
    <d v="2016-03-17T00:00:00"/>
    <d v="2016-03-22T00:00:00"/>
    <x v="1"/>
    <x v="8"/>
    <n v="3"/>
    <n v="5"/>
    <s v="Second Class"/>
    <s v="HR-14830"/>
    <x v="337"/>
    <x v="1"/>
    <s v="United States"/>
    <x v="10"/>
    <x v="8"/>
    <n v="10009"/>
    <x v="1"/>
    <s v="TEC-AC-10000387"/>
    <x v="2"/>
    <x v="3"/>
    <s v="KeyTronicÂ KT800P2 -Â KeyboardÂ - Black"/>
    <n v="15.02"/>
  </r>
  <r>
    <n v="2487"/>
    <s v="CA-2016-104514"/>
    <d v="2016-01-02T00:00:00"/>
    <d v="2016-01-04T00:00:00"/>
    <x v="1"/>
    <x v="0"/>
    <n v="1"/>
    <n v="2"/>
    <s v="Second Class"/>
    <s v="CB-12535"/>
    <x v="338"/>
    <x v="1"/>
    <s v="United States"/>
    <x v="81"/>
    <x v="1"/>
    <n v="19711"/>
    <x v="1"/>
    <s v="OFF-ST-10001837"/>
    <x v="0"/>
    <x v="11"/>
    <s v="SAFCO Mobile Desk Side File, Wire Frame"/>
    <n v="85.52"/>
  </r>
  <r>
    <n v="1909"/>
    <s v="CA-2016-157959"/>
    <d v="2016-02-03T00:00:00"/>
    <d v="2016-02-04T00:00:00"/>
    <x v="1"/>
    <x v="2"/>
    <n v="2"/>
    <n v="1"/>
    <s v="First Class"/>
    <s v="RW-19540"/>
    <x v="339"/>
    <x v="1"/>
    <s v="United States"/>
    <x v="11"/>
    <x v="7"/>
    <n v="90008"/>
    <x v="3"/>
    <s v="FUR-FU-10004093"/>
    <x v="1"/>
    <x v="1"/>
    <s v="Hand-Finished Solid Wood Document Frame"/>
    <n v="136.91999999999999"/>
  </r>
  <r>
    <n v="1816"/>
    <s v="CA-2016-164833"/>
    <d v="2016-06-04T00:00:00"/>
    <d v="2016-06-04T00:00:00"/>
    <x v="1"/>
    <x v="11"/>
    <n v="6"/>
    <n v="0"/>
    <s v="Same Day"/>
    <s v="LL-16840"/>
    <x v="340"/>
    <x v="0"/>
    <s v="United States"/>
    <x v="49"/>
    <x v="24"/>
    <n v="98105"/>
    <x v="3"/>
    <s v="OFF-LA-10000443"/>
    <x v="0"/>
    <x v="2"/>
    <s v="Avery 501"/>
    <n v="7.38"/>
  </r>
  <r>
    <n v="8849"/>
    <s v="CA-2016-140718"/>
    <d v="2016-07-02T00:00:00"/>
    <d v="2016-07-04T00:00:00"/>
    <x v="1"/>
    <x v="10"/>
    <n v="7"/>
    <n v="2"/>
    <s v="First Class"/>
    <s v="FA-14230"/>
    <x v="341"/>
    <x v="1"/>
    <s v="United States"/>
    <x v="144"/>
    <x v="18"/>
    <n v="27604"/>
    <x v="2"/>
    <s v="TEC-PH-10003505"/>
    <x v="2"/>
    <x v="8"/>
    <s v="Geemarc AmpliPOWER60"/>
    <n v="74.239999999999995"/>
  </r>
  <r>
    <n v="335"/>
    <s v="CA-2016-137946"/>
    <d v="2016-09-01T00:00:00"/>
    <d v="2016-09-04T00:00:00"/>
    <x v="1"/>
    <x v="4"/>
    <n v="9"/>
    <n v="3"/>
    <s v="Second Class"/>
    <s v="DB-13615"/>
    <x v="342"/>
    <x v="0"/>
    <s v="United States"/>
    <x v="11"/>
    <x v="7"/>
    <n v="90045"/>
    <x v="3"/>
    <s v="OFF-BI-10001922"/>
    <x v="0"/>
    <x v="6"/>
    <s v="Storex Dura Pro Binders"/>
    <n v="4.7519999999999998"/>
  </r>
  <r>
    <n v="6268"/>
    <s v="CA-2016-115392"/>
    <d v="2016-10-01T00:00:00"/>
    <d v="2016-10-04T00:00:00"/>
    <x v="1"/>
    <x v="5"/>
    <n v="10"/>
    <n v="3"/>
    <s v="Second Class"/>
    <s v="RM-19675"/>
    <x v="343"/>
    <x v="2"/>
    <s v="United States"/>
    <x v="145"/>
    <x v="9"/>
    <n v="2138"/>
    <x v="1"/>
    <s v="TEC-PH-10002496"/>
    <x v="2"/>
    <x v="8"/>
    <s v="Cisco SPA301"/>
    <n v="311.98"/>
  </r>
  <r>
    <n v="8466"/>
    <s v="CA-2016-116512"/>
    <d v="2016-04-09T00:00:00"/>
    <d v="2016-04-14T00:00:00"/>
    <x v="1"/>
    <x v="9"/>
    <n v="4"/>
    <n v="5"/>
    <s v="Standard Class"/>
    <s v="MC-18100"/>
    <x v="344"/>
    <x v="0"/>
    <s v="United States"/>
    <x v="10"/>
    <x v="8"/>
    <n v="10024"/>
    <x v="1"/>
    <s v="OFF-ST-10001505"/>
    <x v="0"/>
    <x v="11"/>
    <s v="Perma STOR-ALL Hanging File Box, 13 1/8&quot;W x 12 1/4&quot;D x 10 1/2&quot;H"/>
    <n v="17.940000000000001"/>
  </r>
  <r>
    <n v="8467"/>
    <s v="CA-2016-101000"/>
    <d v="2016-04-09T00:00:00"/>
    <d v="2016-04-14T00:00:00"/>
    <x v="1"/>
    <x v="9"/>
    <n v="4"/>
    <n v="5"/>
    <s v="Standard Class"/>
    <s v="IG-15085"/>
    <x v="345"/>
    <x v="0"/>
    <s v="United States"/>
    <x v="146"/>
    <x v="13"/>
    <n v="6360"/>
    <x v="1"/>
    <s v="OFF-AP-10000179"/>
    <x v="0"/>
    <x v="4"/>
    <s v="Honeywell Enviracaire Portable HEPA Air Cleaner for up to 10 x 16 Room"/>
    <n v="370.14"/>
  </r>
  <r>
    <n v="7461"/>
    <s v="US-2016-136987"/>
    <d v="2016-04-11T00:00:00"/>
    <d v="2016-04-14T00:00:00"/>
    <x v="1"/>
    <x v="9"/>
    <n v="4"/>
    <n v="3"/>
    <s v="Second Class"/>
    <s v="AR-10540"/>
    <x v="346"/>
    <x v="0"/>
    <s v="United States"/>
    <x v="11"/>
    <x v="7"/>
    <n v="90004"/>
    <x v="3"/>
    <s v="TEC-CO-10001943"/>
    <x v="2"/>
    <x v="7"/>
    <s v="Canon PC-428 Personal Copier"/>
    <n v="639.96799999999996"/>
  </r>
  <r>
    <n v="4170"/>
    <s v="CA-2016-100216"/>
    <d v="2016-04-13T00:00:00"/>
    <d v="2016-04-14T00:00:00"/>
    <x v="1"/>
    <x v="9"/>
    <n v="4"/>
    <n v="1"/>
    <s v="First Class"/>
    <s v="HJ-14875"/>
    <x v="347"/>
    <x v="2"/>
    <s v="United States"/>
    <x v="139"/>
    <x v="15"/>
    <n v="85204"/>
    <x v="3"/>
    <s v="OFF-PA-10000788"/>
    <x v="0"/>
    <x v="9"/>
    <s v="Xerox 210"/>
    <n v="31.103999999999999"/>
  </r>
  <r>
    <n v="6061"/>
    <s v="CA-2016-134201"/>
    <d v="2016-04-10T00:00:00"/>
    <d v="2016-04-16T00:00:00"/>
    <x v="1"/>
    <x v="9"/>
    <n v="4"/>
    <n v="6"/>
    <s v="Standard Class"/>
    <s v="EH-14125"/>
    <x v="348"/>
    <x v="2"/>
    <s v="United States"/>
    <x v="109"/>
    <x v="8"/>
    <n v="14609"/>
    <x v="1"/>
    <s v="OFF-ST-10001476"/>
    <x v="0"/>
    <x v="11"/>
    <s v="Steel Personal Filing/Posting Tote"/>
    <n v="142.04"/>
  </r>
  <r>
    <n v="808"/>
    <s v="CA-2016-140921"/>
    <d v="2016-02-03T00:00:00"/>
    <d v="2016-02-05T00:00:00"/>
    <x v="1"/>
    <x v="2"/>
    <n v="2"/>
    <n v="2"/>
    <s v="First Class"/>
    <s v="AA-10375"/>
    <x v="349"/>
    <x v="0"/>
    <s v="United States"/>
    <x v="76"/>
    <x v="28"/>
    <n v="68104"/>
    <x v="0"/>
    <s v="FUR-FU-10003347"/>
    <x v="1"/>
    <x v="1"/>
    <s v="Coloredge Poster Frame"/>
    <n v="28.4"/>
  </r>
  <r>
    <n v="3992"/>
    <s v="CA-2016-161998"/>
    <d v="2016-05-01T00:00:00"/>
    <d v="2016-05-05T00:00:00"/>
    <x v="1"/>
    <x v="1"/>
    <n v="5"/>
    <n v="4"/>
    <s v="Standard Class"/>
    <s v="DB-13120"/>
    <x v="350"/>
    <x v="1"/>
    <s v="United States"/>
    <x v="147"/>
    <x v="12"/>
    <n v="33614"/>
    <x v="2"/>
    <s v="FUR-FU-10001095"/>
    <x v="1"/>
    <x v="1"/>
    <s v="DAX Black Cherry Wood-Tone Poster Frame"/>
    <n v="63.552"/>
  </r>
  <r>
    <n v="4967"/>
    <s v="CA-2016-122406"/>
    <d v="2016-08-02T00:00:00"/>
    <d v="2016-08-05T00:00:00"/>
    <x v="1"/>
    <x v="3"/>
    <n v="8"/>
    <n v="3"/>
    <s v="Second Class"/>
    <s v="BE-11455"/>
    <x v="351"/>
    <x v="2"/>
    <s v="United States"/>
    <x v="148"/>
    <x v="39"/>
    <n v="2908"/>
    <x v="1"/>
    <s v="TEC-PH-10001527"/>
    <x v="2"/>
    <x v="8"/>
    <s v="Plantronics MX500i Earset"/>
    <n v="128.85"/>
  </r>
  <r>
    <n v="9035"/>
    <s v="CA-2016-148873"/>
    <d v="2016-10-01T00:00:00"/>
    <d v="2016-10-05T00:00:00"/>
    <x v="1"/>
    <x v="5"/>
    <n v="10"/>
    <n v="4"/>
    <s v="Standard Class"/>
    <s v="EM-13960"/>
    <x v="352"/>
    <x v="0"/>
    <s v="United States"/>
    <x v="149"/>
    <x v="14"/>
    <n v="62301"/>
    <x v="0"/>
    <s v="OFF-BI-10003196"/>
    <x v="0"/>
    <x v="6"/>
    <s v="Accohide Poly Flexible Ring Binders"/>
    <n v="2.992"/>
  </r>
  <r>
    <n v="8189"/>
    <s v="CA-2016-140375"/>
    <d v="2016-10-02T00:00:00"/>
    <d v="2016-10-05T00:00:00"/>
    <x v="1"/>
    <x v="5"/>
    <n v="10"/>
    <n v="3"/>
    <s v="Second Class"/>
    <s v="SG-20470"/>
    <x v="353"/>
    <x v="0"/>
    <s v="United States"/>
    <x v="150"/>
    <x v="29"/>
    <n v="20852"/>
    <x v="1"/>
    <s v="OFF-PA-10001870"/>
    <x v="0"/>
    <x v="9"/>
    <s v="Xerox 202"/>
    <n v="19.440000000000001"/>
  </r>
  <r>
    <n v="7006"/>
    <s v="CA-2016-141740"/>
    <d v="2016-11-01T00:00:00"/>
    <d v="2016-11-05T00:00:00"/>
    <x v="1"/>
    <x v="6"/>
    <n v="11"/>
    <n v="4"/>
    <s v="Standard Class"/>
    <s v="JF-15490"/>
    <x v="354"/>
    <x v="0"/>
    <s v="United States"/>
    <x v="10"/>
    <x v="8"/>
    <n v="10009"/>
    <x v="1"/>
    <s v="FUR-CH-10001545"/>
    <x v="1"/>
    <x v="5"/>
    <s v="Hon Comfortask Task/Swivel Chairs"/>
    <n v="205.16399999999999"/>
  </r>
  <r>
    <n v="9605"/>
    <s v="CA-2016-138625"/>
    <d v="2016-11-02T00:00:00"/>
    <d v="2016-11-05T00:00:00"/>
    <x v="1"/>
    <x v="6"/>
    <n v="11"/>
    <n v="3"/>
    <s v="First Class"/>
    <s v="EG-13900"/>
    <x v="355"/>
    <x v="0"/>
    <s v="United States"/>
    <x v="5"/>
    <x v="2"/>
    <n v="23320"/>
    <x v="2"/>
    <s v="OFF-AP-10003099"/>
    <x v="0"/>
    <x v="4"/>
    <s v="Eureka Hand Vacuum, Bagless"/>
    <n v="197.72"/>
  </r>
  <r>
    <n v="5764"/>
    <s v="CA-2016-162047"/>
    <d v="2016-11-03T00:00:00"/>
    <d v="2016-11-05T00:00:00"/>
    <x v="1"/>
    <x v="6"/>
    <n v="11"/>
    <n v="2"/>
    <s v="First Class"/>
    <s v="FH-14365"/>
    <x v="356"/>
    <x v="1"/>
    <s v="United States"/>
    <x v="38"/>
    <x v="8"/>
    <n v="11561"/>
    <x v="1"/>
    <s v="FUR-CH-10004983"/>
    <x v="1"/>
    <x v="5"/>
    <s v="Office Star - Mid Back Dual function Ergonomic High Back Chair with 2-Way Adjustable Arms"/>
    <n v="1448.82"/>
  </r>
  <r>
    <n v="6880"/>
    <s v="CA-2016-137113"/>
    <d v="2016-12-01T00:00:00"/>
    <d v="2016-12-05T00:00:00"/>
    <x v="1"/>
    <x v="7"/>
    <n v="12"/>
    <n v="4"/>
    <s v="Second Class"/>
    <s v="TW-21025"/>
    <x v="357"/>
    <x v="2"/>
    <s v="United States"/>
    <x v="49"/>
    <x v="24"/>
    <n v="98105"/>
    <x v="3"/>
    <s v="FUR-CH-10001215"/>
    <x v="1"/>
    <x v="5"/>
    <s v="Global Troy Executive Leather Low-Back Tilter"/>
    <n v="2003.92"/>
  </r>
  <r>
    <n v="5708"/>
    <s v="US-2016-160857"/>
    <d v="2016-05-08T00:00:00"/>
    <d v="2016-05-15T00:00:00"/>
    <x v="1"/>
    <x v="1"/>
    <n v="5"/>
    <n v="7"/>
    <s v="Standard Class"/>
    <s v="NW-18400"/>
    <x v="358"/>
    <x v="0"/>
    <s v="United States"/>
    <x v="10"/>
    <x v="8"/>
    <n v="10024"/>
    <x v="1"/>
    <s v="FUR-FU-10001095"/>
    <x v="1"/>
    <x v="1"/>
    <s v="DAX Black Cherry Wood-Tone Poster Frame"/>
    <n v="79.44"/>
  </r>
  <r>
    <n v="8465"/>
    <s v="CA-2016-144043"/>
    <d v="2016-05-10T00:00:00"/>
    <d v="2016-05-15T00:00:00"/>
    <x v="1"/>
    <x v="1"/>
    <n v="5"/>
    <n v="5"/>
    <s v="Standard Class"/>
    <s v="AB-10165"/>
    <x v="359"/>
    <x v="0"/>
    <s v="United States"/>
    <x v="127"/>
    <x v="19"/>
    <n v="80027"/>
    <x v="3"/>
    <s v="TEC-AC-10002718"/>
    <x v="2"/>
    <x v="3"/>
    <s v="Belkin Standard 104 key USB Keyboard"/>
    <n v="46.688000000000002"/>
  </r>
  <r>
    <n v="9541"/>
    <s v="CA-2016-135727"/>
    <d v="2016-05-11T00:00:00"/>
    <d v="2016-05-16T00:00:00"/>
    <x v="1"/>
    <x v="1"/>
    <n v="5"/>
    <n v="5"/>
    <s v="Second Class"/>
    <s v="PS-18970"/>
    <x v="360"/>
    <x v="2"/>
    <s v="United States"/>
    <x v="151"/>
    <x v="15"/>
    <n v="85023"/>
    <x v="3"/>
    <s v="FUR-CH-10004540"/>
    <x v="1"/>
    <x v="5"/>
    <s v="Global Chrome Stack Chair"/>
    <n v="191.96799999999999"/>
  </r>
  <r>
    <n v="2804"/>
    <s v="CA-2016-159380"/>
    <d v="2016-05-12T00:00:00"/>
    <d v="2016-05-16T00:00:00"/>
    <x v="1"/>
    <x v="1"/>
    <n v="5"/>
    <n v="4"/>
    <s v="Standard Class"/>
    <s v="CS-12505"/>
    <x v="361"/>
    <x v="0"/>
    <s v="United States"/>
    <x v="9"/>
    <x v="7"/>
    <n v="94122"/>
    <x v="3"/>
    <s v="OFF-PA-10003893"/>
    <x v="0"/>
    <x v="9"/>
    <s v="Xerox 1962"/>
    <n v="12.84"/>
  </r>
  <r>
    <n v="5212"/>
    <s v="CA-2016-130876"/>
    <d v="2016-05-12T00:00:00"/>
    <d v="2016-05-16T00:00:00"/>
    <x v="1"/>
    <x v="1"/>
    <n v="5"/>
    <n v="4"/>
    <s v="Second Class"/>
    <s v="AZ-10750"/>
    <x v="362"/>
    <x v="0"/>
    <s v="United States"/>
    <x v="10"/>
    <x v="8"/>
    <n v="10024"/>
    <x v="1"/>
    <s v="OFF-ST-10004258"/>
    <x v="0"/>
    <x v="11"/>
    <s v="Portable Personal File Box"/>
    <n v="36.630000000000003"/>
  </r>
  <r>
    <n v="8662"/>
    <s v="CA-2016-131856"/>
    <d v="2016-05-12T00:00:00"/>
    <d v="2016-05-17T00:00:00"/>
    <x v="1"/>
    <x v="1"/>
    <n v="5"/>
    <n v="5"/>
    <s v="Standard Class"/>
    <s v="JG-15160"/>
    <x v="363"/>
    <x v="0"/>
    <s v="United States"/>
    <x v="13"/>
    <x v="0"/>
    <n v="77041"/>
    <x v="0"/>
    <s v="FUR-FU-10000175"/>
    <x v="1"/>
    <x v="1"/>
    <s v="DAX Wood Document Frame."/>
    <n v="21.968"/>
  </r>
  <r>
    <n v="5337"/>
    <s v="CA-2016-169278"/>
    <d v="2016-05-21T00:00:00"/>
    <d v="2016-05-25T00:00:00"/>
    <x v="1"/>
    <x v="1"/>
    <n v="5"/>
    <n v="4"/>
    <s v="Standard Class"/>
    <s v="ME-18010"/>
    <x v="364"/>
    <x v="1"/>
    <s v="United States"/>
    <x v="49"/>
    <x v="24"/>
    <n v="98105"/>
    <x v="3"/>
    <s v="OFF-BI-10001636"/>
    <x v="0"/>
    <x v="6"/>
    <s v="Ibico Plastic and Wire Spiral Binding Combs"/>
    <n v="26.975999999999999"/>
  </r>
  <r>
    <n v="118"/>
    <s v="CA-2016-110457"/>
    <d v="2016-03-02T00:00:00"/>
    <d v="2016-03-06T00:00:00"/>
    <x v="1"/>
    <x v="8"/>
    <n v="3"/>
    <n v="4"/>
    <s v="Standard Class"/>
    <s v="DK-13090"/>
    <x v="365"/>
    <x v="0"/>
    <s v="United States"/>
    <x v="49"/>
    <x v="24"/>
    <n v="98103"/>
    <x v="3"/>
    <s v="FUR-TA-10001768"/>
    <x v="1"/>
    <x v="12"/>
    <s v="Hon Racetrack Conference Tables"/>
    <n v="787.53"/>
  </r>
  <r>
    <n v="9004"/>
    <s v="CA-2016-102855"/>
    <d v="2016-04-05T00:00:00"/>
    <d v="2016-04-06T00:00:00"/>
    <x v="1"/>
    <x v="9"/>
    <n v="4"/>
    <n v="1"/>
    <s v="Same Day"/>
    <s v="JF-15415"/>
    <x v="366"/>
    <x v="0"/>
    <s v="United States"/>
    <x v="152"/>
    <x v="24"/>
    <n v="99207"/>
    <x v="3"/>
    <s v="TEC-AC-10001767"/>
    <x v="2"/>
    <x v="3"/>
    <s v="SanDisk Ultra 64 GB MicroSDHC Class 10 Memory Card"/>
    <n v="239.94"/>
  </r>
  <r>
    <n v="7217"/>
    <s v="CA-2016-150770"/>
    <d v="2016-05-03T00:00:00"/>
    <d v="2016-05-06T00:00:00"/>
    <x v="1"/>
    <x v="1"/>
    <n v="5"/>
    <n v="3"/>
    <s v="First Class"/>
    <s v="LC-16870"/>
    <x v="367"/>
    <x v="0"/>
    <s v="United States"/>
    <x v="9"/>
    <x v="7"/>
    <n v="94109"/>
    <x v="3"/>
    <s v="OFF-AR-10001246"/>
    <x v="0"/>
    <x v="0"/>
    <s v="Newell 317"/>
    <n v="8.82"/>
  </r>
  <r>
    <n v="3489"/>
    <s v="CA-2016-157322"/>
    <d v="2016-07-02T00:00:00"/>
    <d v="2016-07-06T00:00:00"/>
    <x v="1"/>
    <x v="10"/>
    <n v="7"/>
    <n v="4"/>
    <s v="Standard Class"/>
    <s v="RH-19600"/>
    <x v="368"/>
    <x v="0"/>
    <s v="United States"/>
    <x v="153"/>
    <x v="14"/>
    <n v="60188"/>
    <x v="0"/>
    <s v="FUR-CH-10004086"/>
    <x v="1"/>
    <x v="5"/>
    <s v="Hon 4070 Series Pagoda Armless Upholstered Stacking Chairs"/>
    <n v="408.42200000000003"/>
  </r>
  <r>
    <n v="4644"/>
    <s v="CA-2016-147501"/>
    <d v="2016-08-02T00:00:00"/>
    <d v="2016-08-06T00:00:00"/>
    <x v="1"/>
    <x v="3"/>
    <n v="8"/>
    <n v="4"/>
    <s v="Standard Class"/>
    <s v="Co-12640"/>
    <x v="369"/>
    <x v="0"/>
    <s v="United States"/>
    <x v="49"/>
    <x v="24"/>
    <n v="98105"/>
    <x v="3"/>
    <s v="OFF-BI-10002003"/>
    <x v="0"/>
    <x v="6"/>
    <s v="Ibico Presentation Index for Binding Systems"/>
    <n v="6.3680000000000003"/>
  </r>
  <r>
    <n v="8180"/>
    <s v="CA-2016-112767"/>
    <d v="2016-08-02T00:00:00"/>
    <d v="2016-08-06T00:00:00"/>
    <x v="1"/>
    <x v="3"/>
    <n v="8"/>
    <n v="4"/>
    <s v="Standard Class"/>
    <s v="DK-12985"/>
    <x v="370"/>
    <x v="0"/>
    <s v="United States"/>
    <x v="2"/>
    <x v="21"/>
    <n v="97477"/>
    <x v="3"/>
    <s v="FUR-TA-10003469"/>
    <x v="1"/>
    <x v="12"/>
    <s v="Balt Split Level Computer Training Table"/>
    <n v="277.5"/>
  </r>
  <r>
    <n v="1444"/>
    <s v="CA-2016-166135"/>
    <d v="2016-10-01T00:00:00"/>
    <d v="2016-10-06T00:00:00"/>
    <x v="1"/>
    <x v="5"/>
    <n v="10"/>
    <n v="5"/>
    <s v="Standard Class"/>
    <s v="SC-20440"/>
    <x v="371"/>
    <x v="1"/>
    <s v="United States"/>
    <x v="70"/>
    <x v="19"/>
    <n v="80013"/>
    <x v="3"/>
    <s v="OFF-ST-10002974"/>
    <x v="0"/>
    <x v="11"/>
    <s v="Trav-L-File Heavy-Duty Shuttle II, Black"/>
    <n v="139.42400000000001"/>
  </r>
  <r>
    <n v="7797"/>
    <s v="US-2016-145121"/>
    <d v="2016-10-02T00:00:00"/>
    <d v="2016-10-06T00:00:00"/>
    <x v="1"/>
    <x v="5"/>
    <n v="10"/>
    <n v="4"/>
    <s v="Standard Class"/>
    <s v="MP-17965"/>
    <x v="372"/>
    <x v="1"/>
    <s v="United States"/>
    <x v="18"/>
    <x v="13"/>
    <n v="6457"/>
    <x v="1"/>
    <s v="OFF-BI-10001078"/>
    <x v="0"/>
    <x v="6"/>
    <s v="Acco PRESSTEX Data Binder with Storage Hooks, Dark Blue, 14 7/8&quot; X 11&quot;"/>
    <n v="26.9"/>
  </r>
  <r>
    <n v="283"/>
    <s v="CA-2016-130890"/>
    <d v="2016-11-02T00:00:00"/>
    <d v="2016-11-06T00:00:00"/>
    <x v="1"/>
    <x v="6"/>
    <n v="11"/>
    <n v="4"/>
    <s v="Standard Class"/>
    <s v="JO-15280"/>
    <x v="373"/>
    <x v="0"/>
    <s v="United States"/>
    <x v="11"/>
    <x v="7"/>
    <n v="90004"/>
    <x v="3"/>
    <s v="FUR-TA-10002903"/>
    <x v="1"/>
    <x v="12"/>
    <s v="Bevis Round Bullnose 29&quot; High Table Top"/>
    <n v="1038.8399999999999"/>
  </r>
  <r>
    <n v="2715"/>
    <s v="CA-2016-103723"/>
    <d v="2016-12-01T00:00:00"/>
    <d v="2016-12-06T00:00:00"/>
    <x v="1"/>
    <x v="7"/>
    <n v="12"/>
    <n v="5"/>
    <s v="Standard Class"/>
    <s v="BT-11305"/>
    <x v="374"/>
    <x v="2"/>
    <s v="United States"/>
    <x v="49"/>
    <x v="24"/>
    <n v="98105"/>
    <x v="3"/>
    <s v="OFF-AR-10003251"/>
    <x v="0"/>
    <x v="0"/>
    <s v="Prang Drawing Pencil Set"/>
    <n v="13.9"/>
  </r>
  <r>
    <n v="8893"/>
    <s v="CA-2016-111038"/>
    <d v="2016-12-01T00:00:00"/>
    <d v="2016-12-06T00:00:00"/>
    <x v="1"/>
    <x v="7"/>
    <n v="12"/>
    <n v="5"/>
    <s v="Standard Class"/>
    <s v="LC-16960"/>
    <x v="375"/>
    <x v="2"/>
    <s v="United States"/>
    <x v="48"/>
    <x v="7"/>
    <n v="92037"/>
    <x v="3"/>
    <s v="FUR-CH-10003973"/>
    <x v="1"/>
    <x v="5"/>
    <s v="GuestStacker Chair with Chrome Finish Legs"/>
    <n v="2676.672"/>
  </r>
  <r>
    <n v="5635"/>
    <s v="CA-2016-134943"/>
    <d v="2016-12-05T00:00:00"/>
    <d v="2016-12-06T00:00:00"/>
    <x v="1"/>
    <x v="7"/>
    <n v="12"/>
    <n v="1"/>
    <s v="First Class"/>
    <s v="SU-20665"/>
    <x v="376"/>
    <x v="2"/>
    <s v="United States"/>
    <x v="154"/>
    <x v="11"/>
    <n v="48104"/>
    <x v="0"/>
    <s v="OFF-BI-10000666"/>
    <x v="0"/>
    <x v="6"/>
    <s v="Surelock Post Binders"/>
    <n v="152.80000000000001"/>
  </r>
  <r>
    <n v="4579"/>
    <s v="CA-2016-110947"/>
    <d v="2016-06-09T00:00:00"/>
    <d v="2016-06-15T00:00:00"/>
    <x v="1"/>
    <x v="11"/>
    <n v="6"/>
    <n v="6"/>
    <s v="Standard Class"/>
    <s v="AG-10765"/>
    <x v="377"/>
    <x v="2"/>
    <s v="United States"/>
    <x v="40"/>
    <x v="2"/>
    <n v="23666"/>
    <x v="2"/>
    <s v="OFF-BI-10001670"/>
    <x v="0"/>
    <x v="6"/>
    <s v="Vinyl Sectional Post Binders"/>
    <n v="113.1"/>
  </r>
  <r>
    <n v="5835"/>
    <s v="CA-2016-101868"/>
    <d v="2016-06-09T00:00:00"/>
    <d v="2016-06-16T00:00:00"/>
    <x v="1"/>
    <x v="11"/>
    <n v="6"/>
    <n v="7"/>
    <s v="Standard Class"/>
    <s v="MJ-17740"/>
    <x v="378"/>
    <x v="0"/>
    <s v="United States"/>
    <x v="21"/>
    <x v="12"/>
    <n v="33178"/>
    <x v="2"/>
    <s v="OFF-BI-10003876"/>
    <x v="0"/>
    <x v="6"/>
    <s v="Green Canvas Binder for 8-1/2&quot; x 14&quot; Sheets"/>
    <n v="64.2"/>
  </r>
  <r>
    <n v="3035"/>
    <s v="US-2016-123960"/>
    <d v="2016-06-11T00:00:00"/>
    <d v="2016-06-16T00:00:00"/>
    <x v="1"/>
    <x v="11"/>
    <n v="6"/>
    <n v="5"/>
    <s v="Standard Class"/>
    <s v="BD-11605"/>
    <x v="379"/>
    <x v="0"/>
    <s v="United States"/>
    <x v="155"/>
    <x v="30"/>
    <n v="71203"/>
    <x v="2"/>
    <s v="TEC-AC-10003038"/>
    <x v="2"/>
    <x v="3"/>
    <s v="Kingston Digital DataTraveler 16GB USB 2.0"/>
    <n v="53.7"/>
  </r>
  <r>
    <n v="6914"/>
    <s v="CA-2016-104115"/>
    <d v="2016-06-12T00:00:00"/>
    <d v="2016-06-16T00:00:00"/>
    <x v="1"/>
    <x v="11"/>
    <n v="6"/>
    <n v="4"/>
    <s v="Standard Class"/>
    <s v="JH-15910"/>
    <x v="380"/>
    <x v="0"/>
    <s v="United States"/>
    <x v="156"/>
    <x v="12"/>
    <n v="33407"/>
    <x v="2"/>
    <s v="TEC-PH-10002844"/>
    <x v="2"/>
    <x v="8"/>
    <s v="Speck Products Candyshell Flip Case"/>
    <n v="55.984000000000002"/>
  </r>
  <r>
    <n v="2980"/>
    <s v="CA-2016-139850"/>
    <d v="2016-06-12T00:00:00"/>
    <d v="2016-06-17T00:00:00"/>
    <x v="1"/>
    <x v="11"/>
    <n v="6"/>
    <n v="5"/>
    <s v="Standard Class"/>
    <s v="GB-14575"/>
    <x v="381"/>
    <x v="0"/>
    <s v="United States"/>
    <x v="41"/>
    <x v="23"/>
    <n v="19134"/>
    <x v="1"/>
    <s v="OFF-PA-10003848"/>
    <x v="0"/>
    <x v="9"/>
    <s v="Xerox 1997"/>
    <n v="20.736000000000001"/>
  </r>
  <r>
    <n v="3446"/>
    <s v="CA-2016-131779"/>
    <d v="2016-06-12T00:00:00"/>
    <d v="2016-06-17T00:00:00"/>
    <x v="1"/>
    <x v="11"/>
    <n v="6"/>
    <n v="5"/>
    <s v="Standard Class"/>
    <s v="LE-16810"/>
    <x v="382"/>
    <x v="0"/>
    <s v="United States"/>
    <x v="81"/>
    <x v="1"/>
    <n v="19711"/>
    <x v="1"/>
    <s v="OFF-ST-10001505"/>
    <x v="0"/>
    <x v="11"/>
    <s v="Perma STOR-ALL Hanging File Box, 13 1/8&quot;W x 12 1/4&quot;D x 10 1/2&quot;H"/>
    <n v="29.9"/>
  </r>
  <r>
    <n v="6730"/>
    <s v="CA-2016-156734"/>
    <d v="2016-06-18T00:00:00"/>
    <d v="2016-06-20T00:00:00"/>
    <x v="1"/>
    <x v="11"/>
    <n v="6"/>
    <n v="2"/>
    <s v="First Class"/>
    <s v="BV-11245"/>
    <x v="383"/>
    <x v="1"/>
    <s v="United States"/>
    <x v="157"/>
    <x v="33"/>
    <n v="37167"/>
    <x v="2"/>
    <s v="OFF-BI-10002982"/>
    <x v="0"/>
    <x v="6"/>
    <s v="Avery Self-Adhesive Photo Pockets for Polaroid Photos"/>
    <n v="6.1289999999999996"/>
  </r>
  <r>
    <n v="7826"/>
    <s v="CA-2016-127327"/>
    <d v="2016-02-03T00:00:00"/>
    <d v="2016-02-07T00:00:00"/>
    <x v="1"/>
    <x v="2"/>
    <n v="2"/>
    <n v="4"/>
    <s v="Standard Class"/>
    <s v="PW-19030"/>
    <x v="384"/>
    <x v="1"/>
    <s v="United States"/>
    <x v="158"/>
    <x v="8"/>
    <n v="13440"/>
    <x v="1"/>
    <s v="FUR-CH-10004218"/>
    <x v="1"/>
    <x v="5"/>
    <s v="Global Fabric Manager's Chair, Dark Gray"/>
    <n v="90.882000000000005"/>
  </r>
  <r>
    <n v="1128"/>
    <s v="CA-2016-105970"/>
    <d v="2016-03-02T00:00:00"/>
    <d v="2016-03-07T00:00:00"/>
    <x v="1"/>
    <x v="8"/>
    <n v="3"/>
    <n v="5"/>
    <s v="Standard Class"/>
    <s v="PA-19060"/>
    <x v="385"/>
    <x v="2"/>
    <s v="United States"/>
    <x v="15"/>
    <x v="40"/>
    <n v="47374"/>
    <x v="0"/>
    <s v="OFF-AR-10003156"/>
    <x v="0"/>
    <x v="0"/>
    <s v="50 Colored Long Pencils"/>
    <n v="10.16"/>
  </r>
  <r>
    <n v="5255"/>
    <s v="CA-2016-125185"/>
    <d v="2016-03-05T00:00:00"/>
    <d v="2016-03-07T00:00:00"/>
    <x v="1"/>
    <x v="8"/>
    <n v="3"/>
    <n v="2"/>
    <s v="Second Class"/>
    <s v="AH-10195"/>
    <x v="386"/>
    <x v="1"/>
    <s v="United States"/>
    <x v="159"/>
    <x v="23"/>
    <n v="18018"/>
    <x v="1"/>
    <s v="FUR-CH-10002647"/>
    <x v="1"/>
    <x v="5"/>
    <s v="Situations Contoured Folding Chairs, 4/Set"/>
    <n v="99.372"/>
  </r>
  <r>
    <n v="2769"/>
    <s v="US-2016-122140"/>
    <d v="2016-04-02T00:00:00"/>
    <d v="2016-04-07T00:00:00"/>
    <x v="1"/>
    <x v="9"/>
    <n v="4"/>
    <n v="5"/>
    <s v="Standard Class"/>
    <s v="MO-17950"/>
    <x v="387"/>
    <x v="0"/>
    <s v="United States"/>
    <x v="74"/>
    <x v="0"/>
    <n v="75220"/>
    <x v="0"/>
    <s v="OFF-AP-10001242"/>
    <x v="0"/>
    <x v="4"/>
    <s v="APC 7 Outlet Network SurgeArrest Surge Protector"/>
    <n v="32.192"/>
  </r>
  <r>
    <n v="4046"/>
    <s v="CA-2016-136378"/>
    <d v="2016-04-02T00:00:00"/>
    <d v="2016-04-07T00:00:00"/>
    <x v="1"/>
    <x v="9"/>
    <n v="4"/>
    <n v="5"/>
    <s v="Standard Class"/>
    <s v="CS-11845"/>
    <x v="388"/>
    <x v="1"/>
    <s v="United States"/>
    <x v="13"/>
    <x v="0"/>
    <n v="77070"/>
    <x v="0"/>
    <s v="OFF-BI-10003707"/>
    <x v="0"/>
    <x v="6"/>
    <s v="Aluminum Screw Posts"/>
    <n v="9.1560000000000006"/>
  </r>
  <r>
    <n v="7711"/>
    <s v="US-2016-142811"/>
    <d v="2016-04-02T00:00:00"/>
    <d v="2016-04-07T00:00:00"/>
    <x v="1"/>
    <x v="9"/>
    <n v="4"/>
    <n v="5"/>
    <s v="Standard Class"/>
    <s v="JL-15850"/>
    <x v="389"/>
    <x v="0"/>
    <s v="United States"/>
    <x v="139"/>
    <x v="15"/>
    <n v="85204"/>
    <x v="3"/>
    <s v="TEC-PH-10003095"/>
    <x v="2"/>
    <x v="8"/>
    <s v="Samsung HM1900 Bluetooth Headset"/>
    <n v="87.8"/>
  </r>
  <r>
    <n v="1450"/>
    <s v="CA-2016-145821"/>
    <d v="2016-05-01T00:00:00"/>
    <d v="2016-05-07T00:00:00"/>
    <x v="1"/>
    <x v="1"/>
    <n v="5"/>
    <n v="6"/>
    <s v="Standard Class"/>
    <s v="JB-15400"/>
    <x v="390"/>
    <x v="1"/>
    <s v="United States"/>
    <x v="11"/>
    <x v="7"/>
    <n v="90008"/>
    <x v="3"/>
    <s v="TEC-PH-10004348"/>
    <x v="2"/>
    <x v="8"/>
    <s v="OtterBox Defender Series Case - iPhone 5c"/>
    <n v="88.751999999999995"/>
  </r>
  <r>
    <n v="4114"/>
    <s v="CA-2016-116687"/>
    <d v="2016-05-02T00:00:00"/>
    <d v="2016-05-07T00:00:00"/>
    <x v="1"/>
    <x v="1"/>
    <n v="5"/>
    <n v="5"/>
    <s v="Standard Class"/>
    <s v="NC-18625"/>
    <x v="391"/>
    <x v="1"/>
    <s v="United States"/>
    <x v="13"/>
    <x v="0"/>
    <n v="77095"/>
    <x v="0"/>
    <s v="OFF-LA-10000443"/>
    <x v="0"/>
    <x v="2"/>
    <s v="Avery 501"/>
    <n v="8.8559999999999999"/>
  </r>
  <r>
    <n v="529"/>
    <s v="US-2016-138303"/>
    <d v="2016-09-03T00:00:00"/>
    <d v="2016-09-07T00:00:00"/>
    <x v="1"/>
    <x v="4"/>
    <n v="9"/>
    <n v="4"/>
    <s v="Standard Class"/>
    <s v="MG-18145"/>
    <x v="392"/>
    <x v="0"/>
    <s v="United States"/>
    <x v="41"/>
    <x v="23"/>
    <n v="19134"/>
    <x v="1"/>
    <s v="OFF-ST-10004963"/>
    <x v="0"/>
    <x v="11"/>
    <s v="Eldon Gobal File Keepers"/>
    <n v="36.335999999999999"/>
  </r>
  <r>
    <n v="8463"/>
    <s v="CA-2016-169537"/>
    <d v="2016-09-03T00:00:00"/>
    <d v="2016-09-07T00:00:00"/>
    <x v="1"/>
    <x v="4"/>
    <n v="9"/>
    <n v="4"/>
    <s v="Second Class"/>
    <s v="JH-15820"/>
    <x v="393"/>
    <x v="0"/>
    <s v="United States"/>
    <x v="160"/>
    <x v="11"/>
    <n v="49423"/>
    <x v="0"/>
    <s v="OFF-LA-10001982"/>
    <x v="0"/>
    <x v="2"/>
    <s v="Smead Alpha-Z Color-Coded Name Labels First Letter Starter Set"/>
    <n v="7.5"/>
  </r>
  <r>
    <n v="4617"/>
    <s v="CA-2016-159863"/>
    <d v="2016-09-04T00:00:00"/>
    <d v="2016-09-07T00:00:00"/>
    <x v="1"/>
    <x v="4"/>
    <n v="9"/>
    <n v="3"/>
    <s v="Second Class"/>
    <s v="DS-13180"/>
    <x v="394"/>
    <x v="1"/>
    <s v="United States"/>
    <x v="13"/>
    <x v="0"/>
    <n v="77095"/>
    <x v="0"/>
    <s v="TEC-AC-10000109"/>
    <x v="2"/>
    <x v="3"/>
    <s v="Sony Micro Vault Click 16 GB USB 2.0 Flash Drive"/>
    <n v="134.376"/>
  </r>
  <r>
    <n v="3903"/>
    <s v="US-2016-119312"/>
    <d v="2016-10-02T00:00:00"/>
    <d v="2016-10-07T00:00:00"/>
    <x v="1"/>
    <x v="5"/>
    <n v="10"/>
    <n v="5"/>
    <s v="Second Class"/>
    <s v="CS-12400"/>
    <x v="395"/>
    <x v="2"/>
    <s v="United States"/>
    <x v="11"/>
    <x v="7"/>
    <n v="90045"/>
    <x v="3"/>
    <s v="OFF-ST-10000943"/>
    <x v="0"/>
    <x v="11"/>
    <s v="Eldon ProFile File 'N Store Portable File Tub Letter/Legal Size Black"/>
    <n v="270.33999999999997"/>
  </r>
  <r>
    <n v="1300"/>
    <s v="CA-2016-121391"/>
    <d v="2016-10-04T00:00:00"/>
    <d v="2016-10-07T00:00:00"/>
    <x v="1"/>
    <x v="5"/>
    <n v="10"/>
    <n v="3"/>
    <s v="First Class"/>
    <s v="AA-10315"/>
    <x v="396"/>
    <x v="0"/>
    <s v="United States"/>
    <x v="9"/>
    <x v="7"/>
    <n v="94109"/>
    <x v="3"/>
    <s v="OFF-ST-10001590"/>
    <x v="0"/>
    <x v="11"/>
    <s v="Tenex Personal Project File with Scoop Front Design, Black"/>
    <n v="26.96"/>
  </r>
  <r>
    <n v="6006"/>
    <s v="CA-2016-100657"/>
    <d v="2016-11-02T00:00:00"/>
    <d v="2016-11-07T00:00:00"/>
    <x v="1"/>
    <x v="6"/>
    <n v="11"/>
    <n v="5"/>
    <s v="Standard Class"/>
    <s v="SW-20245"/>
    <x v="397"/>
    <x v="0"/>
    <s v="United States"/>
    <x v="161"/>
    <x v="8"/>
    <n v="12180"/>
    <x v="1"/>
    <s v="FUR-CH-10003535"/>
    <x v="1"/>
    <x v="5"/>
    <s v="Global Armless Task Chair, Royal Blue"/>
    <n v="109.764"/>
  </r>
  <r>
    <n v="9193"/>
    <s v="CA-2016-141810"/>
    <d v="2016-11-02T00:00:00"/>
    <d v="2016-11-07T00:00:00"/>
    <x v="1"/>
    <x v="6"/>
    <n v="11"/>
    <n v="5"/>
    <s v="Standard Class"/>
    <s v="BB-10990"/>
    <x v="398"/>
    <x v="1"/>
    <s v="United States"/>
    <x v="88"/>
    <x v="0"/>
    <n v="78207"/>
    <x v="0"/>
    <s v="OFF-BI-10001524"/>
    <x v="0"/>
    <x v="6"/>
    <s v="GBC Premium Transparent Covers with Diagonal Lined Pattern"/>
    <n v="29.372"/>
  </r>
  <r>
    <n v="1487"/>
    <s v="CA-2016-140410"/>
    <d v="2016-11-03T00:00:00"/>
    <d v="2016-11-07T00:00:00"/>
    <x v="1"/>
    <x v="6"/>
    <n v="11"/>
    <n v="4"/>
    <s v="Standard Class"/>
    <s v="CM-12655"/>
    <x v="399"/>
    <x v="2"/>
    <s v="United States"/>
    <x v="11"/>
    <x v="7"/>
    <n v="90008"/>
    <x v="3"/>
    <s v="TEC-PH-10003580"/>
    <x v="2"/>
    <x v="8"/>
    <s v="Cisco IP Phone 7961G-GE VoIP phone"/>
    <n v="1212.848"/>
  </r>
  <r>
    <n v="3920"/>
    <s v="US-2016-148817"/>
    <d v="2016-12-01T00:00:00"/>
    <d v="2016-12-07T00:00:00"/>
    <x v="1"/>
    <x v="7"/>
    <n v="12"/>
    <n v="6"/>
    <s v="Standard Class"/>
    <s v="KD-16495"/>
    <x v="400"/>
    <x v="1"/>
    <s v="United States"/>
    <x v="5"/>
    <x v="2"/>
    <n v="23320"/>
    <x v="2"/>
    <s v="OFF-ST-10001321"/>
    <x v="0"/>
    <x v="11"/>
    <s v="Decoflex Hanging Personal Folder File, Blue"/>
    <n v="61.68"/>
  </r>
  <r>
    <n v="387"/>
    <s v="CA-2016-122756"/>
    <d v="2016-12-03T00:00:00"/>
    <d v="2016-12-07T00:00:00"/>
    <x v="1"/>
    <x v="7"/>
    <n v="12"/>
    <n v="4"/>
    <s v="Standard Class"/>
    <s v="DK-13225"/>
    <x v="401"/>
    <x v="1"/>
    <s v="United States"/>
    <x v="41"/>
    <x v="23"/>
    <n v="19140"/>
    <x v="1"/>
    <s v="TEC-MA-10001681"/>
    <x v="2"/>
    <x v="16"/>
    <s v="Lexmark MarkNet N8150 Wireless Print Server"/>
    <n v="482.34"/>
  </r>
  <r>
    <n v="5605"/>
    <s v="CA-2016-142475"/>
    <d v="2016-12-03T00:00:00"/>
    <d v="2016-12-07T00:00:00"/>
    <x v="1"/>
    <x v="7"/>
    <n v="12"/>
    <n v="4"/>
    <s v="Standard Class"/>
    <s v="BS-11380"/>
    <x v="402"/>
    <x v="1"/>
    <s v="United States"/>
    <x v="10"/>
    <x v="8"/>
    <n v="10011"/>
    <x v="1"/>
    <s v="OFF-BI-10003718"/>
    <x v="0"/>
    <x v="6"/>
    <s v="GBC Therma-A-Bind 250T Electric Binding System"/>
    <n v="590.35199999999998"/>
  </r>
  <r>
    <n v="8713"/>
    <s v="US-2016-145422"/>
    <d v="2016-12-03T00:00:00"/>
    <d v="2016-12-07T00:00:00"/>
    <x v="1"/>
    <x v="7"/>
    <n v="12"/>
    <n v="4"/>
    <s v="Standard Class"/>
    <s v="PW-19240"/>
    <x v="403"/>
    <x v="0"/>
    <s v="United States"/>
    <x v="9"/>
    <x v="7"/>
    <n v="94110"/>
    <x v="3"/>
    <s v="FUR-BO-10002213"/>
    <x v="1"/>
    <x v="13"/>
    <s v="Sauder Forest Hills Library, Woodland Oak Finish"/>
    <n v="359.49900000000002"/>
  </r>
  <r>
    <n v="4356"/>
    <s v="CA-2016-155600"/>
    <d v="2016-12-04T00:00:00"/>
    <d v="2016-12-07T00:00:00"/>
    <x v="1"/>
    <x v="7"/>
    <n v="12"/>
    <n v="3"/>
    <s v="Second Class"/>
    <s v="RO-19780"/>
    <x v="404"/>
    <x v="0"/>
    <s v="United States"/>
    <x v="162"/>
    <x v="33"/>
    <n v="37042"/>
    <x v="2"/>
    <s v="OFF-BI-10000545"/>
    <x v="0"/>
    <x v="6"/>
    <s v="GBC Ibimaster 500 Manual ProClick Binding System"/>
    <n v="1598.058"/>
  </r>
  <r>
    <n v="6841"/>
    <s v="CA-2016-166338"/>
    <d v="2016-12-06T00:00:00"/>
    <d v="2016-12-07T00:00:00"/>
    <x v="1"/>
    <x v="7"/>
    <n v="12"/>
    <n v="1"/>
    <s v="First Class"/>
    <s v="MP-18175"/>
    <x v="405"/>
    <x v="2"/>
    <s v="United States"/>
    <x v="161"/>
    <x v="4"/>
    <n v="45373"/>
    <x v="1"/>
    <s v="OFF-BI-10002852"/>
    <x v="0"/>
    <x v="6"/>
    <s v="Ibico Standard Transparent Covers"/>
    <n v="14.832000000000001"/>
  </r>
  <r>
    <n v="9665"/>
    <s v="US-2016-120957"/>
    <d v="2016-12-07T00:00:00"/>
    <d v="2016-12-07T00:00:00"/>
    <x v="1"/>
    <x v="7"/>
    <n v="12"/>
    <n v="0"/>
    <s v="Same Day"/>
    <s v="KH-16690"/>
    <x v="406"/>
    <x v="1"/>
    <s v="United States"/>
    <x v="163"/>
    <x v="7"/>
    <n v="92503"/>
    <x v="3"/>
    <s v="OFF-PA-10003953"/>
    <x v="0"/>
    <x v="9"/>
    <s v="Xerox 218"/>
    <n v="12.96"/>
  </r>
  <r>
    <n v="2049"/>
    <s v="CA-2016-142237"/>
    <d v="2016-07-11T00:00:00"/>
    <d v="2016-07-13T00:00:00"/>
    <x v="1"/>
    <x v="10"/>
    <n v="7"/>
    <n v="2"/>
    <s v="First Class"/>
    <s v="CK-12595"/>
    <x v="407"/>
    <x v="0"/>
    <s v="United States"/>
    <x v="41"/>
    <x v="23"/>
    <n v="19134"/>
    <x v="1"/>
    <s v="FUR-FU-10004848"/>
    <x v="1"/>
    <x v="1"/>
    <s v="Howard Miller 13-3/4&quot; Diameter Brushed Chrome Round Wall Clock"/>
    <n v="289.8"/>
  </r>
  <r>
    <n v="3901"/>
    <s v="CA-2016-121097"/>
    <d v="2016-01-03T00:00:00"/>
    <d v="2016-01-08T00:00:00"/>
    <x v="1"/>
    <x v="0"/>
    <n v="1"/>
    <n v="5"/>
    <s v="Standard Class"/>
    <s v="SF-20965"/>
    <x v="408"/>
    <x v="1"/>
    <s v="United States"/>
    <x v="164"/>
    <x v="0"/>
    <n v="77520"/>
    <x v="0"/>
    <s v="OFF-PA-10001937"/>
    <x v="0"/>
    <x v="9"/>
    <s v="Xerox 21"/>
    <n v="10.368"/>
  </r>
  <r>
    <n v="5054"/>
    <s v="CA-2016-141243"/>
    <d v="2016-01-03T00:00:00"/>
    <d v="2016-01-08T00:00:00"/>
    <x v="1"/>
    <x v="0"/>
    <n v="1"/>
    <n v="5"/>
    <s v="Second Class"/>
    <s v="AH-10465"/>
    <x v="409"/>
    <x v="0"/>
    <s v="United States"/>
    <x v="74"/>
    <x v="0"/>
    <n v="75217"/>
    <x v="0"/>
    <s v="TEC-AC-10003198"/>
    <x v="2"/>
    <x v="3"/>
    <s v="Enermax Acrylux Wireless Keyboard"/>
    <n v="398.4"/>
  </r>
  <r>
    <n v="9084"/>
    <s v="CA-2016-104038"/>
    <d v="2016-02-06T00:00:00"/>
    <d v="2016-02-08T00:00:00"/>
    <x v="1"/>
    <x v="2"/>
    <n v="2"/>
    <n v="2"/>
    <s v="First Class"/>
    <s v="LO-17170"/>
    <x v="410"/>
    <x v="1"/>
    <s v="United States"/>
    <x v="165"/>
    <x v="2"/>
    <n v="23434"/>
    <x v="2"/>
    <s v="OFF-ST-10002554"/>
    <x v="0"/>
    <x v="11"/>
    <s v="Tennsco Industrial Shelving"/>
    <n v="146.72999999999999"/>
  </r>
  <r>
    <n v="3778"/>
    <s v="CA-2016-107937"/>
    <d v="2016-05-03T00:00:00"/>
    <d v="2016-05-08T00:00:00"/>
    <x v="1"/>
    <x v="1"/>
    <n v="5"/>
    <n v="5"/>
    <s v="Standard Class"/>
    <s v="JB-16045"/>
    <x v="411"/>
    <x v="2"/>
    <s v="United States"/>
    <x v="166"/>
    <x v="7"/>
    <n v="91911"/>
    <x v="3"/>
    <s v="FUR-FU-10002298"/>
    <x v="1"/>
    <x v="1"/>
    <s v="Rubbermaid ClusterMat Chairmats, Mat Size- 66&quot; x 60&quot;, Lip 20&quot; x 11&quot; -90 Degree Angle"/>
    <n v="665.88"/>
  </r>
  <r>
    <n v="9565"/>
    <s v="CA-2016-161242"/>
    <d v="2016-06-01T00:00:00"/>
    <d v="2016-06-08T00:00:00"/>
    <x v="1"/>
    <x v="11"/>
    <n v="6"/>
    <n v="7"/>
    <s v="Standard Class"/>
    <s v="CG-12040"/>
    <x v="412"/>
    <x v="2"/>
    <s v="United States"/>
    <x v="11"/>
    <x v="7"/>
    <n v="90045"/>
    <x v="3"/>
    <s v="OFF-PA-10001838"/>
    <x v="0"/>
    <x v="9"/>
    <s v="Adams Telephone Message Book W/Dividers/Space For Phone Numbers, 5 1/4&quot;X8 1/2&quot;, 300/Messages"/>
    <n v="11.76"/>
  </r>
  <r>
    <n v="1287"/>
    <s v="CA-2016-124268"/>
    <d v="2016-07-04T00:00:00"/>
    <d v="2016-07-08T00:00:00"/>
    <x v="1"/>
    <x v="10"/>
    <n v="7"/>
    <n v="4"/>
    <s v="Standard Class"/>
    <s v="AD-10180"/>
    <x v="413"/>
    <x v="2"/>
    <s v="United States"/>
    <x v="10"/>
    <x v="8"/>
    <n v="10035"/>
    <x v="1"/>
    <s v="OFF-AR-10004817"/>
    <x v="0"/>
    <x v="0"/>
    <s v="Colorific Watercolor Pencils"/>
    <n v="15.48"/>
  </r>
  <r>
    <n v="7919"/>
    <s v="CA-2016-152513"/>
    <d v="2016-07-04T00:00:00"/>
    <d v="2016-07-08T00:00:00"/>
    <x v="1"/>
    <x v="10"/>
    <n v="7"/>
    <n v="4"/>
    <s v="Second Class"/>
    <s v="JP-16135"/>
    <x v="414"/>
    <x v="2"/>
    <s v="United States"/>
    <x v="48"/>
    <x v="7"/>
    <n v="92024"/>
    <x v="3"/>
    <s v="OFF-BI-10002706"/>
    <x v="0"/>
    <x v="6"/>
    <s v="Avery Premier Heavy-Duty Binder with Round Locking Rings"/>
    <n v="22.847999999999999"/>
  </r>
  <r>
    <n v="4192"/>
    <s v="CA-2016-129392"/>
    <d v="2016-07-08T00:00:00"/>
    <d v="2016-07-08T00:00:00"/>
    <x v="1"/>
    <x v="10"/>
    <n v="7"/>
    <n v="0"/>
    <s v="Same Day"/>
    <s v="DM-13015"/>
    <x v="415"/>
    <x v="0"/>
    <s v="United States"/>
    <x v="13"/>
    <x v="0"/>
    <n v="77070"/>
    <x v="0"/>
    <s v="OFF-PA-10004248"/>
    <x v="0"/>
    <x v="9"/>
    <s v="Xerox 1990"/>
    <n v="21.12"/>
  </r>
  <r>
    <n v="5155"/>
    <s v="US-2016-124219"/>
    <d v="2016-08-07T00:00:00"/>
    <d v="2016-08-08T00:00:00"/>
    <x v="1"/>
    <x v="3"/>
    <n v="8"/>
    <n v="1"/>
    <s v="First Class"/>
    <s v="KW-16570"/>
    <x v="416"/>
    <x v="0"/>
    <s v="United States"/>
    <x v="167"/>
    <x v="5"/>
    <n v="63122"/>
    <x v="0"/>
    <s v="OFF-BI-10002215"/>
    <x v="0"/>
    <x v="6"/>
    <s v="Wilson Jones Hanging View Binder, White, 1&quot;"/>
    <n v="28.4"/>
  </r>
  <r>
    <n v="2816"/>
    <s v="CA-2016-104626"/>
    <d v="2016-09-01T00:00:00"/>
    <d v="2016-09-08T00:00:00"/>
    <x v="1"/>
    <x v="4"/>
    <n v="9"/>
    <n v="7"/>
    <s v="Standard Class"/>
    <s v="DR-12940"/>
    <x v="417"/>
    <x v="2"/>
    <s v="United States"/>
    <x v="168"/>
    <x v="9"/>
    <n v="2038"/>
    <x v="1"/>
    <s v="OFF-BI-10001510"/>
    <x v="0"/>
    <x v="6"/>
    <s v="Deluxe Heavy-Duty Vinyl Round Ring Binder"/>
    <n v="114.6"/>
  </r>
  <r>
    <n v="84"/>
    <s v="CA-2016-149734"/>
    <d v="2016-09-03T00:00:00"/>
    <d v="2016-09-08T00:00:00"/>
    <x v="1"/>
    <x v="4"/>
    <n v="9"/>
    <n v="5"/>
    <s v="Standard Class"/>
    <s v="JC-16105"/>
    <x v="418"/>
    <x v="1"/>
    <s v="United States"/>
    <x v="98"/>
    <x v="18"/>
    <n v="27707"/>
    <x v="2"/>
    <s v="OFF-EN-10000927"/>
    <x v="0"/>
    <x v="14"/>
    <s v="Jet-Pak Recycled Peel 'N' Seal Padded Mailers"/>
    <n v="200.98400000000001"/>
  </r>
  <r>
    <n v="1118"/>
    <s v="CA-2016-142755"/>
    <d v="2016-09-04T00:00:00"/>
    <d v="2016-09-08T00:00:00"/>
    <x v="1"/>
    <x v="4"/>
    <n v="9"/>
    <n v="4"/>
    <s v="Standard Class"/>
    <s v="CS-12355"/>
    <x v="419"/>
    <x v="0"/>
    <s v="United States"/>
    <x v="3"/>
    <x v="3"/>
    <n v="30076"/>
    <x v="2"/>
    <s v="OFF-PA-10001970"/>
    <x v="0"/>
    <x v="9"/>
    <s v="Xerox 1908"/>
    <n v="279.89999999999998"/>
  </r>
  <r>
    <n v="6257"/>
    <s v="CA-2016-133977"/>
    <d v="2016-09-06T00:00:00"/>
    <d v="2016-09-08T00:00:00"/>
    <x v="1"/>
    <x v="4"/>
    <n v="9"/>
    <n v="2"/>
    <s v="Second Class"/>
    <s v="AT-10435"/>
    <x v="420"/>
    <x v="2"/>
    <s v="United States"/>
    <x v="169"/>
    <x v="12"/>
    <n v="33319"/>
    <x v="2"/>
    <s v="OFF-BI-10003166"/>
    <x v="0"/>
    <x v="6"/>
    <s v="GBC Plasticlear Binding Covers"/>
    <n v="3.444"/>
  </r>
  <r>
    <n v="3220"/>
    <s v="US-2016-137008"/>
    <d v="2016-10-02T00:00:00"/>
    <d v="2016-10-08T00:00:00"/>
    <x v="1"/>
    <x v="5"/>
    <n v="10"/>
    <n v="6"/>
    <s v="Standard Class"/>
    <s v="JP-15460"/>
    <x v="421"/>
    <x v="1"/>
    <s v="United States"/>
    <x v="53"/>
    <x v="22"/>
    <n v="8701"/>
    <x v="1"/>
    <s v="OFF-PA-10001295"/>
    <x v="0"/>
    <x v="9"/>
    <s v="Computer Printout Paper with Letter-Trim Perforations"/>
    <n v="94.85"/>
  </r>
  <r>
    <n v="9076"/>
    <s v="US-2016-136259"/>
    <d v="2016-11-05T00:00:00"/>
    <d v="2016-11-08T00:00:00"/>
    <x v="1"/>
    <x v="6"/>
    <n v="11"/>
    <n v="3"/>
    <s v="First Class"/>
    <s v="CB-12415"/>
    <x v="422"/>
    <x v="0"/>
    <s v="United States"/>
    <x v="53"/>
    <x v="4"/>
    <n v="44107"/>
    <x v="1"/>
    <s v="OFF-BI-10000773"/>
    <x v="0"/>
    <x v="6"/>
    <s v="Insertable Tab Post Binder Dividers"/>
    <n v="7.218"/>
  </r>
  <r>
    <n v="3613"/>
    <s v="CA-2016-110093"/>
    <d v="2016-12-03T00:00:00"/>
    <d v="2016-12-08T00:00:00"/>
    <x v="1"/>
    <x v="7"/>
    <n v="12"/>
    <n v="5"/>
    <s v="Standard Class"/>
    <s v="AB-10255"/>
    <x v="423"/>
    <x v="2"/>
    <s v="United States"/>
    <x v="41"/>
    <x v="23"/>
    <n v="19134"/>
    <x v="1"/>
    <s v="OFF-PA-10000174"/>
    <x v="0"/>
    <x v="9"/>
    <s v="Message Book, Wirebound, Four 5 1/2&quot; X 4&quot; Forms/Pg., 200 Dupl. Sets/Book"/>
    <n v="16.448"/>
  </r>
  <r>
    <n v="2749"/>
    <s v="CA-2016-110247"/>
    <d v="2016-12-04T00:00:00"/>
    <d v="2016-12-08T00:00:00"/>
    <x v="1"/>
    <x v="7"/>
    <n v="12"/>
    <n v="4"/>
    <s v="Standard Class"/>
    <s v="RH-19555"/>
    <x v="424"/>
    <x v="0"/>
    <s v="United States"/>
    <x v="170"/>
    <x v="12"/>
    <n v="32303"/>
    <x v="2"/>
    <s v="OFF-BI-10001553"/>
    <x v="0"/>
    <x v="6"/>
    <s v="SpineVue Locking Slant-D Ring Binders by Cardinal"/>
    <n v="8.2260000000000009"/>
  </r>
  <r>
    <n v="7311"/>
    <s v="CA-2016-121699"/>
    <d v="2016-08-10T00:00:00"/>
    <d v="2016-08-14T00:00:00"/>
    <x v="1"/>
    <x v="3"/>
    <n v="8"/>
    <n v="4"/>
    <s v="Standard Class"/>
    <s v="BD-11320"/>
    <x v="425"/>
    <x v="0"/>
    <s v="United States"/>
    <x v="55"/>
    <x v="11"/>
    <n v="48227"/>
    <x v="0"/>
    <s v="OFF-BI-10004632"/>
    <x v="0"/>
    <x v="6"/>
    <s v="GBC Binding covers"/>
    <n v="64.75"/>
  </r>
  <r>
    <n v="7124"/>
    <s v="CA-2016-128013"/>
    <d v="2016-08-09T00:00:00"/>
    <d v="2016-08-16T00:00:00"/>
    <x v="1"/>
    <x v="3"/>
    <n v="8"/>
    <n v="7"/>
    <s v="Standard Class"/>
    <s v="MF-18250"/>
    <x v="426"/>
    <x v="1"/>
    <s v="United States"/>
    <x v="10"/>
    <x v="8"/>
    <n v="10035"/>
    <x v="1"/>
    <s v="FUR-FU-10000320"/>
    <x v="1"/>
    <x v="1"/>
    <s v="OIC Stacking Trays"/>
    <n v="10.02"/>
  </r>
  <r>
    <n v="5758"/>
    <s v="CA-2016-119634"/>
    <d v="2016-08-11T00:00:00"/>
    <d v="2016-08-16T00:00:00"/>
    <x v="1"/>
    <x v="3"/>
    <n v="8"/>
    <n v="5"/>
    <s v="Standard Class"/>
    <s v="BW-11065"/>
    <x v="427"/>
    <x v="0"/>
    <s v="United States"/>
    <x v="144"/>
    <x v="18"/>
    <n v="27604"/>
    <x v="2"/>
    <s v="FUR-FU-10004270"/>
    <x v="1"/>
    <x v="1"/>
    <s v="Executive Impressions 13&quot; Clairmont Wall Clock"/>
    <n v="46.152000000000001"/>
  </r>
  <r>
    <n v="5647"/>
    <s v="CA-2016-104241"/>
    <d v="2016-01-04T00:00:00"/>
    <d v="2016-01-09T00:00:00"/>
    <x v="1"/>
    <x v="0"/>
    <n v="1"/>
    <n v="5"/>
    <s v="Standard Class"/>
    <s v="AG-10495"/>
    <x v="428"/>
    <x v="1"/>
    <s v="United States"/>
    <x v="96"/>
    <x v="2"/>
    <n v="22304"/>
    <x v="2"/>
    <s v="FUR-FU-10001473"/>
    <x v="1"/>
    <x v="1"/>
    <s v="DAX Wood Document Frame"/>
    <n v="192.22"/>
  </r>
  <r>
    <n v="2284"/>
    <s v="CA-2016-153108"/>
    <d v="2016-03-05T00:00:00"/>
    <d v="2016-03-09T00:00:00"/>
    <x v="1"/>
    <x v="8"/>
    <n v="3"/>
    <n v="4"/>
    <s v="Standard Class"/>
    <s v="SF-20200"/>
    <x v="429"/>
    <x v="0"/>
    <s v="United States"/>
    <x v="171"/>
    <x v="40"/>
    <n v="47362"/>
    <x v="0"/>
    <s v="TEC-PH-10001552"/>
    <x v="2"/>
    <x v="8"/>
    <s v="I Need's 3d Hello Kitty Hybrid Silicone Case Cover for HTC One X 4g with 3d Hello Kitty Stylus Pen Green/pink"/>
    <n v="23.92"/>
  </r>
  <r>
    <n v="5329"/>
    <s v="CA-2016-120320"/>
    <d v="2016-03-05T00:00:00"/>
    <d v="2016-03-09T00:00:00"/>
    <x v="1"/>
    <x v="8"/>
    <n v="3"/>
    <n v="4"/>
    <s v="Standard Class"/>
    <s v="MV-18190"/>
    <x v="430"/>
    <x v="0"/>
    <s v="United States"/>
    <x v="13"/>
    <x v="0"/>
    <n v="77036"/>
    <x v="0"/>
    <s v="TEC-PH-10000149"/>
    <x v="2"/>
    <x v="8"/>
    <s v="Cisco SPA525G2 IP Phone - Wireless"/>
    <n v="31.92"/>
  </r>
  <r>
    <n v="5781"/>
    <s v="US-2016-159513"/>
    <d v="2016-04-02T00:00:00"/>
    <d v="2016-04-09T00:00:00"/>
    <x v="1"/>
    <x v="9"/>
    <n v="4"/>
    <n v="7"/>
    <s v="Standard Class"/>
    <s v="JD-15790"/>
    <x v="431"/>
    <x v="0"/>
    <s v="United States"/>
    <x v="11"/>
    <x v="7"/>
    <n v="90049"/>
    <x v="3"/>
    <s v="TEC-MA-10003329"/>
    <x v="2"/>
    <x v="16"/>
    <s v="Vtech AT&amp;T CL2940 Corded Speakerphone, Black"/>
    <n v="71.975999999999999"/>
  </r>
  <r>
    <n v="5876"/>
    <s v="CA-2016-130554"/>
    <d v="2016-04-07T00:00:00"/>
    <d v="2016-04-09T00:00:00"/>
    <x v="1"/>
    <x v="9"/>
    <n v="4"/>
    <n v="2"/>
    <s v="First Class"/>
    <s v="FM-14290"/>
    <x v="432"/>
    <x v="2"/>
    <s v="United States"/>
    <x v="41"/>
    <x v="23"/>
    <n v="19140"/>
    <x v="1"/>
    <s v="OFF-AR-10001954"/>
    <x v="0"/>
    <x v="0"/>
    <s v="Newell 331"/>
    <n v="11.736000000000001"/>
  </r>
  <r>
    <n v="305"/>
    <s v="CA-2016-144253"/>
    <d v="2016-05-04T00:00:00"/>
    <d v="2016-05-09T00:00:00"/>
    <x v="1"/>
    <x v="1"/>
    <n v="5"/>
    <n v="5"/>
    <s v="Second Class"/>
    <s v="AS-10225"/>
    <x v="433"/>
    <x v="1"/>
    <s v="United States"/>
    <x v="10"/>
    <x v="8"/>
    <n v="10024"/>
    <x v="1"/>
    <s v="FUR-FU-10002671"/>
    <x v="1"/>
    <x v="1"/>
    <s v="Electrix 20W Halogen Replacement Bulb for Zoom-In Desk Lamp"/>
    <n v="26.8"/>
  </r>
  <r>
    <n v="7250"/>
    <s v="CA-2016-158491"/>
    <d v="2016-06-04T00:00:00"/>
    <d v="2016-06-09T00:00:00"/>
    <x v="1"/>
    <x v="11"/>
    <n v="6"/>
    <n v="5"/>
    <s v="Second Class"/>
    <s v="BP-11155"/>
    <x v="434"/>
    <x v="0"/>
    <s v="United States"/>
    <x v="11"/>
    <x v="7"/>
    <n v="90008"/>
    <x v="3"/>
    <s v="TEC-AC-10001874"/>
    <x v="2"/>
    <x v="3"/>
    <s v="Logitech Wireless Anywhere Mouse MX for PC and Mac"/>
    <n v="119.98"/>
  </r>
  <r>
    <n v="8829"/>
    <s v="CA-2016-115168"/>
    <d v="2016-06-05T00:00:00"/>
    <d v="2016-06-09T00:00:00"/>
    <x v="1"/>
    <x v="11"/>
    <n v="6"/>
    <n v="4"/>
    <s v="Standard Class"/>
    <s v="BB-11545"/>
    <x v="435"/>
    <x v="1"/>
    <s v="United States"/>
    <x v="172"/>
    <x v="5"/>
    <n v="63301"/>
    <x v="0"/>
    <s v="OFF-PA-10000528"/>
    <x v="0"/>
    <x v="9"/>
    <s v="Xerox 1981"/>
    <n v="10.56"/>
  </r>
  <r>
    <n v="2412"/>
    <s v="CA-2016-142041"/>
    <d v="2016-06-07T00:00:00"/>
    <d v="2016-06-09T00:00:00"/>
    <x v="1"/>
    <x v="11"/>
    <n v="6"/>
    <n v="2"/>
    <s v="Second Class"/>
    <s v="EM-13810"/>
    <x v="436"/>
    <x v="1"/>
    <s v="United States"/>
    <x v="11"/>
    <x v="7"/>
    <n v="90036"/>
    <x v="3"/>
    <s v="OFF-BI-10004187"/>
    <x v="0"/>
    <x v="6"/>
    <s v="3-ring staple pack"/>
    <n v="7.52"/>
  </r>
  <r>
    <n v="4132"/>
    <s v="CA-2016-111703"/>
    <d v="2016-07-02T00:00:00"/>
    <d v="2016-07-09T00:00:00"/>
    <x v="1"/>
    <x v="10"/>
    <n v="7"/>
    <n v="7"/>
    <s v="Standard Class"/>
    <s v="KB-16315"/>
    <x v="437"/>
    <x v="0"/>
    <s v="United States"/>
    <x v="173"/>
    <x v="12"/>
    <n v="33021"/>
    <x v="2"/>
    <s v="OFF-PA-10000349"/>
    <x v="0"/>
    <x v="9"/>
    <s v="Easy-staple paper"/>
    <n v="11.952"/>
  </r>
  <r>
    <n v="587"/>
    <s v="CA-2016-128139"/>
    <d v="2016-07-03T00:00:00"/>
    <d v="2016-07-09T00:00:00"/>
    <x v="1"/>
    <x v="10"/>
    <n v="7"/>
    <n v="6"/>
    <s v="Standard Class"/>
    <s v="BD-11725"/>
    <x v="438"/>
    <x v="0"/>
    <s v="United States"/>
    <x v="15"/>
    <x v="10"/>
    <n v="40475"/>
    <x v="2"/>
    <s v="FUR-CH-10003956"/>
    <x v="1"/>
    <x v="5"/>
    <s v="Novimex High-Tech Fabric Mesh Task Chair"/>
    <n v="70.98"/>
  </r>
  <r>
    <n v="1253"/>
    <s v="CA-2016-154956"/>
    <d v="2016-07-04T00:00:00"/>
    <d v="2016-07-09T00:00:00"/>
    <x v="1"/>
    <x v="10"/>
    <n v="7"/>
    <n v="5"/>
    <s v="Standard Class"/>
    <s v="IM-15070"/>
    <x v="439"/>
    <x v="0"/>
    <s v="United States"/>
    <x v="44"/>
    <x v="6"/>
    <n v="53209"/>
    <x v="0"/>
    <s v="TEC-PH-10004165"/>
    <x v="2"/>
    <x v="8"/>
    <s v="Mitel MiVoice 5330e IP Phone"/>
    <n v="1099.96"/>
  </r>
  <r>
    <n v="8899"/>
    <s v="CA-2016-163237"/>
    <d v="2016-08-07T00:00:00"/>
    <d v="2016-08-09T00:00:00"/>
    <x v="1"/>
    <x v="3"/>
    <n v="8"/>
    <n v="2"/>
    <s v="Second Class"/>
    <s v="EM-14095"/>
    <x v="440"/>
    <x v="1"/>
    <s v="United States"/>
    <x v="2"/>
    <x v="2"/>
    <n v="22153"/>
    <x v="2"/>
    <s v="TEC-PH-10003601"/>
    <x v="2"/>
    <x v="8"/>
    <s v="Ativa D5772 2-Line 5.8GHz Digital Expandable Corded/Cordless Phone System with Answering &amp; Caller ID/Call Waiting, Black/Silver"/>
    <n v="494.97"/>
  </r>
  <r>
    <n v="1761"/>
    <s v="CA-2016-130785"/>
    <d v="2016-09-05T00:00:00"/>
    <d v="2016-09-09T00:00:00"/>
    <x v="1"/>
    <x v="4"/>
    <n v="9"/>
    <n v="4"/>
    <s v="Standard Class"/>
    <s v="AG-10900"/>
    <x v="441"/>
    <x v="0"/>
    <s v="United States"/>
    <x v="48"/>
    <x v="7"/>
    <n v="92105"/>
    <x v="3"/>
    <s v="FUR-BO-10000330"/>
    <x v="1"/>
    <x v="13"/>
    <s v="Sauder Camden County Barrister Bookcase, Planked Cherry Finish"/>
    <n v="411.33199999999999"/>
  </r>
  <r>
    <n v="6790"/>
    <s v="CA-2016-161445"/>
    <d v="2016-09-07T00:00:00"/>
    <d v="2016-09-09T00:00:00"/>
    <x v="1"/>
    <x v="4"/>
    <n v="9"/>
    <n v="2"/>
    <s v="Second Class"/>
    <s v="CC-12610"/>
    <x v="442"/>
    <x v="1"/>
    <s v="United States"/>
    <x v="98"/>
    <x v="18"/>
    <n v="27707"/>
    <x v="2"/>
    <s v="OFF-AR-10001953"/>
    <x v="0"/>
    <x v="0"/>
    <s v="Boston 1645 Deluxe Heavier-Duty Electric Pencil Sharpener"/>
    <n v="140.73599999999999"/>
  </r>
  <r>
    <n v="928"/>
    <s v="CA-2016-115091"/>
    <d v="2016-10-05T00:00:00"/>
    <d v="2016-10-09T00:00:00"/>
    <x v="1"/>
    <x v="5"/>
    <n v="10"/>
    <n v="4"/>
    <s v="Standard Class"/>
    <s v="JJ-15760"/>
    <x v="443"/>
    <x v="2"/>
    <s v="United States"/>
    <x v="2"/>
    <x v="2"/>
    <n v="22153"/>
    <x v="2"/>
    <s v="OFF-AR-10000658"/>
    <x v="0"/>
    <x v="0"/>
    <s v="Newell 324"/>
    <n v="46.2"/>
  </r>
  <r>
    <n v="1833"/>
    <s v="CA-2016-131422"/>
    <d v="2016-11-05T00:00:00"/>
    <d v="2016-11-09T00:00:00"/>
    <x v="1"/>
    <x v="6"/>
    <n v="11"/>
    <n v="4"/>
    <s v="Standard Class"/>
    <s v="GB-14530"/>
    <x v="444"/>
    <x v="1"/>
    <s v="United States"/>
    <x v="155"/>
    <x v="18"/>
    <n v="28110"/>
    <x v="2"/>
    <s v="FUR-CH-10001270"/>
    <x v="1"/>
    <x v="5"/>
    <s v="Harbour Creations Steel Folding Chair"/>
    <n v="207"/>
  </r>
  <r>
    <n v="1007"/>
    <s v="CA-2016-105312"/>
    <d v="2016-11-06T00:00:00"/>
    <d v="2016-11-09T00:00:00"/>
    <x v="1"/>
    <x v="6"/>
    <n v="11"/>
    <n v="3"/>
    <s v="First Class"/>
    <s v="MT-17815"/>
    <x v="445"/>
    <x v="0"/>
    <s v="United States"/>
    <x v="174"/>
    <x v="15"/>
    <n v="85254"/>
    <x v="3"/>
    <s v="OFF-EN-10002600"/>
    <x v="0"/>
    <x v="14"/>
    <s v="Redi-Strip #10 Envelopes, 4 1/8 x 9 1/2"/>
    <n v="7.08"/>
  </r>
  <r>
    <n v="532"/>
    <s v="CA-2016-102848"/>
    <d v="2016-11-07T00:00:00"/>
    <d v="2016-11-09T00:00:00"/>
    <x v="1"/>
    <x v="6"/>
    <n v="11"/>
    <n v="2"/>
    <s v="Second Class"/>
    <s v="KB-16240"/>
    <x v="446"/>
    <x v="1"/>
    <s v="United States"/>
    <x v="11"/>
    <x v="7"/>
    <n v="90036"/>
    <x v="3"/>
    <s v="FUR-CH-10000595"/>
    <x v="1"/>
    <x v="5"/>
    <s v="Safco Contoured Stacking Chairs"/>
    <n v="190.72"/>
  </r>
  <r>
    <n v="1564"/>
    <s v="CA-2016-158554"/>
    <d v="2016-11-09T00:00:00"/>
    <d v="2016-11-09T00:00:00"/>
    <x v="1"/>
    <x v="6"/>
    <n v="11"/>
    <n v="0"/>
    <s v="Same Day"/>
    <s v="CM-12190"/>
    <x v="447"/>
    <x v="0"/>
    <s v="United States"/>
    <x v="41"/>
    <x v="23"/>
    <n v="19134"/>
    <x v="1"/>
    <s v="OFF-PA-10004000"/>
    <x v="0"/>
    <x v="9"/>
    <s v="While You Were Out Pads, 50 per Pad, 4 x 5 1/4, Green Cycle"/>
    <n v="11.352"/>
  </r>
  <r>
    <n v="3851"/>
    <s v="CA-2016-142377"/>
    <d v="2016-12-04T00:00:00"/>
    <d v="2016-12-09T00:00:00"/>
    <x v="1"/>
    <x v="7"/>
    <n v="12"/>
    <n v="5"/>
    <s v="Standard Class"/>
    <s v="MS-17980"/>
    <x v="448"/>
    <x v="1"/>
    <s v="United States"/>
    <x v="2"/>
    <x v="5"/>
    <n v="65807"/>
    <x v="0"/>
    <s v="OFF-PA-10001970"/>
    <x v="0"/>
    <x v="9"/>
    <s v="Xerox 1881"/>
    <n v="85.96"/>
  </r>
  <r>
    <n v="4561"/>
    <s v="CA-2016-118871"/>
    <d v="2016-12-04T00:00:00"/>
    <d v="2016-12-09T00:00:00"/>
    <x v="1"/>
    <x v="7"/>
    <n v="12"/>
    <n v="5"/>
    <s v="Second Class"/>
    <s v="HM-14860"/>
    <x v="449"/>
    <x v="1"/>
    <s v="United States"/>
    <x v="11"/>
    <x v="7"/>
    <n v="90049"/>
    <x v="3"/>
    <s v="OFF-EN-10003296"/>
    <x v="0"/>
    <x v="14"/>
    <s v="Tyvek Side-Opening Peel &amp; Seel Expanding Envelopes"/>
    <n v="271.44"/>
  </r>
  <r>
    <n v="3677"/>
    <s v="CA-2016-156440"/>
    <d v="2016-12-05T00:00:00"/>
    <d v="2016-12-09T00:00:00"/>
    <x v="1"/>
    <x v="7"/>
    <n v="12"/>
    <n v="4"/>
    <s v="Standard Class"/>
    <s v="MH-17620"/>
    <x v="450"/>
    <x v="1"/>
    <s v="United States"/>
    <x v="48"/>
    <x v="7"/>
    <n v="92105"/>
    <x v="3"/>
    <s v="FUR-FU-10004090"/>
    <x v="1"/>
    <x v="1"/>
    <s v="Executive Impressions 14&quot; Contract Wall Clock"/>
    <n v="44.46"/>
  </r>
  <r>
    <n v="4977"/>
    <s v="CA-2016-165050"/>
    <d v="2016-12-07T00:00:00"/>
    <d v="2016-12-09T00:00:00"/>
    <x v="1"/>
    <x v="7"/>
    <n v="12"/>
    <n v="2"/>
    <s v="First Class"/>
    <s v="AH-10210"/>
    <x v="451"/>
    <x v="0"/>
    <s v="United States"/>
    <x v="10"/>
    <x v="8"/>
    <n v="10024"/>
    <x v="1"/>
    <s v="OFF-BI-10001031"/>
    <x v="0"/>
    <x v="6"/>
    <s v="Pressboard Data Binders by Wilson Jones"/>
    <n v="21.36"/>
  </r>
  <r>
    <n v="3420"/>
    <s v="CA-2016-150791"/>
    <d v="2016-09-06T00:00:00"/>
    <d v="2016-09-13T00:00:00"/>
    <x v="1"/>
    <x v="4"/>
    <n v="9"/>
    <n v="7"/>
    <s v="Standard Class"/>
    <s v="CC-12430"/>
    <x v="452"/>
    <x v="2"/>
    <s v="United States"/>
    <x v="10"/>
    <x v="8"/>
    <n v="10024"/>
    <x v="1"/>
    <s v="FUR-CH-10000665"/>
    <x v="1"/>
    <x v="5"/>
    <s v="Global Airflow Leather Mesh Back Chair, Black"/>
    <n v="271.76400000000001"/>
  </r>
  <r>
    <n v="3466"/>
    <s v="US-2016-147242"/>
    <d v="2016-09-10T00:00:00"/>
    <d v="2016-09-14T00:00:00"/>
    <x v="1"/>
    <x v="4"/>
    <n v="9"/>
    <n v="4"/>
    <s v="Standard Class"/>
    <s v="EH-13765"/>
    <x v="453"/>
    <x v="1"/>
    <s v="United States"/>
    <x v="51"/>
    <x v="9"/>
    <n v="2151"/>
    <x v="1"/>
    <s v="OFF-AP-10003842"/>
    <x v="0"/>
    <x v="4"/>
    <s v="Euro-Pro Shark Turbo Vacuum"/>
    <n v="61.96"/>
  </r>
  <r>
    <n v="7724"/>
    <s v="CA-2016-139374"/>
    <d v="2016-09-10T00:00:00"/>
    <d v="2016-09-14T00:00:00"/>
    <x v="1"/>
    <x v="4"/>
    <n v="9"/>
    <n v="4"/>
    <s v="Standard Class"/>
    <s v="AR-10345"/>
    <x v="454"/>
    <x v="1"/>
    <s v="United States"/>
    <x v="24"/>
    <x v="0"/>
    <n v="78745"/>
    <x v="0"/>
    <s v="FUR-CH-10003981"/>
    <x v="1"/>
    <x v="5"/>
    <s v="Global Commerce Series Low-Back Swivel/Tilt Chairs"/>
    <n v="179.886"/>
  </r>
  <r>
    <n v="7205"/>
    <s v="CA-2016-136658"/>
    <d v="2016-09-10T00:00:00"/>
    <d v="2016-09-17T00:00:00"/>
    <x v="1"/>
    <x v="4"/>
    <n v="9"/>
    <n v="7"/>
    <s v="Standard Class"/>
    <s v="BO-11425"/>
    <x v="455"/>
    <x v="0"/>
    <s v="United States"/>
    <x v="10"/>
    <x v="8"/>
    <n v="10024"/>
    <x v="1"/>
    <s v="OFF-AR-10000817"/>
    <x v="0"/>
    <x v="0"/>
    <s v="Manco Dry-Lighter Erasable Highlighter"/>
    <n v="6.08"/>
  </r>
  <r>
    <n v="9056"/>
    <s v="CA-2016-128993"/>
    <d v="2016-09-12T00:00:00"/>
    <d v="2016-09-17T00:00:00"/>
    <x v="1"/>
    <x v="4"/>
    <n v="9"/>
    <n v="5"/>
    <s v="Second Class"/>
    <s v="CC-12670"/>
    <x v="456"/>
    <x v="0"/>
    <s v="United States"/>
    <x v="49"/>
    <x v="24"/>
    <n v="98103"/>
    <x v="3"/>
    <s v="TEC-AC-10004209"/>
    <x v="2"/>
    <x v="3"/>
    <s v="Memorex Froggy Flash Drive 4 GB"/>
    <n v="21.98"/>
  </r>
  <r>
    <n v="8861"/>
    <s v="CA-2016-125934"/>
    <d v="2016-09-11T00:00:00"/>
    <d v="2016-09-18T00:00:00"/>
    <x v="1"/>
    <x v="4"/>
    <n v="9"/>
    <n v="7"/>
    <s v="Standard Class"/>
    <s v="SN-20560"/>
    <x v="457"/>
    <x v="2"/>
    <s v="United States"/>
    <x v="175"/>
    <x v="22"/>
    <n v="7501"/>
    <x v="1"/>
    <s v="OFF-LA-10000414"/>
    <x v="0"/>
    <x v="2"/>
    <s v="Avery 503"/>
    <n v="31.05"/>
  </r>
  <r>
    <n v="8375"/>
    <s v="CA-2016-158701"/>
    <d v="2016-01-05T00:00:00"/>
    <d v="2016-01-10T00:00:00"/>
    <x v="1"/>
    <x v="0"/>
    <n v="1"/>
    <n v="5"/>
    <s v="Standard Class"/>
    <s v="JL-15175"/>
    <x v="458"/>
    <x v="2"/>
    <s v="United States"/>
    <x v="9"/>
    <x v="7"/>
    <n v="94110"/>
    <x v="3"/>
    <s v="OFF-AP-10004859"/>
    <x v="0"/>
    <x v="4"/>
    <s v="Acco 6 Outlet Guardian Premium Surge Suppressor"/>
    <n v="87.36"/>
  </r>
  <r>
    <n v="6446"/>
    <s v="CA-2016-151785"/>
    <d v="2016-03-05T00:00:00"/>
    <d v="2016-03-10T00:00:00"/>
    <x v="1"/>
    <x v="8"/>
    <n v="3"/>
    <n v="5"/>
    <s v="Standard Class"/>
    <s v="JJ-15445"/>
    <x v="459"/>
    <x v="0"/>
    <s v="United States"/>
    <x v="19"/>
    <x v="14"/>
    <n v="60623"/>
    <x v="0"/>
    <s v="OFF-FA-10000611"/>
    <x v="0"/>
    <x v="10"/>
    <s v="Binder Clips by OIC"/>
    <n v="7.1040000000000001"/>
  </r>
  <r>
    <n v="6343"/>
    <s v="CA-2016-146255"/>
    <d v="2016-03-07T00:00:00"/>
    <d v="2016-03-10T00:00:00"/>
    <x v="1"/>
    <x v="8"/>
    <n v="3"/>
    <n v="3"/>
    <s v="First Class"/>
    <s v="EM-14140"/>
    <x v="460"/>
    <x v="2"/>
    <s v="United States"/>
    <x v="81"/>
    <x v="1"/>
    <n v="19711"/>
    <x v="1"/>
    <s v="TEC-AC-10004469"/>
    <x v="2"/>
    <x v="3"/>
    <s v="Microsoft Sculpt Comfort Mouse"/>
    <n v="119.85"/>
  </r>
  <r>
    <n v="119"/>
    <s v="US-2016-136476"/>
    <d v="2016-04-05T00:00:00"/>
    <d v="2016-04-10T00:00:00"/>
    <x v="1"/>
    <x v="9"/>
    <n v="4"/>
    <n v="5"/>
    <s v="Standard Class"/>
    <s v="GG-14650"/>
    <x v="461"/>
    <x v="1"/>
    <s v="United States"/>
    <x v="176"/>
    <x v="33"/>
    <n v="37620"/>
    <x v="2"/>
    <s v="OFF-BI-10003650"/>
    <x v="0"/>
    <x v="6"/>
    <s v="GBC DocuBind 300 Electric Binding Machine"/>
    <n v="157.79400000000001"/>
  </r>
  <r>
    <n v="2525"/>
    <s v="CA-2016-124541"/>
    <d v="2016-04-06T00:00:00"/>
    <d v="2016-04-10T00:00:00"/>
    <x v="1"/>
    <x v="9"/>
    <n v="4"/>
    <n v="4"/>
    <s v="Standard Class"/>
    <s v="TT-21220"/>
    <x v="462"/>
    <x v="0"/>
    <s v="United States"/>
    <x v="13"/>
    <x v="0"/>
    <n v="77041"/>
    <x v="0"/>
    <s v="OFF-AR-10004078"/>
    <x v="0"/>
    <x v="0"/>
    <s v="Newell 312"/>
    <n v="42.048000000000002"/>
  </r>
  <r>
    <n v="6559"/>
    <s v="CA-2016-166947"/>
    <d v="2016-06-05T00:00:00"/>
    <d v="2016-06-10T00:00:00"/>
    <x v="1"/>
    <x v="11"/>
    <n v="6"/>
    <n v="5"/>
    <s v="Standard Class"/>
    <s v="EB-13750"/>
    <x v="463"/>
    <x v="1"/>
    <s v="United States"/>
    <x v="114"/>
    <x v="8"/>
    <n v="14215"/>
    <x v="1"/>
    <s v="FUR-CH-10004997"/>
    <x v="1"/>
    <x v="5"/>
    <s v="Hon Every-Day Series Multi-Task Chairs"/>
    <n v="1522.6379999999999"/>
  </r>
  <r>
    <n v="3003"/>
    <s v="CA-2016-130610"/>
    <d v="2016-07-05T00:00:00"/>
    <d v="2016-07-10T00:00:00"/>
    <x v="1"/>
    <x v="10"/>
    <n v="7"/>
    <n v="5"/>
    <s v="Standard Class"/>
    <s v="VP-21730"/>
    <x v="464"/>
    <x v="2"/>
    <s v="United States"/>
    <x v="177"/>
    <x v="11"/>
    <n v="48310"/>
    <x v="0"/>
    <s v="OFF-BI-10003655"/>
    <x v="0"/>
    <x v="6"/>
    <s v="Durable Pressboard Binders"/>
    <n v="19"/>
  </r>
  <r>
    <n v="4405"/>
    <s v="CA-2016-164336"/>
    <d v="2016-07-05T00:00:00"/>
    <d v="2016-07-10T00:00:00"/>
    <x v="1"/>
    <x v="10"/>
    <n v="7"/>
    <n v="5"/>
    <s v="Standard Class"/>
    <s v="MW-18220"/>
    <x v="465"/>
    <x v="0"/>
    <s v="United States"/>
    <x v="41"/>
    <x v="23"/>
    <n v="19140"/>
    <x v="1"/>
    <s v="TEC-AC-10002345"/>
    <x v="2"/>
    <x v="3"/>
    <s v="HP Standard 104 key PS/2 Keyboard"/>
    <n v="34.799999999999997"/>
  </r>
  <r>
    <n v="1017"/>
    <s v="CA-2016-108665"/>
    <d v="2016-07-06T00:00:00"/>
    <d v="2016-07-10T00:00:00"/>
    <x v="1"/>
    <x v="10"/>
    <n v="7"/>
    <n v="4"/>
    <s v="Standard Class"/>
    <s v="KM-16225"/>
    <x v="466"/>
    <x v="1"/>
    <s v="United States"/>
    <x v="10"/>
    <x v="8"/>
    <n v="10011"/>
    <x v="1"/>
    <s v="FUR-FU-10002191"/>
    <x v="1"/>
    <x v="1"/>
    <s v="G.E. Halogen Desk Lamp Bulbs"/>
    <n v="13.96"/>
  </r>
  <r>
    <n v="9542"/>
    <s v="CA-2016-135251"/>
    <d v="2016-08-06T00:00:00"/>
    <d v="2016-08-10T00:00:00"/>
    <x v="1"/>
    <x v="3"/>
    <n v="8"/>
    <n v="4"/>
    <s v="Standard Class"/>
    <s v="RP-19270"/>
    <x v="467"/>
    <x v="1"/>
    <s v="United States"/>
    <x v="13"/>
    <x v="0"/>
    <n v="77095"/>
    <x v="0"/>
    <s v="OFF-LA-10004544"/>
    <x v="0"/>
    <x v="2"/>
    <s v="Avery 505"/>
    <n v="35.520000000000003"/>
  </r>
  <r>
    <n v="6661"/>
    <s v="CA-2016-129322"/>
    <d v="2016-08-08T00:00:00"/>
    <d v="2016-08-10T00:00:00"/>
    <x v="1"/>
    <x v="3"/>
    <n v="8"/>
    <n v="2"/>
    <s v="Second Class"/>
    <s v="DB-13405"/>
    <x v="468"/>
    <x v="0"/>
    <s v="United States"/>
    <x v="131"/>
    <x v="9"/>
    <n v="1841"/>
    <x v="1"/>
    <s v="OFF-AR-10004587"/>
    <x v="0"/>
    <x v="0"/>
    <s v="Boston 1827 Commercial Additional Cutter, Drive Gear &amp; Gear Rack for 1606"/>
    <n v="39.659999999999997"/>
  </r>
  <r>
    <n v="5282"/>
    <s v="CA-2016-105158"/>
    <d v="2016-09-05T00:00:00"/>
    <d v="2016-09-10T00:00:00"/>
    <x v="1"/>
    <x v="4"/>
    <n v="9"/>
    <n v="5"/>
    <s v="Standard Class"/>
    <s v="SP-20860"/>
    <x v="469"/>
    <x v="1"/>
    <s v="United States"/>
    <x v="109"/>
    <x v="26"/>
    <n v="55901"/>
    <x v="0"/>
    <s v="FUR-FU-10001706"/>
    <x v="1"/>
    <x v="1"/>
    <s v="Longer-Life Soft White Bulbs"/>
    <n v="6.16"/>
  </r>
  <r>
    <n v="1529"/>
    <s v="CA-2016-148432"/>
    <d v="2016-11-07T00:00:00"/>
    <d v="2016-11-10T00:00:00"/>
    <x v="1"/>
    <x v="6"/>
    <n v="11"/>
    <n v="3"/>
    <s v="Second Class"/>
    <s v="MC-18130"/>
    <x v="470"/>
    <x v="1"/>
    <s v="United States"/>
    <x v="81"/>
    <x v="1"/>
    <n v="19711"/>
    <x v="1"/>
    <s v="OFF-FA-10004968"/>
    <x v="0"/>
    <x v="10"/>
    <s v="Rubber Band Ball"/>
    <n v="26.18"/>
  </r>
  <r>
    <n v="2260"/>
    <s v="CA-2016-117611"/>
    <d v="2016-11-08T00:00:00"/>
    <d v="2016-11-10T00:00:00"/>
    <x v="1"/>
    <x v="6"/>
    <n v="11"/>
    <n v="2"/>
    <s v="Second Class"/>
    <s v="MZ-17335"/>
    <x v="471"/>
    <x v="2"/>
    <s v="United States"/>
    <x v="48"/>
    <x v="7"/>
    <n v="92024"/>
    <x v="3"/>
    <s v="OFF-FA-10002280"/>
    <x v="0"/>
    <x v="10"/>
    <s v="Advantus Plastic Paper Clips"/>
    <n v="5"/>
  </r>
  <r>
    <n v="3374"/>
    <s v="CA-2016-161718"/>
    <d v="2016-12-04T00:00:00"/>
    <d v="2016-12-10T00:00:00"/>
    <x v="1"/>
    <x v="7"/>
    <n v="12"/>
    <n v="6"/>
    <s v="Standard Class"/>
    <s v="SO-20335"/>
    <x v="472"/>
    <x v="0"/>
    <s v="United States"/>
    <x v="178"/>
    <x v="8"/>
    <n v="11550"/>
    <x v="1"/>
    <s v="FUR-FU-10002445"/>
    <x v="1"/>
    <x v="1"/>
    <s v="DAX Two-Tone Rosewood/Black Document Frame, Desktop, 5 x 7"/>
    <n v="28.44"/>
  </r>
  <r>
    <n v="6454"/>
    <s v="CA-2016-125710"/>
    <d v="2016-10-08T00:00:00"/>
    <d v="2016-10-13T00:00:00"/>
    <x v="1"/>
    <x v="5"/>
    <n v="10"/>
    <n v="5"/>
    <s v="Standard Class"/>
    <s v="BT-11680"/>
    <x v="473"/>
    <x v="0"/>
    <s v="United States"/>
    <x v="13"/>
    <x v="0"/>
    <n v="77036"/>
    <x v="0"/>
    <s v="OFF-AR-10000657"/>
    <x v="0"/>
    <x v="0"/>
    <s v="Binney &amp; Smith inkTank Desk Highlighter, Chisel Tip, Yellow, 12/Box"/>
    <n v="3.44"/>
  </r>
  <r>
    <n v="8134"/>
    <s v="CA-2016-131352"/>
    <d v="2016-10-08T00:00:00"/>
    <d v="2016-10-13T00:00:00"/>
    <x v="1"/>
    <x v="5"/>
    <n v="10"/>
    <n v="5"/>
    <s v="Standard Class"/>
    <s v="GH-14485"/>
    <x v="474"/>
    <x v="1"/>
    <s v="United States"/>
    <x v="74"/>
    <x v="0"/>
    <n v="75081"/>
    <x v="0"/>
    <s v="FUR-FU-10003708"/>
    <x v="1"/>
    <x v="1"/>
    <s v="Tenex Traditional Chairmats for Medium Pile Carpet, Standard Lip, 36&quot; x 48&quot;"/>
    <n v="72.78"/>
  </r>
  <r>
    <n v="7312"/>
    <s v="CA-2016-162761"/>
    <d v="2016-10-09T00:00:00"/>
    <d v="2016-10-13T00:00:00"/>
    <x v="1"/>
    <x v="5"/>
    <n v="10"/>
    <n v="4"/>
    <s v="Standard Class"/>
    <s v="SC-20575"/>
    <x v="475"/>
    <x v="0"/>
    <s v="United States"/>
    <x v="21"/>
    <x v="12"/>
    <n v="33178"/>
    <x v="2"/>
    <s v="OFF-BI-10000145"/>
    <x v="0"/>
    <x v="6"/>
    <s v="Zipper Ring Binder Pockets"/>
    <n v="1.8720000000000001"/>
  </r>
  <r>
    <n v="9263"/>
    <s v="CA-2016-124499"/>
    <d v="2016-10-09T00:00:00"/>
    <d v="2016-10-13T00:00:00"/>
    <x v="1"/>
    <x v="5"/>
    <n v="10"/>
    <n v="4"/>
    <s v="Standard Class"/>
    <s v="FM-14380"/>
    <x v="476"/>
    <x v="0"/>
    <s v="United States"/>
    <x v="55"/>
    <x v="11"/>
    <n v="48227"/>
    <x v="0"/>
    <s v="FUR-CH-10000513"/>
    <x v="1"/>
    <x v="5"/>
    <s v="High-Back Leather Manager's Chair"/>
    <n v="389.97"/>
  </r>
  <r>
    <n v="2117"/>
    <s v="CA-2016-159786"/>
    <d v="2016-10-12T00:00:00"/>
    <d v="2016-10-17T00:00:00"/>
    <x v="1"/>
    <x v="5"/>
    <n v="10"/>
    <n v="5"/>
    <s v="Second Class"/>
    <s v="RK-19300"/>
    <x v="477"/>
    <x v="0"/>
    <s v="United States"/>
    <x v="109"/>
    <x v="8"/>
    <n v="14609"/>
    <x v="1"/>
    <s v="FUR-TA-10001307"/>
    <x v="1"/>
    <x v="12"/>
    <s v="SAFCO PlanMaster Heigh-Adjustable Drafting Table Base, 43w x 30d x 30-37h, Black"/>
    <n v="209.67"/>
  </r>
  <r>
    <n v="6390"/>
    <s v="CA-2016-147529"/>
    <d v="2016-02-07T00:00:00"/>
    <d v="2016-02-11T00:00:00"/>
    <x v="1"/>
    <x v="2"/>
    <n v="2"/>
    <n v="4"/>
    <s v="Standard Class"/>
    <s v="DK-12835"/>
    <x v="478"/>
    <x v="1"/>
    <s v="United States"/>
    <x v="2"/>
    <x v="2"/>
    <n v="22153"/>
    <x v="2"/>
    <s v="OFF-EN-10000056"/>
    <x v="0"/>
    <x v="14"/>
    <s v="Cameo Buff Policy Envelopes"/>
    <n v="311.14999999999998"/>
  </r>
  <r>
    <n v="7370"/>
    <s v="CA-2016-110345"/>
    <d v="2016-03-09T00:00:00"/>
    <d v="2016-03-11T00:00:00"/>
    <x v="1"/>
    <x v="8"/>
    <n v="3"/>
    <n v="2"/>
    <s v="Second Class"/>
    <s v="TG-21310"/>
    <x v="479"/>
    <x v="0"/>
    <s v="United States"/>
    <x v="144"/>
    <x v="18"/>
    <n v="27604"/>
    <x v="2"/>
    <s v="OFF-LA-10001175"/>
    <x v="0"/>
    <x v="2"/>
    <s v="Avery 514"/>
    <n v="4.6079999999999997"/>
  </r>
  <r>
    <n v="7646"/>
    <s v="CA-2016-161452"/>
    <d v="2016-04-05T00:00:00"/>
    <d v="2016-04-11T00:00:00"/>
    <x v="1"/>
    <x v="9"/>
    <n v="4"/>
    <n v="6"/>
    <s v="Standard Class"/>
    <s v="CA-11965"/>
    <x v="480"/>
    <x v="1"/>
    <s v="United States"/>
    <x v="11"/>
    <x v="7"/>
    <n v="90036"/>
    <x v="3"/>
    <s v="FUR-CH-10003973"/>
    <x v="1"/>
    <x v="5"/>
    <s v="GuestStacker Chair with Chrome Finish Legs"/>
    <n v="892.22400000000005"/>
  </r>
  <r>
    <n v="6595"/>
    <s v="CA-2016-146290"/>
    <d v="2016-05-04T00:00:00"/>
    <d v="2016-05-11T00:00:00"/>
    <x v="1"/>
    <x v="1"/>
    <n v="5"/>
    <n v="7"/>
    <s v="Standard Class"/>
    <s v="SV-20815"/>
    <x v="481"/>
    <x v="1"/>
    <s v="United States"/>
    <x v="179"/>
    <x v="40"/>
    <n v="46203"/>
    <x v="0"/>
    <s v="OFF-AR-10001897"/>
    <x v="0"/>
    <x v="0"/>
    <s v="Model L Table or Wall-Mount Pencil Sharpener"/>
    <n v="125.93"/>
  </r>
  <r>
    <n v="5671"/>
    <s v="CA-2016-141012"/>
    <d v="2016-06-09T00:00:00"/>
    <d v="2016-06-11T00:00:00"/>
    <x v="1"/>
    <x v="11"/>
    <n v="6"/>
    <n v="2"/>
    <s v="Second Class"/>
    <s v="TG-21640"/>
    <x v="482"/>
    <x v="0"/>
    <s v="United States"/>
    <x v="180"/>
    <x v="16"/>
    <n v="83201"/>
    <x v="3"/>
    <s v="FUR-FU-10003192"/>
    <x v="1"/>
    <x v="1"/>
    <s v="Luxo Adjustable Task Clamp Lamp"/>
    <n v="355.36"/>
  </r>
  <r>
    <n v="5164"/>
    <s v="CA-2016-161627"/>
    <d v="2016-07-06T00:00:00"/>
    <d v="2016-07-11T00:00:00"/>
    <x v="1"/>
    <x v="10"/>
    <n v="7"/>
    <n v="5"/>
    <s v="Standard Class"/>
    <s v="SJ-20215"/>
    <x v="483"/>
    <x v="0"/>
    <s v="United States"/>
    <x v="120"/>
    <x v="7"/>
    <n v="91104"/>
    <x v="3"/>
    <s v="FUR-CH-10003968"/>
    <x v="1"/>
    <x v="5"/>
    <s v="Novimex Turbo Task Chair"/>
    <n v="170.352"/>
  </r>
  <r>
    <n v="4466"/>
    <s v="CA-2016-163895"/>
    <d v="2016-08-07T00:00:00"/>
    <d v="2016-08-11T00:00:00"/>
    <x v="1"/>
    <x v="3"/>
    <n v="8"/>
    <n v="4"/>
    <s v="Standard Class"/>
    <s v="NS-18640"/>
    <x v="484"/>
    <x v="1"/>
    <s v="United States"/>
    <x v="181"/>
    <x v="16"/>
    <n v="83704"/>
    <x v="3"/>
    <s v="OFF-BI-10004970"/>
    <x v="0"/>
    <x v="6"/>
    <s v="ACCOHIDE 3-Ring Binder, Blue, 1&quot;"/>
    <n v="3.3039999999999998"/>
  </r>
  <r>
    <n v="4488"/>
    <s v="CA-2016-162621"/>
    <d v="2016-09-05T00:00:00"/>
    <d v="2016-09-11T00:00:00"/>
    <x v="1"/>
    <x v="4"/>
    <n v="9"/>
    <n v="6"/>
    <s v="Standard Class"/>
    <s v="CA-12055"/>
    <x v="485"/>
    <x v="2"/>
    <s v="United States"/>
    <x v="13"/>
    <x v="0"/>
    <n v="77036"/>
    <x v="0"/>
    <s v="OFF-BI-10000962"/>
    <x v="0"/>
    <x v="6"/>
    <s v="Acco Flexible ACCOHIDE Square Ring Data Binder, Dark Blue, 11 1/2&quot; X 14&quot; 7/8&quot;"/>
    <n v="16.27"/>
  </r>
  <r>
    <n v="2806"/>
    <s v="CA-2016-122623"/>
    <d v="2016-09-07T00:00:00"/>
    <d v="2016-09-11T00:00:00"/>
    <x v="1"/>
    <x v="4"/>
    <n v="9"/>
    <n v="4"/>
    <s v="Standard Class"/>
    <s v="CC-12145"/>
    <x v="486"/>
    <x v="0"/>
    <s v="United States"/>
    <x v="28"/>
    <x v="0"/>
    <n v="79907"/>
    <x v="0"/>
    <s v="FUR-CH-10000553"/>
    <x v="1"/>
    <x v="5"/>
    <s v="Metal Folding Chairs, Beige, 4/Carton"/>
    <n v="47.515999999999998"/>
  </r>
  <r>
    <n v="6048"/>
    <s v="CA-2016-105571"/>
    <d v="2016-11-07T00:00:00"/>
    <d v="2016-11-11T00:00:00"/>
    <x v="1"/>
    <x v="6"/>
    <n v="11"/>
    <n v="4"/>
    <s v="Standard Class"/>
    <s v="CP-12340"/>
    <x v="487"/>
    <x v="1"/>
    <s v="United States"/>
    <x v="21"/>
    <x v="12"/>
    <n v="33142"/>
    <x v="2"/>
    <s v="OFF-BI-10003305"/>
    <x v="0"/>
    <x v="6"/>
    <s v="Avery Hanging File Binders"/>
    <n v="16.146000000000001"/>
  </r>
  <r>
    <n v="1522"/>
    <s v="CA-2016-144806"/>
    <d v="2016-12-06T00:00:00"/>
    <d v="2016-12-11T00:00:00"/>
    <x v="1"/>
    <x v="7"/>
    <n v="12"/>
    <n v="5"/>
    <s v="Standard Class"/>
    <s v="GH-14425"/>
    <x v="488"/>
    <x v="0"/>
    <s v="United States"/>
    <x v="182"/>
    <x v="15"/>
    <n v="85705"/>
    <x v="3"/>
    <s v="FUR-FU-10002253"/>
    <x v="1"/>
    <x v="1"/>
    <s v="Howard Miller 13&quot; Diameter Pewter Finish Round Wall Clock"/>
    <n v="206.11199999999999"/>
  </r>
  <r>
    <n v="2379"/>
    <s v="CA-2016-148628"/>
    <d v="2016-12-06T00:00:00"/>
    <d v="2016-12-11T00:00:00"/>
    <x v="1"/>
    <x v="7"/>
    <n v="12"/>
    <n v="5"/>
    <s v="Standard Class"/>
    <s v="KM-16375"/>
    <x v="489"/>
    <x v="2"/>
    <s v="United States"/>
    <x v="183"/>
    <x v="7"/>
    <n v="91360"/>
    <x v="3"/>
    <s v="OFF-PA-10003883"/>
    <x v="0"/>
    <x v="9"/>
    <s v="Message Book, Phone, Wirebound Standard Line Memo, 2 3/4&quot; X 5&quot;"/>
    <n v="32.75"/>
  </r>
  <r>
    <n v="5609"/>
    <s v="CA-2016-168634"/>
    <d v="2016-12-06T00:00:00"/>
    <d v="2016-12-11T00:00:00"/>
    <x v="1"/>
    <x v="7"/>
    <n v="12"/>
    <n v="5"/>
    <s v="Standard Class"/>
    <s v="AF-10870"/>
    <x v="490"/>
    <x v="0"/>
    <s v="United States"/>
    <x v="9"/>
    <x v="7"/>
    <n v="94109"/>
    <x v="3"/>
    <s v="OFF-AP-10001626"/>
    <x v="0"/>
    <x v="4"/>
    <s v="Commercial WindTunnel Clean Air Upright Vacuum, Replacement Belts, Filtration Bags"/>
    <n v="7.78"/>
  </r>
  <r>
    <n v="1756"/>
    <s v="CA-2016-135622"/>
    <d v="2016-12-08T00:00:00"/>
    <d v="2016-12-11T00:00:00"/>
    <x v="1"/>
    <x v="7"/>
    <n v="12"/>
    <n v="3"/>
    <s v="Second Class"/>
    <s v="TT-21460"/>
    <x v="491"/>
    <x v="2"/>
    <s v="United States"/>
    <x v="46"/>
    <x v="0"/>
    <n v="76106"/>
    <x v="0"/>
    <s v="OFF-PA-10000100"/>
    <x v="0"/>
    <x v="9"/>
    <s v="Xerox 1945"/>
    <n v="360.71199999999999"/>
  </r>
  <r>
    <n v="2012"/>
    <s v="CA-2016-155761"/>
    <d v="2016-12-11T00:00:00"/>
    <d v="2016-12-11T00:00:00"/>
    <x v="1"/>
    <x v="7"/>
    <n v="12"/>
    <n v="0"/>
    <s v="Same Day"/>
    <s v="SC-20800"/>
    <x v="492"/>
    <x v="0"/>
    <s v="United States"/>
    <x v="13"/>
    <x v="0"/>
    <n v="77041"/>
    <x v="0"/>
    <s v="TEC-AC-10001606"/>
    <x v="2"/>
    <x v="3"/>
    <s v="Logitech Wireless Performance Mouse MX for PC and Mac"/>
    <n v="159.98400000000001"/>
  </r>
  <r>
    <n v="7905"/>
    <s v="CA-2016-126669"/>
    <d v="2016-11-07T00:00:00"/>
    <d v="2016-11-13T00:00:00"/>
    <x v="1"/>
    <x v="6"/>
    <n v="11"/>
    <n v="6"/>
    <s v="Standard Class"/>
    <s v="DO-13645"/>
    <x v="493"/>
    <x v="0"/>
    <s v="United States"/>
    <x v="13"/>
    <x v="0"/>
    <n v="77036"/>
    <x v="0"/>
    <s v="OFF-PA-10001357"/>
    <x v="0"/>
    <x v="9"/>
    <s v="Xerox 1886"/>
    <n v="76.64"/>
  </r>
  <r>
    <n v="3025"/>
    <s v="CA-2016-164441"/>
    <d v="2016-11-08T00:00:00"/>
    <d v="2016-11-13T00:00:00"/>
    <x v="1"/>
    <x v="6"/>
    <n v="11"/>
    <n v="5"/>
    <s v="Standard Class"/>
    <s v="AC-10450"/>
    <x v="494"/>
    <x v="0"/>
    <s v="United States"/>
    <x v="10"/>
    <x v="8"/>
    <n v="10011"/>
    <x v="1"/>
    <s v="OFF-BI-10001922"/>
    <x v="0"/>
    <x v="6"/>
    <s v="Storex Dura Pro Binders"/>
    <n v="52.271999999999998"/>
  </r>
  <r>
    <n v="4569"/>
    <s v="CA-2016-111990"/>
    <d v="2016-11-08T00:00:00"/>
    <d v="2016-11-13T00:00:00"/>
    <x v="1"/>
    <x v="6"/>
    <n v="11"/>
    <n v="5"/>
    <s v="Standard Class"/>
    <s v="DB-13660"/>
    <x v="495"/>
    <x v="0"/>
    <s v="United States"/>
    <x v="13"/>
    <x v="0"/>
    <n v="77095"/>
    <x v="0"/>
    <s v="OFF-BI-10003291"/>
    <x v="0"/>
    <x v="6"/>
    <s v="Wilson Jones Leather-Like Binders with DublLock Round Rings"/>
    <n v="10.476000000000001"/>
  </r>
  <r>
    <n v="1988"/>
    <s v="CA-2016-127509"/>
    <d v="2016-11-09T00:00:00"/>
    <d v="2016-11-13T00:00:00"/>
    <x v="1"/>
    <x v="6"/>
    <n v="11"/>
    <n v="4"/>
    <s v="Standard Class"/>
    <s v="AS-10090"/>
    <x v="496"/>
    <x v="0"/>
    <s v="United States"/>
    <x v="2"/>
    <x v="5"/>
    <n v="65807"/>
    <x v="0"/>
    <s v="OFF-BI-10002393"/>
    <x v="0"/>
    <x v="6"/>
    <s v="Binder Posts"/>
    <n v="17.22"/>
  </r>
  <r>
    <n v="6947"/>
    <s v="CA-2016-126466"/>
    <d v="2016-11-09T00:00:00"/>
    <d v="2016-11-13T00:00:00"/>
    <x v="1"/>
    <x v="6"/>
    <n v="11"/>
    <n v="4"/>
    <s v="Standard Class"/>
    <s v="JO-15550"/>
    <x v="497"/>
    <x v="2"/>
    <s v="United States"/>
    <x v="184"/>
    <x v="7"/>
    <n v="95661"/>
    <x v="3"/>
    <s v="OFF-FA-10000490"/>
    <x v="0"/>
    <x v="10"/>
    <s v="OIC Binder Clips, Mini, 1/4&quot; Capacity, Black"/>
    <n v="2.48"/>
  </r>
  <r>
    <n v="1918"/>
    <s v="CA-2016-105634"/>
    <d v="2016-11-08T00:00:00"/>
    <d v="2016-11-14T00:00:00"/>
    <x v="1"/>
    <x v="6"/>
    <n v="11"/>
    <n v="6"/>
    <s v="Standard Class"/>
    <s v="HA-14905"/>
    <x v="498"/>
    <x v="0"/>
    <s v="United States"/>
    <x v="168"/>
    <x v="9"/>
    <n v="2038"/>
    <x v="1"/>
    <s v="OFF-AR-10001573"/>
    <x v="0"/>
    <x v="0"/>
    <s v="American Pencil"/>
    <n v="11.65"/>
  </r>
  <r>
    <n v="5339"/>
    <s v="CA-2016-146486"/>
    <d v="2016-11-09T00:00:00"/>
    <d v="2016-11-14T00:00:00"/>
    <x v="1"/>
    <x v="6"/>
    <n v="11"/>
    <n v="5"/>
    <s v="Second Class"/>
    <s v="DV-13465"/>
    <x v="499"/>
    <x v="0"/>
    <s v="United States"/>
    <x v="185"/>
    <x v="8"/>
    <n v="11572"/>
    <x v="1"/>
    <s v="OFF-ST-10002554"/>
    <x v="0"/>
    <x v="11"/>
    <s v="Tennsco Industrial Shelving"/>
    <n v="244.55"/>
  </r>
  <r>
    <n v="5006"/>
    <s v="CA-2016-158659"/>
    <d v="2016-11-10T00:00:00"/>
    <d v="2016-11-14T00:00:00"/>
    <x v="1"/>
    <x v="6"/>
    <n v="11"/>
    <n v="4"/>
    <s v="Second Class"/>
    <s v="SC-20695"/>
    <x v="500"/>
    <x v="1"/>
    <s v="United States"/>
    <x v="15"/>
    <x v="40"/>
    <n v="47374"/>
    <x v="0"/>
    <s v="OFF-ST-10003306"/>
    <x v="0"/>
    <x v="11"/>
    <s v="Letter Size Cart"/>
    <n v="714.3"/>
  </r>
  <r>
    <n v="5849"/>
    <s v="CA-2016-121783"/>
    <d v="2016-11-10T00:00:00"/>
    <d v="2016-11-14T00:00:00"/>
    <x v="1"/>
    <x v="6"/>
    <n v="11"/>
    <n v="4"/>
    <s v="Standard Class"/>
    <s v="PO-19180"/>
    <x v="501"/>
    <x v="2"/>
    <s v="United States"/>
    <x v="184"/>
    <x v="26"/>
    <n v="55113"/>
    <x v="0"/>
    <s v="OFF-AP-10003849"/>
    <x v="0"/>
    <x v="4"/>
    <s v="Hoover Shoulder Vac Commercial Portable Vacuum"/>
    <n v="715.64"/>
  </r>
  <r>
    <n v="2689"/>
    <s v="CA-2016-153220"/>
    <d v="2016-11-12T00:00:00"/>
    <d v="2016-11-14T00:00:00"/>
    <x v="1"/>
    <x v="6"/>
    <n v="11"/>
    <n v="2"/>
    <s v="First Class"/>
    <s v="YC-21895"/>
    <x v="502"/>
    <x v="1"/>
    <s v="United States"/>
    <x v="11"/>
    <x v="7"/>
    <n v="90032"/>
    <x v="3"/>
    <s v="OFF-PA-10003016"/>
    <x v="0"/>
    <x v="9"/>
    <s v="Adams &quot;While You Were Out&quot; Message Pads"/>
    <n v="15.7"/>
  </r>
  <r>
    <n v="9331"/>
    <s v="US-2016-153283"/>
    <d v="2016-11-12T00:00:00"/>
    <d v="2016-11-18T00:00:00"/>
    <x v="1"/>
    <x v="6"/>
    <n v="11"/>
    <n v="6"/>
    <s v="Standard Class"/>
    <s v="EB-14110"/>
    <x v="503"/>
    <x v="0"/>
    <s v="United States"/>
    <x v="10"/>
    <x v="8"/>
    <n v="10035"/>
    <x v="1"/>
    <s v="OFF-EN-10001539"/>
    <x v="0"/>
    <x v="14"/>
    <s v="Staple envelope"/>
    <n v="15.56"/>
  </r>
  <r>
    <n v="4421"/>
    <s v="CA-2016-163090"/>
    <d v="2016-11-17T00:00:00"/>
    <d v="2016-11-21T00:00:00"/>
    <x v="1"/>
    <x v="6"/>
    <n v="11"/>
    <n v="4"/>
    <s v="Second Class"/>
    <s v="GH-14665"/>
    <x v="504"/>
    <x v="0"/>
    <s v="United States"/>
    <x v="19"/>
    <x v="14"/>
    <n v="60610"/>
    <x v="0"/>
    <s v="OFF-SU-10002537"/>
    <x v="0"/>
    <x v="15"/>
    <s v="Acme Box Cutter Scissors"/>
    <n v="40.92"/>
  </r>
  <r>
    <n v="5842"/>
    <s v="CA-2016-126725"/>
    <d v="2016-11-17T00:00:00"/>
    <d v="2016-11-21T00:00:00"/>
    <x v="1"/>
    <x v="6"/>
    <n v="11"/>
    <n v="4"/>
    <s v="Standard Class"/>
    <s v="BS-11665"/>
    <x v="505"/>
    <x v="0"/>
    <s v="United States"/>
    <x v="48"/>
    <x v="7"/>
    <n v="92105"/>
    <x v="3"/>
    <s v="TEC-PH-10003174"/>
    <x v="2"/>
    <x v="8"/>
    <s v="RCA ViSYS 25825 Wireless digital phone"/>
    <n v="415.96800000000002"/>
  </r>
  <r>
    <n v="3995"/>
    <s v="CA-2016-105627"/>
    <d v="2016-03-08T00:00:00"/>
    <d v="2016-03-12T00:00:00"/>
    <x v="1"/>
    <x v="8"/>
    <n v="3"/>
    <n v="4"/>
    <s v="Standard Class"/>
    <s v="DK-12895"/>
    <x v="506"/>
    <x v="0"/>
    <s v="United States"/>
    <x v="186"/>
    <x v="6"/>
    <n v="53142"/>
    <x v="0"/>
    <s v="FUR-BO-10002916"/>
    <x v="1"/>
    <x v="13"/>
    <s v="Rush Hierlooms Collection 1&quot; Thick Stackable Bookcases"/>
    <n v="512.94000000000005"/>
  </r>
  <r>
    <n v="2975"/>
    <s v="CA-2016-137512"/>
    <d v="2016-05-07T00:00:00"/>
    <d v="2016-05-12T00:00:00"/>
    <x v="1"/>
    <x v="1"/>
    <n v="5"/>
    <n v="5"/>
    <s v="Standard Class"/>
    <s v="AG-10675"/>
    <x v="507"/>
    <x v="0"/>
    <s v="United States"/>
    <x v="187"/>
    <x v="0"/>
    <n v="75002"/>
    <x v="0"/>
    <s v="FUR-TA-10001095"/>
    <x v="1"/>
    <x v="12"/>
    <s v="Chromcraft Round Conference Tables"/>
    <n v="244.006"/>
  </r>
  <r>
    <n v="9164"/>
    <s v="CA-2016-164007"/>
    <d v="2016-06-08T00:00:00"/>
    <d v="2016-06-12T00:00:00"/>
    <x v="1"/>
    <x v="11"/>
    <n v="6"/>
    <n v="4"/>
    <s v="Standard Class"/>
    <s v="MG-17695"/>
    <x v="508"/>
    <x v="0"/>
    <s v="United States"/>
    <x v="19"/>
    <x v="14"/>
    <n v="60610"/>
    <x v="0"/>
    <s v="TEC-AC-10003433"/>
    <x v="2"/>
    <x v="3"/>
    <s v="Maxell 4.7GB DVD+R 5/Pack"/>
    <n v="2.3759999999999999"/>
  </r>
  <r>
    <n v="3119"/>
    <s v="CA-2016-121720"/>
    <d v="2016-06-11T00:00:00"/>
    <d v="2016-06-12T00:00:00"/>
    <x v="1"/>
    <x v="11"/>
    <n v="6"/>
    <n v="1"/>
    <s v="First Class"/>
    <s v="JE-15610"/>
    <x v="509"/>
    <x v="1"/>
    <s v="United States"/>
    <x v="17"/>
    <x v="12"/>
    <n v="33801"/>
    <x v="2"/>
    <s v="FUR-CH-10003312"/>
    <x v="1"/>
    <x v="5"/>
    <s v="Hon 2090 â€œPillow Softâ€ Series Mid Back Swivel/Tilt Chairs"/>
    <n v="1123.92"/>
  </r>
  <r>
    <n v="5039"/>
    <s v="CA-2016-136469"/>
    <d v="2016-07-11T00:00:00"/>
    <d v="2016-07-12T00:00:00"/>
    <x v="1"/>
    <x v="10"/>
    <n v="7"/>
    <n v="1"/>
    <s v="First Class"/>
    <s v="TS-21370"/>
    <x v="510"/>
    <x v="1"/>
    <s v="United States"/>
    <x v="63"/>
    <x v="1"/>
    <n v="19805"/>
    <x v="1"/>
    <s v="FUR-TA-10001520"/>
    <x v="1"/>
    <x v="12"/>
    <s v="Lesro Sheffield Collection Coffee Table, End Table, Center Table, Corner Table"/>
    <n v="199.83600000000001"/>
  </r>
  <r>
    <n v="5100"/>
    <s v="CA-2016-141936"/>
    <d v="2016-08-07T00:00:00"/>
    <d v="2016-08-12T00:00:00"/>
    <x v="1"/>
    <x v="3"/>
    <n v="8"/>
    <n v="5"/>
    <s v="Standard Class"/>
    <s v="PN-18775"/>
    <x v="511"/>
    <x v="2"/>
    <s v="United States"/>
    <x v="188"/>
    <x v="7"/>
    <n v="93309"/>
    <x v="3"/>
    <s v="OFF-BI-10002194"/>
    <x v="0"/>
    <x v="6"/>
    <s v="Cardinal Hold-It CD Pocket"/>
    <n v="19.152000000000001"/>
  </r>
  <r>
    <n v="9102"/>
    <s v="CA-2016-163181"/>
    <d v="2016-11-07T00:00:00"/>
    <d v="2016-11-12T00:00:00"/>
    <x v="1"/>
    <x v="6"/>
    <n v="11"/>
    <n v="5"/>
    <s v="Standard Class"/>
    <s v="AB-10105"/>
    <x v="512"/>
    <x v="0"/>
    <s v="United States"/>
    <x v="13"/>
    <x v="0"/>
    <n v="77041"/>
    <x v="0"/>
    <s v="OFF-AR-10001683"/>
    <x v="0"/>
    <x v="0"/>
    <s v="Lumber Crayons"/>
    <n v="23.64"/>
  </r>
  <r>
    <n v="5141"/>
    <s v="CA-2016-154886"/>
    <d v="2016-11-08T00:00:00"/>
    <d v="2016-11-12T00:00:00"/>
    <x v="1"/>
    <x v="6"/>
    <n v="11"/>
    <n v="4"/>
    <s v="Standard Class"/>
    <s v="SW-20455"/>
    <x v="513"/>
    <x v="0"/>
    <s v="United States"/>
    <x v="9"/>
    <x v="7"/>
    <n v="94109"/>
    <x v="3"/>
    <s v="TEC-AC-10001956"/>
    <x v="2"/>
    <x v="3"/>
    <s v="Microsoft Arc Touch Mouse"/>
    <n v="119.9"/>
  </r>
  <r>
    <n v="1285"/>
    <s v="US-2016-149692"/>
    <d v="2016-12-06T00:00:00"/>
    <d v="2016-12-12T00:00:00"/>
    <x v="1"/>
    <x v="7"/>
    <n v="12"/>
    <n v="6"/>
    <s v="Standard Class"/>
    <s v="KW-16435"/>
    <x v="514"/>
    <x v="0"/>
    <s v="United States"/>
    <x v="24"/>
    <x v="0"/>
    <n v="78745"/>
    <x v="0"/>
    <s v="OFF-BI-10002813"/>
    <x v="0"/>
    <x v="6"/>
    <s v="Avery Reinforcements for Hole-Punch Pages"/>
    <n v="2.7719999999999998"/>
  </r>
  <r>
    <n v="7575"/>
    <s v="CA-2016-129532"/>
    <d v="2016-12-08T00:00:00"/>
    <d v="2016-12-12T00:00:00"/>
    <x v="1"/>
    <x v="7"/>
    <n v="12"/>
    <n v="4"/>
    <s v="Standard Class"/>
    <s v="YS-21880"/>
    <x v="515"/>
    <x v="1"/>
    <s v="United States"/>
    <x v="11"/>
    <x v="7"/>
    <n v="90036"/>
    <x v="3"/>
    <s v="OFF-ST-10004186"/>
    <x v="0"/>
    <x v="11"/>
    <s v="Stur-D-Stor Shelving, Vertical 5-Shelf: 72&quot;H x 36&quot;W x 18 1/2&quot;D"/>
    <n v="221.96"/>
  </r>
  <r>
    <n v="8626"/>
    <s v="CA-2016-156118"/>
    <d v="2016-12-08T00:00:00"/>
    <d v="2016-12-12T00:00:00"/>
    <x v="1"/>
    <x v="7"/>
    <n v="12"/>
    <n v="4"/>
    <s v="Standard Class"/>
    <s v="HG-14965"/>
    <x v="516"/>
    <x v="1"/>
    <s v="United States"/>
    <x v="189"/>
    <x v="19"/>
    <n v="80906"/>
    <x v="3"/>
    <s v="OFF-PA-10000533"/>
    <x v="0"/>
    <x v="9"/>
    <s v="Southworth Parchment Paper &amp; Envelopes"/>
    <n v="15.696"/>
  </r>
  <r>
    <n v="980"/>
    <s v="CA-2016-157035"/>
    <d v="2016-12-09T00:00:00"/>
    <d v="2016-12-12T00:00:00"/>
    <x v="1"/>
    <x v="7"/>
    <n v="12"/>
    <n v="3"/>
    <s v="First Class"/>
    <s v="KB-16600"/>
    <x v="517"/>
    <x v="1"/>
    <s v="United States"/>
    <x v="4"/>
    <x v="40"/>
    <n v="47201"/>
    <x v="0"/>
    <s v="OFF-PA-10004156"/>
    <x v="0"/>
    <x v="9"/>
    <s v="Xerox 188"/>
    <n v="34.020000000000003"/>
  </r>
  <r>
    <n v="1092"/>
    <s v="CA-2016-143490"/>
    <d v="2016-12-06T00:00:00"/>
    <d v="2016-12-13T00:00:00"/>
    <x v="1"/>
    <x v="7"/>
    <n v="12"/>
    <n v="7"/>
    <s v="Standard Class"/>
    <s v="NP-18325"/>
    <x v="518"/>
    <x v="0"/>
    <s v="United States"/>
    <x v="48"/>
    <x v="7"/>
    <n v="92105"/>
    <x v="3"/>
    <s v="OFF-AR-10002952"/>
    <x v="0"/>
    <x v="0"/>
    <s v="Stanley Contemporary Battery Pencil Sharpeners"/>
    <n v="120.15"/>
  </r>
  <r>
    <n v="8509"/>
    <s v="CA-2016-135853"/>
    <d v="2016-12-11T00:00:00"/>
    <d v="2016-12-14T00:00:00"/>
    <x v="1"/>
    <x v="7"/>
    <n v="12"/>
    <n v="3"/>
    <s v="First Class"/>
    <s v="CA-12775"/>
    <x v="519"/>
    <x v="0"/>
    <s v="United States"/>
    <x v="55"/>
    <x v="11"/>
    <n v="48205"/>
    <x v="0"/>
    <s v="TEC-AC-10004761"/>
    <x v="2"/>
    <x v="3"/>
    <s v="Maxell 4.7GB DVD+RW 3/Pack"/>
    <n v="175.23"/>
  </r>
  <r>
    <n v="6361"/>
    <s v="CA-2016-115693"/>
    <d v="2016-12-10T00:00:00"/>
    <d v="2016-12-15T00:00:00"/>
    <x v="1"/>
    <x v="7"/>
    <n v="12"/>
    <n v="5"/>
    <s v="Standard Class"/>
    <s v="FC-14245"/>
    <x v="520"/>
    <x v="2"/>
    <s v="United States"/>
    <x v="11"/>
    <x v="7"/>
    <n v="90032"/>
    <x v="3"/>
    <s v="OFF-AR-10003582"/>
    <x v="0"/>
    <x v="0"/>
    <s v="Boston Electric Pencil Sharpener, Model 1818, Charcoal Black"/>
    <n v="56.3"/>
  </r>
  <r>
    <n v="7154"/>
    <s v="CA-2016-106208"/>
    <d v="2016-12-10T00:00:00"/>
    <d v="2016-12-15T00:00:00"/>
    <x v="1"/>
    <x v="7"/>
    <n v="12"/>
    <n v="5"/>
    <s v="Standard Class"/>
    <s v="JW-16075"/>
    <x v="521"/>
    <x v="0"/>
    <s v="United States"/>
    <x v="19"/>
    <x v="14"/>
    <n v="60610"/>
    <x v="0"/>
    <s v="OFF-AP-10004980"/>
    <x v="0"/>
    <x v="4"/>
    <s v="3M Replacement Filter for Office Air Cleaner for 20' x 33' Room"/>
    <n v="53.088000000000001"/>
  </r>
  <r>
    <n v="8293"/>
    <s v="CA-2016-106362"/>
    <d v="2016-12-11T00:00:00"/>
    <d v="2016-12-15T00:00:00"/>
    <x v="1"/>
    <x v="7"/>
    <n v="12"/>
    <n v="4"/>
    <s v="Standard Class"/>
    <s v="LC-16885"/>
    <x v="522"/>
    <x v="0"/>
    <s v="United States"/>
    <x v="161"/>
    <x v="4"/>
    <n v="45373"/>
    <x v="1"/>
    <s v="OFF-BI-10003166"/>
    <x v="0"/>
    <x v="6"/>
    <s v="GBC Plasticlear Binding Covers"/>
    <n v="10.332000000000001"/>
  </r>
  <r>
    <n v="7794"/>
    <s v="CA-2016-127481"/>
    <d v="2016-12-12T00:00:00"/>
    <d v="2016-12-15T00:00:00"/>
    <x v="1"/>
    <x v="7"/>
    <n v="12"/>
    <n v="3"/>
    <s v="Second Class"/>
    <s v="JD-15895"/>
    <x v="523"/>
    <x v="1"/>
    <s v="United States"/>
    <x v="190"/>
    <x v="20"/>
    <n v="89115"/>
    <x v="3"/>
    <s v="OFF-PA-10002036"/>
    <x v="0"/>
    <x v="9"/>
    <s v="Xerox 1930"/>
    <n v="32.4"/>
  </r>
  <r>
    <n v="4006"/>
    <s v="US-2016-168732"/>
    <d v="2016-12-10T00:00:00"/>
    <d v="2016-12-16T00:00:00"/>
    <x v="1"/>
    <x v="7"/>
    <n v="12"/>
    <n v="6"/>
    <s v="Standard Class"/>
    <s v="KM-16660"/>
    <x v="524"/>
    <x v="0"/>
    <s v="United States"/>
    <x v="3"/>
    <x v="3"/>
    <n v="30076"/>
    <x v="2"/>
    <s v="OFF-AR-10003087"/>
    <x v="0"/>
    <x v="0"/>
    <s v="Staples in misc. colors"/>
    <n v="1.78"/>
  </r>
  <r>
    <n v="8438"/>
    <s v="CA-2016-112823"/>
    <d v="2016-12-10T00:00:00"/>
    <d v="2016-12-16T00:00:00"/>
    <x v="1"/>
    <x v="7"/>
    <n v="12"/>
    <n v="6"/>
    <s v="Standard Class"/>
    <s v="RA-19945"/>
    <x v="525"/>
    <x v="0"/>
    <s v="United States"/>
    <x v="191"/>
    <x v="4"/>
    <n v="44105"/>
    <x v="1"/>
    <s v="TEC-AC-10002550"/>
    <x v="2"/>
    <x v="3"/>
    <s v="Maxell 4.7GB DVD-RW 3/Pack"/>
    <n v="25.488"/>
  </r>
  <r>
    <n v="2234"/>
    <s v="CA-2016-123232"/>
    <d v="2016-12-14T00:00:00"/>
    <d v="2016-12-16T00:00:00"/>
    <x v="1"/>
    <x v="7"/>
    <n v="12"/>
    <n v="2"/>
    <s v="Second Class"/>
    <s v="DJ-13630"/>
    <x v="526"/>
    <x v="0"/>
    <s v="United States"/>
    <x v="37"/>
    <x v="21"/>
    <n v="97206"/>
    <x v="3"/>
    <s v="TEC-PH-10001051"/>
    <x v="2"/>
    <x v="8"/>
    <s v="HTC One"/>
    <n v="319.96800000000002"/>
  </r>
  <r>
    <n v="8410"/>
    <s v="CA-2016-134082"/>
    <d v="2016-12-11T00:00:00"/>
    <d v="2016-12-17T00:00:00"/>
    <x v="1"/>
    <x v="7"/>
    <n v="12"/>
    <n v="6"/>
    <s v="Standard Class"/>
    <s v="JK-15640"/>
    <x v="527"/>
    <x v="2"/>
    <s v="United States"/>
    <x v="192"/>
    <x v="7"/>
    <n v="92404"/>
    <x v="3"/>
    <s v="OFF-BI-10004230"/>
    <x v="0"/>
    <x v="6"/>
    <s v="GBC Recycled Grain Textured Covers"/>
    <n v="110.52800000000001"/>
  </r>
  <r>
    <n v="6873"/>
    <s v="CA-2016-162544"/>
    <d v="2016-12-16T00:00:00"/>
    <d v="2016-12-19T00:00:00"/>
    <x v="1"/>
    <x v="7"/>
    <n v="12"/>
    <n v="3"/>
    <s v="First Class"/>
    <s v="SG-20080"/>
    <x v="528"/>
    <x v="0"/>
    <s v="United States"/>
    <x v="49"/>
    <x v="24"/>
    <n v="98105"/>
    <x v="3"/>
    <s v="OFF-PA-10004948"/>
    <x v="0"/>
    <x v="9"/>
    <s v="Xerox 190"/>
    <n v="4.9800000000000004"/>
  </r>
  <r>
    <n v="4993"/>
    <s v="CA-2016-153038"/>
    <d v="2016-12-18T00:00:00"/>
    <d v="2016-12-25T00:00:00"/>
    <x v="1"/>
    <x v="7"/>
    <n v="12"/>
    <n v="7"/>
    <s v="Standard Class"/>
    <s v="RB-19645"/>
    <x v="529"/>
    <x v="1"/>
    <s v="United States"/>
    <x v="193"/>
    <x v="33"/>
    <n v="38109"/>
    <x v="2"/>
    <s v="OFF-EN-10000461"/>
    <x v="0"/>
    <x v="14"/>
    <s v="#10- 4 1/8&quot; x 9 1/2&quot; Recycled Envelopes"/>
    <n v="55.936"/>
  </r>
  <r>
    <n v="6735"/>
    <s v="CA-2016-141754"/>
    <d v="2016-12-20T00:00:00"/>
    <d v="2016-12-25T00:00:00"/>
    <x v="1"/>
    <x v="7"/>
    <n v="12"/>
    <n v="5"/>
    <s v="Standard Class"/>
    <s v="EM-14200"/>
    <x v="530"/>
    <x v="2"/>
    <s v="United States"/>
    <x v="21"/>
    <x v="12"/>
    <n v="33142"/>
    <x v="2"/>
    <s v="OFF-LA-10004093"/>
    <x v="0"/>
    <x v="2"/>
    <s v="Avery 486"/>
    <n v="11.696"/>
  </r>
  <r>
    <n v="4173"/>
    <s v="CA-2017-152163"/>
    <d v="2017-07-01T00:00:00"/>
    <d v="2017-07-01T00:00:00"/>
    <x v="2"/>
    <x v="10"/>
    <n v="7"/>
    <n v="0"/>
    <s v="Same Day"/>
    <s v="JF-15355"/>
    <x v="531"/>
    <x v="0"/>
    <s v="United States"/>
    <x v="6"/>
    <x v="38"/>
    <n v="29203"/>
    <x v="2"/>
    <s v="OFF-BI-10002215"/>
    <x v="0"/>
    <x v="6"/>
    <s v="Wilson Jones Hanging View Binder, White, 1&quot;"/>
    <n v="14.2"/>
  </r>
  <r>
    <n v="2667"/>
    <s v="CA-2017-111794"/>
    <d v="2017-10-01T00:00:00"/>
    <d v="2017-10-01T00:00:00"/>
    <x v="2"/>
    <x v="5"/>
    <n v="10"/>
    <n v="0"/>
    <s v="Same Day"/>
    <s v="HG-15025"/>
    <x v="532"/>
    <x v="0"/>
    <s v="United States"/>
    <x v="194"/>
    <x v="0"/>
    <n v="79109"/>
    <x v="0"/>
    <s v="TEC-AC-10003832"/>
    <x v="2"/>
    <x v="3"/>
    <s v="ImationÂ 16GB Mini TravelDrive USB 2.0Â Flash Drive"/>
    <n v="79.512"/>
  </r>
  <r>
    <n v="6970"/>
    <s v="CA-2017-163937"/>
    <d v="2017-01-10T00:00:00"/>
    <d v="2017-01-13T00:00:00"/>
    <x v="2"/>
    <x v="0"/>
    <n v="1"/>
    <n v="3"/>
    <s v="Second Class"/>
    <s v="JB-16000"/>
    <x v="533"/>
    <x v="0"/>
    <s v="United States"/>
    <x v="195"/>
    <x v="24"/>
    <n v="98632"/>
    <x v="3"/>
    <s v="FUR-FU-10000010"/>
    <x v="1"/>
    <x v="1"/>
    <s v="DAX Value U-Channel Document Frames, Easel Back"/>
    <n v="24.85"/>
  </r>
  <r>
    <n v="2471"/>
    <s v="US-2017-135923"/>
    <d v="2017-01-22T00:00:00"/>
    <d v="2017-01-28T00:00:00"/>
    <x v="2"/>
    <x v="0"/>
    <n v="1"/>
    <n v="6"/>
    <s v="Standard Class"/>
    <s v="CM-11935"/>
    <x v="534"/>
    <x v="0"/>
    <s v="United States"/>
    <x v="72"/>
    <x v="18"/>
    <n v="28314"/>
    <x v="2"/>
    <s v="FUR-FU-10002107"/>
    <x v="1"/>
    <x v="1"/>
    <s v="Eldon Pizzaz Desk Accessories"/>
    <n v="14.272"/>
  </r>
  <r>
    <n v="3237"/>
    <s v="CA-2017-146836"/>
    <d v="2017-05-02T00:00:00"/>
    <d v="2017-05-02T00:00:00"/>
    <x v="2"/>
    <x v="1"/>
    <n v="5"/>
    <n v="0"/>
    <s v="Same Day"/>
    <s v="CC-12475"/>
    <x v="535"/>
    <x v="0"/>
    <s v="United States"/>
    <x v="10"/>
    <x v="8"/>
    <n v="10024"/>
    <x v="1"/>
    <s v="OFF-ST-10001580"/>
    <x v="0"/>
    <x v="11"/>
    <s v="Super Decoflex Portable Personal File"/>
    <n v="44.94"/>
  </r>
  <r>
    <n v="1068"/>
    <s v="CA-2017-157686"/>
    <d v="2017-10-01T00:00:00"/>
    <d v="2017-10-02T00:00:00"/>
    <x v="2"/>
    <x v="5"/>
    <n v="10"/>
    <n v="1"/>
    <s v="First Class"/>
    <s v="BD-11620"/>
    <x v="536"/>
    <x v="0"/>
    <s v="United States"/>
    <x v="9"/>
    <x v="7"/>
    <n v="94122"/>
    <x v="3"/>
    <s v="FUR-CH-10001146"/>
    <x v="1"/>
    <x v="5"/>
    <s v="Global Value Mid-Back Manager's Chair, Gray"/>
    <n v="194.84800000000001"/>
  </r>
  <r>
    <n v="8842"/>
    <s v="US-2017-112396"/>
    <d v="2017-02-09T00:00:00"/>
    <d v="2017-02-13T00:00:00"/>
    <x v="2"/>
    <x v="2"/>
    <n v="2"/>
    <n v="4"/>
    <s v="Standard Class"/>
    <s v="JR-16210"/>
    <x v="537"/>
    <x v="1"/>
    <s v="United States"/>
    <x v="9"/>
    <x v="7"/>
    <n v="94110"/>
    <x v="3"/>
    <s v="TEC-AC-10003628"/>
    <x v="2"/>
    <x v="3"/>
    <s v="Logitech 910-002974 M325 Wireless Mouse for Web Scrolling"/>
    <n v="89.97"/>
  </r>
  <r>
    <n v="1809"/>
    <s v="CA-2017-164938"/>
    <d v="2017-02-11T00:00:00"/>
    <d v="2017-02-13T00:00:00"/>
    <x v="2"/>
    <x v="2"/>
    <n v="2"/>
    <n v="2"/>
    <s v="First Class"/>
    <s v="PB-19210"/>
    <x v="538"/>
    <x v="1"/>
    <s v="United States"/>
    <x v="101"/>
    <x v="34"/>
    <n v="74133"/>
    <x v="0"/>
    <s v="TEC-PH-10004897"/>
    <x v="2"/>
    <x v="8"/>
    <s v="Mediabridge Sport Armband iPhone 5s"/>
    <n v="69.930000000000007"/>
  </r>
  <r>
    <n v="4748"/>
    <s v="CA-2017-120005"/>
    <d v="2017-03-03T00:00:00"/>
    <d v="2017-03-03T00:00:00"/>
    <x v="2"/>
    <x v="8"/>
    <n v="3"/>
    <n v="0"/>
    <s v="Same Day"/>
    <s v="TS-21160"/>
    <x v="539"/>
    <x v="1"/>
    <s v="United States"/>
    <x v="9"/>
    <x v="7"/>
    <n v="94110"/>
    <x v="3"/>
    <s v="OFF-SU-10004782"/>
    <x v="0"/>
    <x v="15"/>
    <s v="Elite 5&quot; Scissors"/>
    <n v="25.35"/>
  </r>
  <r>
    <n v="448"/>
    <s v="CA-2017-166674"/>
    <d v="2017-04-01T00:00:00"/>
    <d v="2017-04-03T00:00:00"/>
    <x v="2"/>
    <x v="9"/>
    <n v="4"/>
    <n v="2"/>
    <s v="Second Class"/>
    <s v="RB-19360"/>
    <x v="540"/>
    <x v="0"/>
    <s v="United States"/>
    <x v="196"/>
    <x v="8"/>
    <n v="13021"/>
    <x v="1"/>
    <s v="OFF-AR-10000588"/>
    <x v="0"/>
    <x v="0"/>
    <s v="Newell 345"/>
    <n v="59.52"/>
  </r>
  <r>
    <n v="350"/>
    <s v="CA-2017-129714"/>
    <d v="2017-09-01T00:00:00"/>
    <d v="2017-09-03T00:00:00"/>
    <x v="2"/>
    <x v="4"/>
    <n v="9"/>
    <n v="2"/>
    <s v="First Class"/>
    <s v="AB-10060"/>
    <x v="541"/>
    <x v="2"/>
    <s v="United States"/>
    <x v="10"/>
    <x v="8"/>
    <n v="10009"/>
    <x v="1"/>
    <s v="TEC-AC-10000290"/>
    <x v="2"/>
    <x v="3"/>
    <s v="Sabrent 4-Port USB 2.0 Hub"/>
    <n v="6.79"/>
  </r>
  <r>
    <n v="7482"/>
    <s v="CA-2017-124583"/>
    <d v="2017-09-01T00:00:00"/>
    <d v="2017-09-03T00:00:00"/>
    <x v="2"/>
    <x v="4"/>
    <n v="9"/>
    <n v="2"/>
    <s v="Second Class"/>
    <s v="LB-16795"/>
    <x v="542"/>
    <x v="2"/>
    <s v="United States"/>
    <x v="197"/>
    <x v="7"/>
    <n v="92646"/>
    <x v="3"/>
    <s v="OFF-EN-10002500"/>
    <x v="0"/>
    <x v="14"/>
    <s v="Globe Weis Peel &amp; Seel First Class Envelopes"/>
    <n v="12.78"/>
  </r>
  <r>
    <n v="4513"/>
    <s v="CA-2017-118969"/>
    <d v="2017-10-02T00:00:00"/>
    <d v="2017-10-03T00:00:00"/>
    <x v="2"/>
    <x v="5"/>
    <n v="10"/>
    <n v="1"/>
    <s v="First Class"/>
    <s v="LP-17095"/>
    <x v="543"/>
    <x v="0"/>
    <s v="United States"/>
    <x v="151"/>
    <x v="15"/>
    <n v="85023"/>
    <x v="3"/>
    <s v="OFF-BI-10002429"/>
    <x v="0"/>
    <x v="6"/>
    <s v="Premier Elliptical Ring Binder, Black"/>
    <n v="54.792000000000002"/>
  </r>
  <r>
    <n v="8112"/>
    <s v="CA-2017-130393"/>
    <d v="2017-12-01T00:00:00"/>
    <d v="2017-12-03T00:00:00"/>
    <x v="2"/>
    <x v="7"/>
    <n v="12"/>
    <n v="2"/>
    <s v="Second Class"/>
    <s v="JM-15865"/>
    <x v="544"/>
    <x v="0"/>
    <s v="United States"/>
    <x v="198"/>
    <x v="0"/>
    <n v="76903"/>
    <x v="0"/>
    <s v="FUR-CH-10002647"/>
    <x v="1"/>
    <x v="5"/>
    <s v="Situations Contoured Folding Chairs, 4/Set"/>
    <n v="248.43"/>
  </r>
  <r>
    <n v="1047"/>
    <s v="CA-2017-169103"/>
    <d v="2017-03-08T00:00:00"/>
    <d v="2017-03-13T00:00:00"/>
    <x v="2"/>
    <x v="8"/>
    <n v="3"/>
    <n v="5"/>
    <s v="Standard Class"/>
    <s v="ZC-21910"/>
    <x v="545"/>
    <x v="0"/>
    <s v="United States"/>
    <x v="21"/>
    <x v="12"/>
    <n v="33142"/>
    <x v="2"/>
    <s v="TEC-PH-10001530"/>
    <x v="2"/>
    <x v="8"/>
    <s v="Cisco Unified IP Phone 7945G VoIP phone"/>
    <n v="1363.96"/>
  </r>
  <r>
    <n v="8100"/>
    <s v="CA-2017-169663"/>
    <d v="2017-03-10T00:00:00"/>
    <d v="2017-03-13T00:00:00"/>
    <x v="2"/>
    <x v="8"/>
    <n v="3"/>
    <n v="3"/>
    <s v="First Class"/>
    <s v="RH-19510"/>
    <x v="546"/>
    <x v="2"/>
    <s v="United States"/>
    <x v="11"/>
    <x v="7"/>
    <n v="90045"/>
    <x v="3"/>
    <s v="TEC-AC-10003038"/>
    <x v="2"/>
    <x v="3"/>
    <s v="Kingston Digital DataTraveler 16GB USB 2.0"/>
    <n v="26.85"/>
  </r>
  <r>
    <n v="9412"/>
    <s v="CA-2017-108959"/>
    <d v="2017-03-10T00:00:00"/>
    <d v="2017-03-14T00:00:00"/>
    <x v="2"/>
    <x v="8"/>
    <n v="3"/>
    <n v="4"/>
    <s v="Second Class"/>
    <s v="MH-17785"/>
    <x v="547"/>
    <x v="1"/>
    <s v="United States"/>
    <x v="22"/>
    <x v="15"/>
    <n v="85301"/>
    <x v="3"/>
    <s v="OFF-ST-10001272"/>
    <x v="0"/>
    <x v="11"/>
    <s v="Mini 13-1/2 Capacity Data Binder Rack, Pearl"/>
    <n v="104.696"/>
  </r>
  <r>
    <n v="1693"/>
    <s v="US-2017-154361"/>
    <d v="2017-03-14T00:00:00"/>
    <d v="2017-03-19T00:00:00"/>
    <x v="2"/>
    <x v="8"/>
    <n v="3"/>
    <n v="5"/>
    <s v="Standard Class"/>
    <s v="HZ-14950"/>
    <x v="548"/>
    <x v="0"/>
    <s v="United States"/>
    <x v="4"/>
    <x v="4"/>
    <n v="43229"/>
    <x v="1"/>
    <s v="FUR-FU-10004020"/>
    <x v="1"/>
    <x v="1"/>
    <s v="Advantus Panel Wall Acrylic Frame"/>
    <n v="21.88"/>
  </r>
  <r>
    <n v="2664"/>
    <s v="CA-2017-164784"/>
    <d v="2017-05-01T00:00:00"/>
    <d v="2017-05-04T00:00:00"/>
    <x v="2"/>
    <x v="1"/>
    <n v="5"/>
    <n v="3"/>
    <s v="First Class"/>
    <s v="HF-14995"/>
    <x v="549"/>
    <x v="0"/>
    <s v="United States"/>
    <x v="193"/>
    <x v="33"/>
    <n v="38109"/>
    <x v="2"/>
    <s v="OFF-LA-10001569"/>
    <x v="0"/>
    <x v="2"/>
    <s v="Avery 499"/>
    <n v="3.984"/>
  </r>
  <r>
    <n v="5862"/>
    <s v="CA-2017-101525"/>
    <d v="2017-05-01T00:00:00"/>
    <d v="2017-05-04T00:00:00"/>
    <x v="2"/>
    <x v="1"/>
    <n v="5"/>
    <n v="3"/>
    <s v="Second Class"/>
    <s v="CM-12235"/>
    <x v="550"/>
    <x v="0"/>
    <s v="United States"/>
    <x v="54"/>
    <x v="27"/>
    <n v="72209"/>
    <x v="2"/>
    <s v="OFF-PA-10001497"/>
    <x v="0"/>
    <x v="9"/>
    <s v="Xerox 1914"/>
    <n v="109.92"/>
  </r>
  <r>
    <n v="2602"/>
    <s v="CA-2017-165848"/>
    <d v="2017-06-04T00:00:00"/>
    <d v="2017-06-04T00:00:00"/>
    <x v="2"/>
    <x v="11"/>
    <n v="6"/>
    <n v="0"/>
    <s v="Same Day"/>
    <s v="EN-13780"/>
    <x v="551"/>
    <x v="0"/>
    <s v="United States"/>
    <x v="10"/>
    <x v="8"/>
    <n v="10035"/>
    <x v="1"/>
    <s v="OFF-PA-10000349"/>
    <x v="0"/>
    <x v="9"/>
    <s v="Easy-staple paper"/>
    <n v="14.94"/>
  </r>
  <r>
    <n v="5245"/>
    <s v="CA-2017-156265"/>
    <d v="2017-08-02T00:00:00"/>
    <d v="2017-08-04T00:00:00"/>
    <x v="2"/>
    <x v="3"/>
    <n v="8"/>
    <n v="2"/>
    <s v="Second Class"/>
    <s v="BF-11020"/>
    <x v="552"/>
    <x v="1"/>
    <s v="United States"/>
    <x v="11"/>
    <x v="7"/>
    <n v="90032"/>
    <x v="3"/>
    <s v="FUR-TA-10001691"/>
    <x v="1"/>
    <x v="12"/>
    <s v="Barricks Non-Folding Utility Table with Steel Legs, Laminate Tops"/>
    <n v="136.464"/>
  </r>
  <r>
    <n v="963"/>
    <s v="CA-2017-120859"/>
    <d v="2017-09-01T00:00:00"/>
    <d v="2017-09-04T00:00:00"/>
    <x v="2"/>
    <x v="4"/>
    <n v="9"/>
    <n v="3"/>
    <s v="First Class"/>
    <s v="CV-12805"/>
    <x v="553"/>
    <x v="1"/>
    <s v="United States"/>
    <x v="9"/>
    <x v="7"/>
    <n v="94110"/>
    <x v="3"/>
    <s v="OFF-EN-10001335"/>
    <x v="0"/>
    <x v="14"/>
    <s v="White Business Envelopes with Contemporary Seam, Recycled White Business Envelopes"/>
    <n v="21.88"/>
  </r>
  <r>
    <n v="4304"/>
    <s v="CA-2017-121601"/>
    <d v="2017-10-04T00:00:00"/>
    <d v="2017-10-04T00:00:00"/>
    <x v="2"/>
    <x v="5"/>
    <n v="10"/>
    <n v="0"/>
    <s v="Same Day"/>
    <s v="MO-17500"/>
    <x v="554"/>
    <x v="0"/>
    <s v="United States"/>
    <x v="199"/>
    <x v="0"/>
    <n v="75056"/>
    <x v="0"/>
    <s v="OFF-EN-10003862"/>
    <x v="0"/>
    <x v="14"/>
    <s v="Laser &amp; Ink Jet Business Envelopes"/>
    <n v="59.752000000000002"/>
  </r>
  <r>
    <n v="355"/>
    <s v="CA-2017-138520"/>
    <d v="2017-04-08T00:00:00"/>
    <d v="2017-04-13T00:00:00"/>
    <x v="2"/>
    <x v="9"/>
    <n v="4"/>
    <n v="5"/>
    <s v="Standard Class"/>
    <s v="JL-15505"/>
    <x v="555"/>
    <x v="0"/>
    <s v="United States"/>
    <x v="10"/>
    <x v="8"/>
    <n v="10035"/>
    <x v="1"/>
    <s v="FUR-BO-10002268"/>
    <x v="1"/>
    <x v="13"/>
    <s v="Sauder Barrister Bookcases"/>
    <n v="388.70400000000001"/>
  </r>
  <r>
    <n v="3054"/>
    <s v="CA-2017-128517"/>
    <d v="2017-04-09T00:00:00"/>
    <d v="2017-04-14T00:00:00"/>
    <x v="2"/>
    <x v="9"/>
    <n v="4"/>
    <n v="5"/>
    <s v="Second Class"/>
    <s v="SW-20350"/>
    <x v="556"/>
    <x v="2"/>
    <s v="United States"/>
    <x v="55"/>
    <x v="11"/>
    <n v="48227"/>
    <x v="0"/>
    <s v="TEC-PH-10002555"/>
    <x v="2"/>
    <x v="8"/>
    <s v="Nortel Meridian M5316 Digital phone"/>
    <n v="517.9"/>
  </r>
  <r>
    <n v="7361"/>
    <s v="CA-2017-163594"/>
    <d v="2017-04-12T00:00:00"/>
    <d v="2017-04-14T00:00:00"/>
    <x v="2"/>
    <x v="9"/>
    <n v="4"/>
    <n v="2"/>
    <s v="First Class"/>
    <s v="JF-15295"/>
    <x v="557"/>
    <x v="0"/>
    <s v="United States"/>
    <x v="11"/>
    <x v="7"/>
    <n v="90036"/>
    <x v="3"/>
    <s v="OFF-PA-10000809"/>
    <x v="0"/>
    <x v="9"/>
    <s v="Xerox 206"/>
    <n v="19.440000000000001"/>
  </r>
  <r>
    <n v="5643"/>
    <s v="CA-2017-127985"/>
    <d v="2017-04-01T00:00:00"/>
    <d v="2017-04-05T00:00:00"/>
    <x v="2"/>
    <x v="9"/>
    <n v="4"/>
    <n v="4"/>
    <s v="Second Class"/>
    <s v="DB-12910"/>
    <x v="558"/>
    <x v="2"/>
    <s v="United States"/>
    <x v="4"/>
    <x v="3"/>
    <n v="31907"/>
    <x v="2"/>
    <s v="FUR-FU-10003274"/>
    <x v="1"/>
    <x v="1"/>
    <s v="Regeneration Desk Collection"/>
    <n v="7.04"/>
  </r>
  <r>
    <n v="9559"/>
    <s v="CA-2017-129280"/>
    <d v="2017-05-03T00:00:00"/>
    <d v="2017-05-05T00:00:00"/>
    <x v="2"/>
    <x v="1"/>
    <n v="5"/>
    <n v="2"/>
    <s v="First Class"/>
    <s v="SM-20905"/>
    <x v="559"/>
    <x v="0"/>
    <s v="United States"/>
    <x v="81"/>
    <x v="4"/>
    <n v="43055"/>
    <x v="1"/>
    <s v="TEC-AC-10003832"/>
    <x v="2"/>
    <x v="3"/>
    <s v="ImationÂ 16GB Mini TravelDrive USB 2.0Â Flash Drive"/>
    <n v="132.52000000000001"/>
  </r>
  <r>
    <n v="7102"/>
    <s v="CA-2017-144337"/>
    <d v="2017-08-01T00:00:00"/>
    <d v="2017-08-05T00:00:00"/>
    <x v="2"/>
    <x v="3"/>
    <n v="8"/>
    <n v="4"/>
    <s v="Second Class"/>
    <s v="SG-20890"/>
    <x v="560"/>
    <x v="1"/>
    <s v="United States"/>
    <x v="194"/>
    <x v="0"/>
    <n v="79109"/>
    <x v="0"/>
    <s v="OFF-PA-10000249"/>
    <x v="0"/>
    <x v="9"/>
    <s v="Easy-staple paper"/>
    <n v="19.648"/>
  </r>
  <r>
    <n v="6158"/>
    <s v="CA-2017-104150"/>
    <d v="2017-08-03T00:00:00"/>
    <d v="2017-08-05T00:00:00"/>
    <x v="2"/>
    <x v="3"/>
    <n v="8"/>
    <n v="2"/>
    <s v="Second Class"/>
    <s v="AG-10330"/>
    <x v="561"/>
    <x v="0"/>
    <s v="United States"/>
    <x v="101"/>
    <x v="34"/>
    <n v="74133"/>
    <x v="0"/>
    <s v="OFF-EN-10002504"/>
    <x v="0"/>
    <x v="14"/>
    <s v="Tyvek  Top-Opening Peel &amp; Seel Envelopes, Plain White"/>
    <n v="81.540000000000006"/>
  </r>
  <r>
    <n v="2688"/>
    <s v="US-2017-128195"/>
    <d v="2017-08-04T00:00:00"/>
    <d v="2017-08-05T00:00:00"/>
    <x v="2"/>
    <x v="3"/>
    <n v="8"/>
    <n v="1"/>
    <s v="First Class"/>
    <s v="RA-19285"/>
    <x v="562"/>
    <x v="0"/>
    <s v="United States"/>
    <x v="113"/>
    <x v="14"/>
    <n v="61604"/>
    <x v="0"/>
    <s v="OFF-BI-10002003"/>
    <x v="0"/>
    <x v="6"/>
    <s v="Ibico Presentation Index for Binding Systems"/>
    <n v="3.98"/>
  </r>
  <r>
    <n v="1178"/>
    <s v="CA-2017-113621"/>
    <d v="2017-12-01T00:00:00"/>
    <d v="2017-12-05T00:00:00"/>
    <x v="2"/>
    <x v="7"/>
    <n v="12"/>
    <n v="4"/>
    <s v="Standard Class"/>
    <s v="JE-15745"/>
    <x v="563"/>
    <x v="0"/>
    <s v="United States"/>
    <x v="150"/>
    <x v="29"/>
    <n v="20852"/>
    <x v="1"/>
    <s v="FUR-CH-10001270"/>
    <x v="1"/>
    <x v="5"/>
    <s v="Harbour Creations Steel Folding Chair"/>
    <n v="172.5"/>
  </r>
  <r>
    <n v="3471"/>
    <s v="US-2017-150035"/>
    <d v="2017-12-01T00:00:00"/>
    <d v="2017-12-05T00:00:00"/>
    <x v="2"/>
    <x v="7"/>
    <n v="12"/>
    <n v="4"/>
    <s v="Standard Class"/>
    <s v="CL-11890"/>
    <x v="564"/>
    <x v="0"/>
    <s v="United States"/>
    <x v="9"/>
    <x v="7"/>
    <n v="94122"/>
    <x v="3"/>
    <s v="FUR-FU-10003724"/>
    <x v="1"/>
    <x v="1"/>
    <s v="Westinghouse Clip-On Gooseneck Lamps"/>
    <n v="16.739999999999998"/>
  </r>
  <r>
    <n v="1590"/>
    <s v="CA-2017-109911"/>
    <d v="2017-05-12T00:00:00"/>
    <d v="2017-05-16T00:00:00"/>
    <x v="2"/>
    <x v="1"/>
    <n v="5"/>
    <n v="4"/>
    <s v="Standard Class"/>
    <s v="VG-21805"/>
    <x v="565"/>
    <x v="1"/>
    <s v="United States"/>
    <x v="85"/>
    <x v="2"/>
    <n v="23464"/>
    <x v="2"/>
    <s v="OFF-AR-10001662"/>
    <x v="0"/>
    <x v="0"/>
    <s v="Rogers Handheld Barrel Pencil Sharpener"/>
    <n v="10.96"/>
  </r>
  <r>
    <n v="9496"/>
    <s v="US-2017-123610"/>
    <d v="2017-05-12T00:00:00"/>
    <d v="2017-05-16T00:00:00"/>
    <x v="2"/>
    <x v="1"/>
    <n v="5"/>
    <n v="4"/>
    <s v="Standard Class"/>
    <s v="VM-21835"/>
    <x v="566"/>
    <x v="0"/>
    <s v="United States"/>
    <x v="200"/>
    <x v="7"/>
    <n v="92691"/>
    <x v="3"/>
    <s v="TEC-AC-10004518"/>
    <x v="2"/>
    <x v="3"/>
    <s v="Memorex Mini Travel Drive 32 GB USB 2.0 Flash Drive"/>
    <n v="120"/>
  </r>
  <r>
    <n v="1336"/>
    <s v="CA-2017-122133"/>
    <d v="2017-05-16T00:00:00"/>
    <d v="2017-05-23T00:00:00"/>
    <x v="2"/>
    <x v="1"/>
    <n v="5"/>
    <n v="7"/>
    <s v="Standard Class"/>
    <s v="JR-15670"/>
    <x v="567"/>
    <x v="0"/>
    <s v="United States"/>
    <x v="18"/>
    <x v="13"/>
    <n v="6457"/>
    <x v="1"/>
    <s v="OFF-ST-10002574"/>
    <x v="0"/>
    <x v="11"/>
    <s v="SAFCO Commercial Wire Shelving, Black"/>
    <n v="552.55999999999995"/>
  </r>
  <r>
    <n v="3756"/>
    <s v="CA-2017-116799"/>
    <d v="2017-03-03T00:00:00"/>
    <d v="2017-03-06T00:00:00"/>
    <x v="2"/>
    <x v="8"/>
    <n v="3"/>
    <n v="3"/>
    <s v="First Class"/>
    <s v="JG-15310"/>
    <x v="568"/>
    <x v="1"/>
    <s v="United States"/>
    <x v="201"/>
    <x v="0"/>
    <n v="79762"/>
    <x v="0"/>
    <s v="OFF-PA-10001892"/>
    <x v="0"/>
    <x v="9"/>
    <s v="Rediform Wirebound &quot;Phone Memo&quot; Message Book, 11 x 5-3/4"/>
    <n v="42.783999999999999"/>
  </r>
  <r>
    <n v="3967"/>
    <s v="CA-2017-149902"/>
    <d v="2017-04-01T00:00:00"/>
    <d v="2017-04-06T00:00:00"/>
    <x v="2"/>
    <x v="9"/>
    <n v="4"/>
    <n v="5"/>
    <s v="Standard Class"/>
    <s v="DW-13540"/>
    <x v="569"/>
    <x v="0"/>
    <s v="United States"/>
    <x v="10"/>
    <x v="8"/>
    <n v="10024"/>
    <x v="1"/>
    <s v="OFF-AR-10002956"/>
    <x v="0"/>
    <x v="0"/>
    <s v="Boston 16801 Nautilus Battery Pencil Sharpener"/>
    <n v="88.04"/>
  </r>
  <r>
    <n v="7115"/>
    <s v="US-2017-102239"/>
    <d v="2017-05-05T00:00:00"/>
    <d v="2017-05-06T00:00:00"/>
    <x v="2"/>
    <x v="1"/>
    <n v="5"/>
    <n v="1"/>
    <s v="First Class"/>
    <s v="LW-16990"/>
    <x v="570"/>
    <x v="1"/>
    <s v="United States"/>
    <x v="110"/>
    <x v="20"/>
    <n v="89015"/>
    <x v="3"/>
    <s v="FUR-TA-10003392"/>
    <x v="1"/>
    <x v="12"/>
    <s v="Global Adaptabilities Conference Tables"/>
    <n v="1685.88"/>
  </r>
  <r>
    <n v="3565"/>
    <s v="CA-2017-130029"/>
    <d v="2017-07-03T00:00:00"/>
    <d v="2017-07-06T00:00:00"/>
    <x v="2"/>
    <x v="10"/>
    <n v="7"/>
    <n v="3"/>
    <s v="First Class"/>
    <s v="GT-14755"/>
    <x v="571"/>
    <x v="0"/>
    <s v="United States"/>
    <x v="11"/>
    <x v="7"/>
    <n v="90049"/>
    <x v="3"/>
    <s v="OFF-PA-10000552"/>
    <x v="0"/>
    <x v="9"/>
    <s v="Xerox 200"/>
    <n v="12.96"/>
  </r>
  <r>
    <n v="4086"/>
    <s v="CA-2017-111913"/>
    <d v="2017-08-04T00:00:00"/>
    <d v="2017-08-06T00:00:00"/>
    <x v="2"/>
    <x v="3"/>
    <n v="8"/>
    <n v="2"/>
    <s v="Second Class"/>
    <s v="LC-16930"/>
    <x v="572"/>
    <x v="1"/>
    <s v="United States"/>
    <x v="142"/>
    <x v="7"/>
    <n v="95823"/>
    <x v="3"/>
    <s v="TEC-PH-10002275"/>
    <x v="2"/>
    <x v="8"/>
    <s v="Mitel 5320 IP Phone VoIP phone"/>
    <n v="302.38400000000001"/>
  </r>
  <r>
    <n v="7078"/>
    <s v="CA-2017-106950"/>
    <d v="2017-09-02T00:00:00"/>
    <d v="2017-09-06T00:00:00"/>
    <x v="2"/>
    <x v="4"/>
    <n v="9"/>
    <n v="4"/>
    <s v="Standard Class"/>
    <s v="JE-15715"/>
    <x v="573"/>
    <x v="0"/>
    <s v="United States"/>
    <x v="31"/>
    <x v="18"/>
    <n v="28205"/>
    <x v="2"/>
    <s v="OFF-BI-10000014"/>
    <x v="0"/>
    <x v="6"/>
    <s v="Heavy-Duty E-Z-D Binders"/>
    <n v="22.911000000000001"/>
  </r>
  <r>
    <n v="7192"/>
    <s v="CA-2017-116918"/>
    <d v="2017-10-01T00:00:00"/>
    <d v="2017-10-06T00:00:00"/>
    <x v="2"/>
    <x v="5"/>
    <n v="10"/>
    <n v="5"/>
    <s v="Second Class"/>
    <s v="JK-15205"/>
    <x v="574"/>
    <x v="0"/>
    <s v="United States"/>
    <x v="202"/>
    <x v="12"/>
    <n v="33012"/>
    <x v="2"/>
    <s v="OFF-BI-10004140"/>
    <x v="0"/>
    <x v="6"/>
    <s v="Avery Non-Stick Binders"/>
    <n v="5.3879999999999999"/>
  </r>
  <r>
    <n v="2993"/>
    <s v="CA-2017-134376"/>
    <d v="2017-10-02T00:00:00"/>
    <d v="2017-10-06T00:00:00"/>
    <x v="2"/>
    <x v="5"/>
    <n v="10"/>
    <n v="4"/>
    <s v="Standard Class"/>
    <s v="TT-21265"/>
    <x v="575"/>
    <x v="1"/>
    <s v="United States"/>
    <x v="10"/>
    <x v="8"/>
    <n v="10024"/>
    <x v="1"/>
    <s v="OFF-AP-10004532"/>
    <x v="0"/>
    <x v="4"/>
    <s v="Kensington 6 Outlet Guardian Standard Surge Protector"/>
    <n v="61.44"/>
  </r>
  <r>
    <n v="2474"/>
    <s v="CA-2017-114972"/>
    <d v="2017-11-03T00:00:00"/>
    <d v="2017-11-06T00:00:00"/>
    <x v="2"/>
    <x v="6"/>
    <n v="11"/>
    <n v="3"/>
    <s v="First Class"/>
    <s v="PF-19225"/>
    <x v="576"/>
    <x v="0"/>
    <s v="United States"/>
    <x v="11"/>
    <x v="7"/>
    <n v="90032"/>
    <x v="3"/>
    <s v="FUR-CH-10001190"/>
    <x v="1"/>
    <x v="5"/>
    <s v="Global Deluxe High-Back Office Chair in Storm"/>
    <n v="217.584"/>
  </r>
  <r>
    <n v="7783"/>
    <s v="CA-2017-162236"/>
    <d v="2017-11-04T00:00:00"/>
    <d v="2017-11-06T00:00:00"/>
    <x v="2"/>
    <x v="6"/>
    <n v="11"/>
    <n v="2"/>
    <s v="Second Class"/>
    <s v="ER-13855"/>
    <x v="577"/>
    <x v="1"/>
    <s v="United States"/>
    <x v="31"/>
    <x v="18"/>
    <n v="28205"/>
    <x v="2"/>
    <s v="OFF-ST-10003442"/>
    <x v="0"/>
    <x v="11"/>
    <s v="Eldon Portable Mobile Manager"/>
    <n v="45.247999999999998"/>
  </r>
  <r>
    <n v="2758"/>
    <s v="CA-2017-127775"/>
    <d v="2017-06-11T00:00:00"/>
    <d v="2017-06-13T00:00:00"/>
    <x v="2"/>
    <x v="11"/>
    <n v="6"/>
    <n v="2"/>
    <s v="Second Class"/>
    <s v="ES-14020"/>
    <x v="578"/>
    <x v="0"/>
    <s v="United States"/>
    <x v="10"/>
    <x v="8"/>
    <n v="10035"/>
    <x v="1"/>
    <s v="TEC-AC-10002402"/>
    <x v="2"/>
    <x v="3"/>
    <s v="Razer Kraken PRO Over Ear PC and Music Headset"/>
    <n v="239.97"/>
  </r>
  <r>
    <n v="557"/>
    <s v="CA-2017-113243"/>
    <d v="2017-06-10T00:00:00"/>
    <d v="2017-06-15T00:00:00"/>
    <x v="2"/>
    <x v="11"/>
    <n v="6"/>
    <n v="5"/>
    <s v="Standard Class"/>
    <s v="OT-18730"/>
    <x v="579"/>
    <x v="0"/>
    <s v="United States"/>
    <x v="11"/>
    <x v="7"/>
    <n v="90045"/>
    <x v="3"/>
    <s v="OFF-LA-10001297"/>
    <x v="0"/>
    <x v="2"/>
    <s v="Avery 473"/>
    <n v="20.7"/>
  </r>
  <r>
    <n v="80"/>
    <s v="CA-2017-127208"/>
    <d v="2017-06-12T00:00:00"/>
    <d v="2017-06-15T00:00:00"/>
    <x v="2"/>
    <x v="11"/>
    <n v="6"/>
    <n v="3"/>
    <s v="First Class"/>
    <s v="SC-20770"/>
    <x v="580"/>
    <x v="1"/>
    <s v="United States"/>
    <x v="64"/>
    <x v="36"/>
    <n v="35601"/>
    <x v="2"/>
    <s v="OFF-AP-10002118"/>
    <x v="0"/>
    <x v="4"/>
    <s v="1.7 Cubic Foot Compact &quot;Cube&quot; Office Refrigerators"/>
    <n v="208.16"/>
  </r>
  <r>
    <n v="3"/>
    <s v="CA-2017-138688"/>
    <d v="2017-06-12T00:00:00"/>
    <d v="2017-06-16T00:00:00"/>
    <x v="2"/>
    <x v="11"/>
    <n v="6"/>
    <n v="4"/>
    <s v="Second Class"/>
    <s v="DV-13045"/>
    <x v="581"/>
    <x v="1"/>
    <s v="United States"/>
    <x v="11"/>
    <x v="7"/>
    <n v="90036"/>
    <x v="3"/>
    <s v="OFF-LA-10000240"/>
    <x v="0"/>
    <x v="2"/>
    <s v="Self-Adhesive Address Labels for Typewriters by Universal"/>
    <n v="14.62"/>
  </r>
  <r>
    <n v="2903"/>
    <s v="CA-2017-164035"/>
    <d v="2017-06-12T00:00:00"/>
    <d v="2017-06-17T00:00:00"/>
    <x v="2"/>
    <x v="11"/>
    <n v="6"/>
    <n v="5"/>
    <s v="Standard Class"/>
    <s v="CR-12730"/>
    <x v="582"/>
    <x v="0"/>
    <s v="United States"/>
    <x v="19"/>
    <x v="14"/>
    <n v="60610"/>
    <x v="0"/>
    <s v="OFF-PA-10002160"/>
    <x v="0"/>
    <x v="9"/>
    <s v="Xerox 1978"/>
    <n v="23.12"/>
  </r>
  <r>
    <n v="6050"/>
    <s v="CA-2017-152765"/>
    <d v="2017-06-15T00:00:00"/>
    <d v="2017-06-18T00:00:00"/>
    <x v="2"/>
    <x v="11"/>
    <n v="6"/>
    <n v="3"/>
    <s v="First Class"/>
    <s v="LS-17245"/>
    <x v="583"/>
    <x v="0"/>
    <s v="United States"/>
    <x v="13"/>
    <x v="0"/>
    <n v="77036"/>
    <x v="0"/>
    <s v="OFF-PA-10000483"/>
    <x v="0"/>
    <x v="9"/>
    <s v="Xerox 19"/>
    <n v="173.488"/>
  </r>
  <r>
    <n v="7880"/>
    <s v="CA-2017-155747"/>
    <d v="2017-06-14T00:00:00"/>
    <d v="2017-06-21T00:00:00"/>
    <x v="2"/>
    <x v="11"/>
    <n v="6"/>
    <n v="7"/>
    <s v="Standard Class"/>
    <s v="JS-15685"/>
    <x v="584"/>
    <x v="1"/>
    <s v="United States"/>
    <x v="41"/>
    <x v="23"/>
    <n v="19140"/>
    <x v="1"/>
    <s v="FUR-TA-10003392"/>
    <x v="1"/>
    <x v="12"/>
    <s v="Global Adaptabilities Conference Tables"/>
    <n v="337.17599999999999"/>
  </r>
  <r>
    <n v="6506"/>
    <s v="CA-2017-152331"/>
    <d v="2017-06-26T00:00:00"/>
    <d v="2017-06-30T00:00:00"/>
    <x v="2"/>
    <x v="11"/>
    <n v="6"/>
    <n v="4"/>
    <s v="Standard Class"/>
    <s v="LD-16855"/>
    <x v="585"/>
    <x v="1"/>
    <s v="United States"/>
    <x v="19"/>
    <x v="14"/>
    <n v="60653"/>
    <x v="0"/>
    <s v="OFF-AR-10001547"/>
    <x v="0"/>
    <x v="0"/>
    <s v="Newell 311"/>
    <n v="5.3040000000000003"/>
  </r>
  <r>
    <n v="4919"/>
    <s v="CA-2017-160304"/>
    <d v="2017-01-02T00:00:00"/>
    <d v="2017-01-07T00:00:00"/>
    <x v="2"/>
    <x v="0"/>
    <n v="1"/>
    <n v="5"/>
    <s v="Standard Class"/>
    <s v="BM-11575"/>
    <x v="586"/>
    <x v="1"/>
    <s v="United States"/>
    <x v="203"/>
    <x v="29"/>
    <n v="20877"/>
    <x v="1"/>
    <s v="FUR-BO-10004709"/>
    <x v="1"/>
    <x v="13"/>
    <s v="Bush Westfield Collection Bookcases, Medium Cherry Finish"/>
    <n v="173.94"/>
  </r>
  <r>
    <n v="863"/>
    <s v="CA-2017-134474"/>
    <d v="2017-01-05T00:00:00"/>
    <d v="2017-01-07T00:00:00"/>
    <x v="2"/>
    <x v="0"/>
    <n v="1"/>
    <n v="2"/>
    <s v="Second Class"/>
    <s v="AJ-10795"/>
    <x v="587"/>
    <x v="1"/>
    <s v="United States"/>
    <x v="77"/>
    <x v="12"/>
    <n v="32216"/>
    <x v="2"/>
    <s v="TEC-AC-10001714"/>
    <x v="2"/>
    <x v="3"/>
    <s v="LogitechÂ MX Performance Wireless Mouse"/>
    <n v="191.47200000000001"/>
  </r>
  <r>
    <n v="1729"/>
    <s v="CA-2017-106894"/>
    <d v="2017-02-07T00:00:00"/>
    <d v="2017-02-07T00:00:00"/>
    <x v="2"/>
    <x v="2"/>
    <n v="2"/>
    <n v="0"/>
    <s v="Same Day"/>
    <s v="CA-12265"/>
    <x v="588"/>
    <x v="0"/>
    <s v="United States"/>
    <x v="2"/>
    <x v="2"/>
    <n v="22153"/>
    <x v="2"/>
    <s v="TEC-AC-10003063"/>
    <x v="2"/>
    <x v="3"/>
    <s v="Micro Innovations USB RF Wireless Keyboard with Mouse"/>
    <n v="100"/>
  </r>
  <r>
    <n v="8523"/>
    <s v="US-2017-160206"/>
    <d v="2017-04-01T00:00:00"/>
    <d v="2017-04-07T00:00:00"/>
    <x v="2"/>
    <x v="9"/>
    <n v="4"/>
    <n v="6"/>
    <s v="Standard Class"/>
    <s v="MY-18295"/>
    <x v="589"/>
    <x v="1"/>
    <s v="United States"/>
    <x v="44"/>
    <x v="6"/>
    <n v="53209"/>
    <x v="0"/>
    <s v="TEC-PH-10000148"/>
    <x v="2"/>
    <x v="8"/>
    <s v="Cyber Acoustics AC-202b Speech Recognition Stereo Headset"/>
    <n v="12.99"/>
  </r>
  <r>
    <n v="1278"/>
    <s v="CA-2017-148698"/>
    <d v="2017-05-02T00:00:00"/>
    <d v="2017-05-07T00:00:00"/>
    <x v="2"/>
    <x v="1"/>
    <n v="5"/>
    <n v="5"/>
    <s v="Standard Class"/>
    <s v="BD-11770"/>
    <x v="590"/>
    <x v="0"/>
    <s v="United States"/>
    <x v="13"/>
    <x v="0"/>
    <n v="77070"/>
    <x v="0"/>
    <s v="OFF-AR-10004022"/>
    <x v="0"/>
    <x v="0"/>
    <s v="Panasonic KP-380BK Classic Electric Pencil Sharpener"/>
    <n v="86.352000000000004"/>
  </r>
  <r>
    <n v="8679"/>
    <s v="CA-2017-112739"/>
    <d v="2017-09-02T00:00:00"/>
    <d v="2017-09-07T00:00:00"/>
    <x v="2"/>
    <x v="4"/>
    <n v="9"/>
    <n v="5"/>
    <s v="Second Class"/>
    <s v="RD-19810"/>
    <x v="591"/>
    <x v="2"/>
    <s v="United States"/>
    <x v="13"/>
    <x v="0"/>
    <n v="77070"/>
    <x v="0"/>
    <s v="OFF-BI-10001132"/>
    <x v="0"/>
    <x v="6"/>
    <s v="Acco PRESSTEX Data Binder with Storage Hooks, Dark Blue, 9 1/2&quot; X 11&quot;"/>
    <n v="8.6080000000000005"/>
  </r>
  <r>
    <n v="7563"/>
    <s v="US-2017-104815"/>
    <d v="2017-09-03T00:00:00"/>
    <d v="2017-09-07T00:00:00"/>
    <x v="2"/>
    <x v="4"/>
    <n v="9"/>
    <n v="4"/>
    <s v="Standard Class"/>
    <s v="RB-19570"/>
    <x v="592"/>
    <x v="0"/>
    <s v="United States"/>
    <x v="19"/>
    <x v="14"/>
    <n v="60610"/>
    <x v="0"/>
    <s v="FUR-BO-10003894"/>
    <x v="1"/>
    <x v="13"/>
    <s v="Safco Value Mate Steel Bookcase, Baked Enamel Finish on Steel, Black"/>
    <n v="198.744"/>
  </r>
  <r>
    <n v="9142"/>
    <s v="CA-2017-139409"/>
    <d v="2017-09-05T00:00:00"/>
    <d v="2017-09-07T00:00:00"/>
    <x v="2"/>
    <x v="4"/>
    <n v="9"/>
    <n v="2"/>
    <s v="First Class"/>
    <s v="FW-14395"/>
    <x v="593"/>
    <x v="1"/>
    <s v="United States"/>
    <x v="10"/>
    <x v="8"/>
    <n v="10011"/>
    <x v="1"/>
    <s v="TEC-PH-10003988"/>
    <x v="2"/>
    <x v="8"/>
    <s v="LF Elite 3D Dazzle Designer Hard Case Cover, Lf Stylus Pen and Wiper For Apple Iphone 5c Mini Lite"/>
    <n v="43.6"/>
  </r>
  <r>
    <n v="6696"/>
    <s v="US-2017-155103"/>
    <d v="2017-12-02T00:00:00"/>
    <d v="2017-12-07T00:00:00"/>
    <x v="2"/>
    <x v="7"/>
    <n v="12"/>
    <n v="5"/>
    <s v="Standard Class"/>
    <s v="JF-15190"/>
    <x v="594"/>
    <x v="0"/>
    <s v="United States"/>
    <x v="10"/>
    <x v="8"/>
    <n v="10024"/>
    <x v="1"/>
    <s v="OFF-BI-10004318"/>
    <x v="0"/>
    <x v="6"/>
    <s v="Ibico EB-19 Dual Function Manual Binding System"/>
    <n v="415.17599999999999"/>
  </r>
  <r>
    <n v="4185"/>
    <s v="CA-2017-143749"/>
    <d v="2017-12-05T00:00:00"/>
    <d v="2017-12-07T00:00:00"/>
    <x v="2"/>
    <x v="7"/>
    <n v="12"/>
    <n v="2"/>
    <s v="First Class"/>
    <s v="AG-10300"/>
    <x v="595"/>
    <x v="1"/>
    <s v="United States"/>
    <x v="168"/>
    <x v="9"/>
    <n v="2038"/>
    <x v="1"/>
    <s v="FUR-BO-10002853"/>
    <x v="1"/>
    <x v="13"/>
    <s v="O'Sullivan 5-Shelf Heavy-Duty Bookcases"/>
    <n v="81.94"/>
  </r>
  <r>
    <n v="5060"/>
    <s v="CA-2017-109722"/>
    <d v="2017-12-05T00:00:00"/>
    <d v="2017-12-07T00:00:00"/>
    <x v="2"/>
    <x v="7"/>
    <n v="12"/>
    <n v="2"/>
    <s v="Second Class"/>
    <s v="TP-21130"/>
    <x v="596"/>
    <x v="0"/>
    <s v="United States"/>
    <x v="204"/>
    <x v="10"/>
    <n v="40324"/>
    <x v="2"/>
    <s v="TEC-PH-10000560"/>
    <x v="2"/>
    <x v="8"/>
    <s v="Samsung Galaxy S III - 16GB - pebble blue (T-Mobile)"/>
    <n v="699.98"/>
  </r>
  <r>
    <n v="6524"/>
    <s v="CA-2017-129308"/>
    <d v="2017-07-07T00:00:00"/>
    <d v="2017-07-13T00:00:00"/>
    <x v="2"/>
    <x v="10"/>
    <n v="7"/>
    <n v="6"/>
    <s v="Standard Class"/>
    <s v="CC-12100"/>
    <x v="597"/>
    <x v="2"/>
    <s v="United States"/>
    <x v="41"/>
    <x v="23"/>
    <n v="19120"/>
    <x v="1"/>
    <s v="OFF-LA-10002945"/>
    <x v="0"/>
    <x v="2"/>
    <s v="Permanent Self-Adhesive File Folder Labels for Typewriters, 1 1/8 x 3 1/2, White"/>
    <n v="10.08"/>
  </r>
  <r>
    <n v="2154"/>
    <s v="CA-2017-117282"/>
    <d v="2017-07-14T00:00:00"/>
    <d v="2017-07-18T00:00:00"/>
    <x v="2"/>
    <x v="10"/>
    <n v="7"/>
    <n v="4"/>
    <s v="Standard Class"/>
    <s v="DR-12880"/>
    <x v="598"/>
    <x v="1"/>
    <s v="United States"/>
    <x v="10"/>
    <x v="8"/>
    <n v="10009"/>
    <x v="1"/>
    <s v="OFF-BI-10004094"/>
    <x v="0"/>
    <x v="6"/>
    <s v="GBC Standard Plastic Binding Systems Combs"/>
    <n v="14.16"/>
  </r>
  <r>
    <n v="6957"/>
    <s v="CA-2017-157588"/>
    <d v="2017-07-14T00:00:00"/>
    <d v="2017-07-19T00:00:00"/>
    <x v="2"/>
    <x v="10"/>
    <n v="7"/>
    <n v="5"/>
    <s v="Standard Class"/>
    <s v="AR-10570"/>
    <x v="599"/>
    <x v="0"/>
    <s v="United States"/>
    <x v="4"/>
    <x v="3"/>
    <n v="31907"/>
    <x v="2"/>
    <s v="OFF-BI-10003963"/>
    <x v="0"/>
    <x v="6"/>
    <s v="Cardinal Holdit Data Disk Pockets"/>
    <n v="36.4"/>
  </r>
  <r>
    <n v="7932"/>
    <s v="US-2017-168095"/>
    <d v="2017-07-15T00:00:00"/>
    <d v="2017-07-20T00:00:00"/>
    <x v="2"/>
    <x v="10"/>
    <n v="7"/>
    <n v="5"/>
    <s v="Standard Class"/>
    <s v="MC-17425"/>
    <x v="600"/>
    <x v="1"/>
    <s v="United States"/>
    <x v="37"/>
    <x v="21"/>
    <n v="97206"/>
    <x v="3"/>
    <s v="FUR-CH-10004886"/>
    <x v="1"/>
    <x v="5"/>
    <s v="Bevis Steel Folding Chairs"/>
    <n v="230.28"/>
  </r>
  <r>
    <n v="8604"/>
    <s v="US-2017-116365"/>
    <d v="2017-01-03T00:00:00"/>
    <d v="2017-01-08T00:00:00"/>
    <x v="2"/>
    <x v="0"/>
    <n v="1"/>
    <n v="5"/>
    <s v="Standard Class"/>
    <s v="CA-12310"/>
    <x v="601"/>
    <x v="1"/>
    <s v="United States"/>
    <x v="88"/>
    <x v="0"/>
    <n v="78207"/>
    <x v="0"/>
    <s v="TEC-AC-10002217"/>
    <x v="2"/>
    <x v="3"/>
    <s v="ImationÂ Clip USBÂ flash driveÂ - 8 GB"/>
    <n v="30.08"/>
  </r>
  <r>
    <n v="9494"/>
    <s v="CA-2017-105207"/>
    <d v="2017-01-03T00:00:00"/>
    <d v="2017-01-08T00:00:00"/>
    <x v="2"/>
    <x v="0"/>
    <n v="1"/>
    <n v="5"/>
    <s v="Standard Class"/>
    <s v="BO-11350"/>
    <x v="602"/>
    <x v="1"/>
    <s v="United States"/>
    <x v="205"/>
    <x v="34"/>
    <n v="74012"/>
    <x v="0"/>
    <s v="FUR-TA-10000617"/>
    <x v="1"/>
    <x v="12"/>
    <s v="Hon Practical Foundations 30 x 60 Training Table, Light Gray/Charcoal"/>
    <n v="1592.85"/>
  </r>
  <r>
    <n v="5868"/>
    <s v="CA-2017-158211"/>
    <d v="2017-01-04T00:00:00"/>
    <d v="2017-01-08T00:00:00"/>
    <x v="2"/>
    <x v="0"/>
    <n v="1"/>
    <n v="4"/>
    <s v="Standard Class"/>
    <s v="BP-11185"/>
    <x v="603"/>
    <x v="1"/>
    <s v="United States"/>
    <x v="41"/>
    <x v="23"/>
    <n v="19143"/>
    <x v="1"/>
    <s v="OFF-AR-10004078"/>
    <x v="0"/>
    <x v="0"/>
    <s v="Newell 312"/>
    <n v="4.6719999999999997"/>
  </r>
  <r>
    <n v="6043"/>
    <s v="CA-2017-117912"/>
    <d v="2017-02-04T00:00:00"/>
    <d v="2017-02-08T00:00:00"/>
    <x v="2"/>
    <x v="2"/>
    <n v="2"/>
    <n v="4"/>
    <s v="Standard Class"/>
    <s v="TB-21520"/>
    <x v="604"/>
    <x v="0"/>
    <s v="United States"/>
    <x v="206"/>
    <x v="15"/>
    <n v="85635"/>
    <x v="3"/>
    <s v="FUR-FU-10002088"/>
    <x v="1"/>
    <x v="1"/>
    <s v="Nu-Dell Float Frame 11 x 14 1/2"/>
    <n v="14.368"/>
  </r>
  <r>
    <n v="3265"/>
    <s v="CA-2017-122518"/>
    <d v="2017-03-04T00:00:00"/>
    <d v="2017-03-08T00:00:00"/>
    <x v="2"/>
    <x v="8"/>
    <n v="3"/>
    <n v="4"/>
    <s v="Second Class"/>
    <s v="RF-19345"/>
    <x v="605"/>
    <x v="1"/>
    <s v="United States"/>
    <x v="21"/>
    <x v="12"/>
    <n v="33180"/>
    <x v="2"/>
    <s v="OFF-LA-10001641"/>
    <x v="0"/>
    <x v="2"/>
    <s v="Avery 518"/>
    <n v="10.08"/>
  </r>
  <r>
    <n v="5316"/>
    <s v="CA-2017-154060"/>
    <d v="2017-05-02T00:00:00"/>
    <d v="2017-05-08T00:00:00"/>
    <x v="2"/>
    <x v="1"/>
    <n v="5"/>
    <n v="6"/>
    <s v="Standard Class"/>
    <s v="DL-12865"/>
    <x v="606"/>
    <x v="0"/>
    <s v="United States"/>
    <x v="207"/>
    <x v="18"/>
    <n v="27405"/>
    <x v="2"/>
    <s v="FUR-CH-10002304"/>
    <x v="1"/>
    <x v="5"/>
    <s v="Global Stack Chair without Arms, Black"/>
    <n v="187.05600000000001"/>
  </r>
  <r>
    <n v="8337"/>
    <s v="CA-2017-101469"/>
    <d v="2017-07-02T00:00:00"/>
    <d v="2017-07-08T00:00:00"/>
    <x v="2"/>
    <x v="10"/>
    <n v="7"/>
    <n v="6"/>
    <s v="Standard Class"/>
    <s v="KH-16360"/>
    <x v="607"/>
    <x v="0"/>
    <s v="United States"/>
    <x v="67"/>
    <x v="2"/>
    <n v="22204"/>
    <x v="2"/>
    <s v="OFF-AR-10003986"/>
    <x v="0"/>
    <x v="0"/>
    <s v="Avery Hi-Liter Pen Style Six-Color Fluorescent Set"/>
    <n v="7.7"/>
  </r>
  <r>
    <n v="1764"/>
    <s v="CA-2017-110254"/>
    <d v="2017-08-04T00:00:00"/>
    <d v="2017-08-08T00:00:00"/>
    <x v="2"/>
    <x v="3"/>
    <n v="8"/>
    <n v="4"/>
    <s v="Standard Class"/>
    <s v="ML-17755"/>
    <x v="608"/>
    <x v="2"/>
    <s v="United States"/>
    <x v="165"/>
    <x v="2"/>
    <n v="23434"/>
    <x v="2"/>
    <s v="OFF-SU-10002573"/>
    <x v="0"/>
    <x v="15"/>
    <s v="Acme 10&quot; Easy Grip Assistive Scissors"/>
    <n v="35.06"/>
  </r>
  <r>
    <n v="4514"/>
    <s v="CA-2017-145240"/>
    <d v="2017-09-06T00:00:00"/>
    <d v="2017-09-08T00:00:00"/>
    <x v="2"/>
    <x v="4"/>
    <n v="9"/>
    <n v="2"/>
    <s v="First Class"/>
    <s v="BG-11740"/>
    <x v="609"/>
    <x v="0"/>
    <s v="United States"/>
    <x v="13"/>
    <x v="0"/>
    <n v="77070"/>
    <x v="0"/>
    <s v="OFF-ST-10001590"/>
    <x v="0"/>
    <x v="11"/>
    <s v="Tenex Personal Project File with Scoop Front Design, Black"/>
    <n v="10.784000000000001"/>
  </r>
  <r>
    <n v="703"/>
    <s v="CA-2017-163755"/>
    <d v="2017-11-04T00:00:00"/>
    <d v="2017-11-08T00:00:00"/>
    <x v="2"/>
    <x v="6"/>
    <n v="11"/>
    <n v="4"/>
    <s v="Second Class"/>
    <s v="AS-10285"/>
    <x v="610"/>
    <x v="1"/>
    <s v="United States"/>
    <x v="49"/>
    <x v="24"/>
    <n v="98103"/>
    <x v="3"/>
    <s v="FUR-FU-10003394"/>
    <x v="1"/>
    <x v="1"/>
    <s v="Tenex &quot;The Solids&quot; Textured Chair Mats"/>
    <n v="209.88"/>
  </r>
  <r>
    <n v="1480"/>
    <s v="US-2017-108455"/>
    <d v="2017-12-02T00:00:00"/>
    <d v="2017-12-08T00:00:00"/>
    <x v="2"/>
    <x v="7"/>
    <n v="12"/>
    <n v="6"/>
    <s v="Standard Class"/>
    <s v="MK-18160"/>
    <x v="611"/>
    <x v="0"/>
    <s v="United States"/>
    <x v="9"/>
    <x v="7"/>
    <n v="94122"/>
    <x v="3"/>
    <s v="OFF-PA-10002262"/>
    <x v="0"/>
    <x v="9"/>
    <s v="Xerox 192"/>
    <n v="25.92"/>
  </r>
  <r>
    <n v="4198"/>
    <s v="US-2017-161683"/>
    <d v="2017-12-03T00:00:00"/>
    <d v="2017-12-08T00:00:00"/>
    <x v="2"/>
    <x v="7"/>
    <n v="12"/>
    <n v="5"/>
    <s v="Standard Class"/>
    <s v="CJ-12010"/>
    <x v="612"/>
    <x v="0"/>
    <s v="United States"/>
    <x v="41"/>
    <x v="23"/>
    <n v="19134"/>
    <x v="1"/>
    <s v="OFF-AP-10000179"/>
    <x v="0"/>
    <x v="4"/>
    <s v="Honeywell Enviracaire Portable HEPA Air Cleaner for up to 10 x 16 Room"/>
    <n v="394.81599999999997"/>
  </r>
  <r>
    <n v="1534"/>
    <s v="CA-2017-139885"/>
    <d v="2017-12-04T00:00:00"/>
    <d v="2017-12-08T00:00:00"/>
    <x v="2"/>
    <x v="7"/>
    <n v="12"/>
    <n v="4"/>
    <s v="Standard Class"/>
    <s v="EB-13840"/>
    <x v="613"/>
    <x v="1"/>
    <s v="United States"/>
    <x v="10"/>
    <x v="8"/>
    <n v="10035"/>
    <x v="1"/>
    <s v="OFF-ST-10003324"/>
    <x v="0"/>
    <x v="11"/>
    <s v="Belkin OmniView SE Rackmount Kit"/>
    <n v="212.88"/>
  </r>
  <r>
    <n v="5777"/>
    <s v="CA-2017-105277"/>
    <d v="2017-12-04T00:00:00"/>
    <d v="2017-12-08T00:00:00"/>
    <x v="2"/>
    <x v="7"/>
    <n v="12"/>
    <n v="4"/>
    <s v="Standard Class"/>
    <s v="LM-17065"/>
    <x v="614"/>
    <x v="0"/>
    <s v="United States"/>
    <x v="196"/>
    <x v="8"/>
    <n v="13021"/>
    <x v="1"/>
    <s v="OFF-BI-10000301"/>
    <x v="0"/>
    <x v="6"/>
    <s v="GBC Instant Report Kit"/>
    <n v="15.528"/>
  </r>
  <r>
    <n v="8306"/>
    <s v="CA-2017-128671"/>
    <d v="2017-08-11T00:00:00"/>
    <d v="2017-08-16T00:00:00"/>
    <x v="2"/>
    <x v="3"/>
    <n v="8"/>
    <n v="5"/>
    <s v="Standard Class"/>
    <s v="MT-18070"/>
    <x v="615"/>
    <x v="2"/>
    <s v="United States"/>
    <x v="101"/>
    <x v="34"/>
    <n v="74133"/>
    <x v="0"/>
    <s v="OFF-PA-10001870"/>
    <x v="0"/>
    <x v="9"/>
    <s v="Xerox 202"/>
    <n v="32.4"/>
  </r>
  <r>
    <n v="6134"/>
    <s v="CA-2017-148096"/>
    <d v="2017-08-16T00:00:00"/>
    <d v="2017-08-19T00:00:00"/>
    <x v="2"/>
    <x v="3"/>
    <n v="8"/>
    <n v="3"/>
    <s v="First Class"/>
    <s v="AO-10810"/>
    <x v="616"/>
    <x v="1"/>
    <s v="United States"/>
    <x v="11"/>
    <x v="7"/>
    <n v="90045"/>
    <x v="3"/>
    <s v="FUR-TA-10004152"/>
    <x v="1"/>
    <x v="12"/>
    <s v="Barricks 18&quot; x 48&quot; Non-Folding Utility Table with Bottom Storage Shelf"/>
    <n v="161.28"/>
  </r>
  <r>
    <n v="2898"/>
    <s v="US-2017-164630"/>
    <d v="2017-01-04T00:00:00"/>
    <d v="2017-01-09T00:00:00"/>
    <x v="2"/>
    <x v="0"/>
    <n v="1"/>
    <n v="5"/>
    <s v="Standard Class"/>
    <s v="EB-13975"/>
    <x v="617"/>
    <x v="1"/>
    <s v="United States"/>
    <x v="31"/>
    <x v="18"/>
    <n v="28205"/>
    <x v="2"/>
    <s v="TEC-CO-10000971"/>
    <x v="2"/>
    <x v="7"/>
    <s v="Hewlett Packard 310 Color Digital Copier"/>
    <n v="959.96799999999996"/>
  </r>
  <r>
    <n v="2696"/>
    <s v="CA-2017-161662"/>
    <d v="2017-02-07T00:00:00"/>
    <d v="2017-02-09T00:00:00"/>
    <x v="2"/>
    <x v="2"/>
    <n v="2"/>
    <n v="2"/>
    <s v="First Class"/>
    <s v="BE-11410"/>
    <x v="618"/>
    <x v="0"/>
    <s v="United States"/>
    <x v="93"/>
    <x v="4"/>
    <n v="43130"/>
    <x v="1"/>
    <s v="OFF-PA-10003465"/>
    <x v="0"/>
    <x v="9"/>
    <s v="Xerox 1912"/>
    <n v="30.352"/>
  </r>
  <r>
    <n v="5898"/>
    <s v="CA-2017-167682"/>
    <d v="2017-04-03T00:00:00"/>
    <d v="2017-04-09T00:00:00"/>
    <x v="2"/>
    <x v="9"/>
    <n v="4"/>
    <n v="6"/>
    <s v="Standard Class"/>
    <s v="ZD-21925"/>
    <x v="619"/>
    <x v="0"/>
    <s v="United States"/>
    <x v="15"/>
    <x v="40"/>
    <n v="47374"/>
    <x v="0"/>
    <s v="FUR-FU-10003799"/>
    <x v="1"/>
    <x v="1"/>
    <s v="Seth Thomas 13 1/2&quot; Wall Clock"/>
    <n v="71.12"/>
  </r>
  <r>
    <n v="5440"/>
    <s v="CA-2017-167115"/>
    <d v="2017-04-04T00:00:00"/>
    <d v="2017-04-09T00:00:00"/>
    <x v="2"/>
    <x v="9"/>
    <n v="4"/>
    <n v="5"/>
    <s v="Standard Class"/>
    <s v="EH-14185"/>
    <x v="620"/>
    <x v="0"/>
    <s v="United States"/>
    <x v="10"/>
    <x v="8"/>
    <n v="10035"/>
    <x v="1"/>
    <s v="OFF-BI-10004600"/>
    <x v="0"/>
    <x v="6"/>
    <s v="Ibico Ibimaster 300 Manual Binding System"/>
    <n v="588.78399999999999"/>
  </r>
  <r>
    <n v="2589"/>
    <s v="CA-2017-137729"/>
    <d v="2017-05-05T00:00:00"/>
    <d v="2017-05-09T00:00:00"/>
    <x v="2"/>
    <x v="1"/>
    <n v="5"/>
    <n v="4"/>
    <s v="Standard Class"/>
    <s v="BF-11005"/>
    <x v="621"/>
    <x v="2"/>
    <s v="United States"/>
    <x v="11"/>
    <x v="7"/>
    <n v="90004"/>
    <x v="3"/>
    <s v="OFF-ST-10001505"/>
    <x v="0"/>
    <x v="11"/>
    <s v="Perma STOR-ALL Hanging File Box, 13 1/8&quot;W x 12 1/4&quot;D x 10 1/2&quot;H"/>
    <n v="5.98"/>
  </r>
  <r>
    <n v="5085"/>
    <s v="CA-2017-108350"/>
    <d v="2017-06-06T00:00:00"/>
    <d v="2017-06-09T00:00:00"/>
    <x v="2"/>
    <x v="11"/>
    <n v="6"/>
    <n v="3"/>
    <s v="Second Class"/>
    <s v="SC-20230"/>
    <x v="622"/>
    <x v="1"/>
    <s v="United States"/>
    <x v="14"/>
    <x v="9"/>
    <n v="1852"/>
    <x v="1"/>
    <s v="OFF-PA-10003656"/>
    <x v="0"/>
    <x v="9"/>
    <s v="Xerox 1935"/>
    <n v="105.52"/>
  </r>
  <r>
    <n v="3983"/>
    <s v="CA-2017-135265"/>
    <d v="2017-07-07T00:00:00"/>
    <d v="2017-07-09T00:00:00"/>
    <x v="2"/>
    <x v="10"/>
    <n v="7"/>
    <n v="2"/>
    <s v="Second Class"/>
    <s v="CC-12370"/>
    <x v="623"/>
    <x v="0"/>
    <s v="United States"/>
    <x v="11"/>
    <x v="7"/>
    <n v="90045"/>
    <x v="3"/>
    <s v="FUR-CH-10003061"/>
    <x v="1"/>
    <x v="5"/>
    <s v="Global Leather Task Chair, Black"/>
    <n v="287.96800000000002"/>
  </r>
  <r>
    <n v="8737"/>
    <s v="CA-2017-168774"/>
    <d v="2017-09-04T00:00:00"/>
    <d v="2017-09-09T00:00:00"/>
    <x v="2"/>
    <x v="4"/>
    <n v="9"/>
    <n v="5"/>
    <s v="Standard Class"/>
    <s v="RP-19855"/>
    <x v="624"/>
    <x v="1"/>
    <s v="United States"/>
    <x v="208"/>
    <x v="26"/>
    <n v="55125"/>
    <x v="0"/>
    <s v="OFF-ST-10001490"/>
    <x v="0"/>
    <x v="11"/>
    <s v="Hot File 7-Pocket, Floor Stand"/>
    <n v="535.41"/>
  </r>
  <r>
    <n v="3617"/>
    <s v="CA-2017-154536"/>
    <d v="2017-09-05T00:00:00"/>
    <d v="2017-09-09T00:00:00"/>
    <x v="2"/>
    <x v="4"/>
    <n v="9"/>
    <n v="4"/>
    <s v="Standard Class"/>
    <s v="JC-15340"/>
    <x v="625"/>
    <x v="0"/>
    <s v="United States"/>
    <x v="41"/>
    <x v="23"/>
    <n v="19120"/>
    <x v="1"/>
    <s v="OFF-BI-10004410"/>
    <x v="0"/>
    <x v="6"/>
    <s v="C-Line Peel &amp; Stick Add-On Filing Pockets, 8-3/4 x 5-1/8, 10/Pack"/>
    <n v="9.5549999999999997"/>
  </r>
  <r>
    <n v="7591"/>
    <s v="CA-2017-158778"/>
    <d v="2017-09-05T00:00:00"/>
    <d v="2017-09-09T00:00:00"/>
    <x v="2"/>
    <x v="4"/>
    <n v="9"/>
    <n v="4"/>
    <s v="Standard Class"/>
    <s v="DB-13210"/>
    <x v="626"/>
    <x v="0"/>
    <s v="United States"/>
    <x v="41"/>
    <x v="23"/>
    <n v="19134"/>
    <x v="1"/>
    <s v="FUR-FU-10000260"/>
    <x v="1"/>
    <x v="1"/>
    <s v="6&quot; Cubicle Wall Clock, Black"/>
    <n v="58.247999999999998"/>
  </r>
  <r>
    <n v="4751"/>
    <s v="CA-2017-127649"/>
    <d v="2017-10-07T00:00:00"/>
    <d v="2017-10-09T00:00:00"/>
    <x v="2"/>
    <x v="5"/>
    <n v="10"/>
    <n v="2"/>
    <s v="First Class"/>
    <s v="DL-13495"/>
    <x v="627"/>
    <x v="1"/>
    <s v="United States"/>
    <x v="152"/>
    <x v="24"/>
    <n v="99207"/>
    <x v="3"/>
    <s v="TEC-MA-10001972"/>
    <x v="2"/>
    <x v="16"/>
    <s v="Okidata C331dn Printer"/>
    <n v="837.6"/>
  </r>
  <r>
    <n v="7046"/>
    <s v="CA-2017-160136"/>
    <d v="2017-11-03T00:00:00"/>
    <d v="2017-11-09T00:00:00"/>
    <x v="2"/>
    <x v="6"/>
    <n v="11"/>
    <n v="6"/>
    <s v="Standard Class"/>
    <s v="PJ-18835"/>
    <x v="628"/>
    <x v="1"/>
    <s v="United States"/>
    <x v="74"/>
    <x v="0"/>
    <n v="75217"/>
    <x v="0"/>
    <s v="OFF-PA-10002160"/>
    <x v="0"/>
    <x v="9"/>
    <s v="Xerox 1978"/>
    <n v="9.2479999999999993"/>
  </r>
  <r>
    <n v="6729"/>
    <s v="CA-2017-165827"/>
    <d v="2017-11-04T00:00:00"/>
    <d v="2017-11-09T00:00:00"/>
    <x v="2"/>
    <x v="6"/>
    <n v="11"/>
    <n v="5"/>
    <s v="Standard Class"/>
    <s v="MF-17665"/>
    <x v="629"/>
    <x v="1"/>
    <s v="United States"/>
    <x v="21"/>
    <x v="12"/>
    <n v="33180"/>
    <x v="2"/>
    <s v="FUR-FU-10001889"/>
    <x v="1"/>
    <x v="1"/>
    <s v="Ultra Door Pull Handle"/>
    <n v="50.496000000000002"/>
  </r>
  <r>
    <n v="4971"/>
    <s v="US-2017-153815"/>
    <d v="2017-11-06T00:00:00"/>
    <d v="2017-11-09T00:00:00"/>
    <x v="2"/>
    <x v="6"/>
    <n v="11"/>
    <n v="3"/>
    <s v="First Class"/>
    <s v="KL-16555"/>
    <x v="630"/>
    <x v="1"/>
    <s v="United States"/>
    <x v="77"/>
    <x v="12"/>
    <n v="32216"/>
    <x v="2"/>
    <s v="FUR-CH-10000513"/>
    <x v="1"/>
    <x v="5"/>
    <s v="High-Back Leather Manager's Chair"/>
    <n v="207.98400000000001"/>
  </r>
  <r>
    <n v="6160"/>
    <s v="CA-2017-161025"/>
    <d v="2017-12-03T00:00:00"/>
    <d v="2017-12-09T00:00:00"/>
    <x v="2"/>
    <x v="7"/>
    <n v="12"/>
    <n v="6"/>
    <s v="Standard Class"/>
    <s v="GM-14440"/>
    <x v="631"/>
    <x v="0"/>
    <s v="United States"/>
    <x v="11"/>
    <x v="7"/>
    <n v="90049"/>
    <x v="3"/>
    <s v="OFF-ST-10001932"/>
    <x v="0"/>
    <x v="11"/>
    <s v="Fellowes Staxonsteel Drawer Files"/>
    <n v="772.68"/>
  </r>
  <r>
    <n v="148"/>
    <s v="CA-2017-114489"/>
    <d v="2017-12-05T00:00:00"/>
    <d v="2017-12-09T00:00:00"/>
    <x v="2"/>
    <x v="7"/>
    <n v="12"/>
    <n v="4"/>
    <s v="Standard Class"/>
    <s v="JE-16165"/>
    <x v="632"/>
    <x v="1"/>
    <s v="United States"/>
    <x v="168"/>
    <x v="6"/>
    <n v="53132"/>
    <x v="0"/>
    <s v="TEC-PH-10000215"/>
    <x v="2"/>
    <x v="8"/>
    <s v="Plantronics CordlessÂ Phone HeadsetÂ with In-line Volume - M214C"/>
    <n v="384.45"/>
  </r>
  <r>
    <n v="8807"/>
    <s v="CA-2017-113082"/>
    <d v="2017-09-12T00:00:00"/>
    <d v="2017-09-16T00:00:00"/>
    <x v="2"/>
    <x v="4"/>
    <n v="9"/>
    <n v="4"/>
    <s v="Standard Class"/>
    <s v="MC-17590"/>
    <x v="633"/>
    <x v="1"/>
    <s v="United States"/>
    <x v="209"/>
    <x v="8"/>
    <n v="13501"/>
    <x v="1"/>
    <s v="FUR-FU-10002813"/>
    <x v="1"/>
    <x v="1"/>
    <s v="DAX Contemporary Wood Frame with Silver Metal Mat, Desktop, 11 x 14 Size"/>
    <n v="40.479999999999997"/>
  </r>
  <r>
    <n v="8783"/>
    <s v="CA-2017-116911"/>
    <d v="2017-09-15T00:00:00"/>
    <d v="2017-09-20T00:00:00"/>
    <x v="2"/>
    <x v="4"/>
    <n v="9"/>
    <n v="5"/>
    <s v="Standard Class"/>
    <s v="JD-16150"/>
    <x v="634"/>
    <x v="1"/>
    <s v="United States"/>
    <x v="210"/>
    <x v="16"/>
    <n v="83301"/>
    <x v="3"/>
    <s v="OFF-BI-10001249"/>
    <x v="0"/>
    <x v="6"/>
    <s v="Avery Heavy-Duty EZD View Binder with Locking Rings"/>
    <n v="20.416"/>
  </r>
  <r>
    <n v="2607"/>
    <s v="CA-2017-154053"/>
    <d v="2017-03-04T00:00:00"/>
    <d v="2017-03-10T00:00:00"/>
    <x v="2"/>
    <x v="8"/>
    <n v="3"/>
    <n v="6"/>
    <s v="Standard Class"/>
    <s v="MG-17890"/>
    <x v="635"/>
    <x v="2"/>
    <s v="United States"/>
    <x v="48"/>
    <x v="7"/>
    <n v="92024"/>
    <x v="3"/>
    <s v="OFF-AR-10003727"/>
    <x v="0"/>
    <x v="0"/>
    <s v="Berol Giant Pencil Sharpener"/>
    <n v="16.989999999999998"/>
  </r>
  <r>
    <n v="3005"/>
    <s v="CA-2017-131499"/>
    <d v="2017-09-08T00:00:00"/>
    <d v="2017-09-10T00:00:00"/>
    <x v="2"/>
    <x v="4"/>
    <n v="9"/>
    <n v="2"/>
    <s v="First Class"/>
    <s v="MG-17875"/>
    <x v="636"/>
    <x v="2"/>
    <s v="United States"/>
    <x v="10"/>
    <x v="8"/>
    <n v="10011"/>
    <x v="1"/>
    <s v="OFF-AP-10003779"/>
    <x v="0"/>
    <x v="4"/>
    <s v="Kensington 7 Outlet MasterPiece Power Center with Fax/Phone Line Protection"/>
    <n v="207.48"/>
  </r>
  <r>
    <n v="6377"/>
    <s v="CA-2017-163216"/>
    <d v="2017-10-07T00:00:00"/>
    <d v="2017-10-10T00:00:00"/>
    <x v="2"/>
    <x v="5"/>
    <n v="10"/>
    <n v="3"/>
    <s v="First Class"/>
    <s v="AW-10930"/>
    <x v="637"/>
    <x v="2"/>
    <s v="United States"/>
    <x v="41"/>
    <x v="23"/>
    <n v="19143"/>
    <x v="1"/>
    <s v="OFF-LA-10000134"/>
    <x v="0"/>
    <x v="2"/>
    <s v="Avery 511"/>
    <n v="4.9279999999999999"/>
  </r>
  <r>
    <n v="4370"/>
    <s v="US-2017-165078"/>
    <d v="2017-11-05T00:00:00"/>
    <d v="2017-11-10T00:00:00"/>
    <x v="2"/>
    <x v="6"/>
    <n v="11"/>
    <n v="5"/>
    <s v="Standard Class"/>
    <s v="MA-17995"/>
    <x v="638"/>
    <x v="2"/>
    <s v="United States"/>
    <x v="131"/>
    <x v="40"/>
    <n v="46226"/>
    <x v="0"/>
    <s v="OFF-BI-10001989"/>
    <x v="0"/>
    <x v="6"/>
    <s v="Premium Transparent Presentation Covers by GBC"/>
    <n v="104.9"/>
  </r>
  <r>
    <n v="129"/>
    <s v="US-2017-125969"/>
    <d v="2017-11-06T00:00:00"/>
    <d v="2017-11-10T00:00:00"/>
    <x v="2"/>
    <x v="6"/>
    <n v="11"/>
    <n v="4"/>
    <s v="Second Class"/>
    <s v="LS-16975"/>
    <x v="639"/>
    <x v="2"/>
    <s v="United States"/>
    <x v="11"/>
    <x v="7"/>
    <n v="90004"/>
    <x v="3"/>
    <s v="FUR-CH-10001146"/>
    <x v="1"/>
    <x v="5"/>
    <s v="Global Task Chair, Black"/>
    <n v="81.424000000000007"/>
  </r>
  <r>
    <n v="4597"/>
    <s v="CA-2017-140564"/>
    <d v="2017-12-05T00:00:00"/>
    <d v="2017-12-10T00:00:00"/>
    <x v="2"/>
    <x v="7"/>
    <n v="12"/>
    <n v="5"/>
    <s v="Second Class"/>
    <s v="TC-21475"/>
    <x v="640"/>
    <x v="2"/>
    <s v="United States"/>
    <x v="211"/>
    <x v="41"/>
    <n v="20016"/>
    <x v="1"/>
    <s v="OFF-AR-10000034"/>
    <x v="0"/>
    <x v="0"/>
    <s v="BIC Brite Liner Grip Highlighters, Assorted, 5/Pack"/>
    <n v="33.92"/>
  </r>
  <r>
    <n v="2557"/>
    <s v="US-2017-126844"/>
    <d v="2017-10-08T00:00:00"/>
    <d v="2017-10-14T00:00:00"/>
    <x v="2"/>
    <x v="5"/>
    <n v="10"/>
    <n v="6"/>
    <s v="Standard Class"/>
    <s v="BW-11110"/>
    <x v="641"/>
    <x v="1"/>
    <s v="United States"/>
    <x v="13"/>
    <x v="0"/>
    <n v="77070"/>
    <x v="0"/>
    <s v="FUR-FU-10004909"/>
    <x v="1"/>
    <x v="1"/>
    <s v="Contemporary Wood/Metal Frame"/>
    <n v="51.712000000000003"/>
  </r>
  <r>
    <n v="5767"/>
    <s v="CA-2017-149685"/>
    <d v="2017-10-08T00:00:00"/>
    <d v="2017-10-15T00:00:00"/>
    <x v="2"/>
    <x v="5"/>
    <n v="10"/>
    <n v="7"/>
    <s v="Standard Class"/>
    <s v="PM-19135"/>
    <x v="642"/>
    <x v="2"/>
    <s v="United States"/>
    <x v="88"/>
    <x v="0"/>
    <n v="78207"/>
    <x v="0"/>
    <s v="OFF-LA-10004545"/>
    <x v="0"/>
    <x v="2"/>
    <s v="Avery 50"/>
    <n v="60.143999999999998"/>
  </r>
  <r>
    <n v="1828"/>
    <s v="CA-2017-109344"/>
    <d v="2017-02-08T00:00:00"/>
    <d v="2017-02-11T00:00:00"/>
    <x v="2"/>
    <x v="2"/>
    <n v="2"/>
    <n v="3"/>
    <s v="Second Class"/>
    <s v="CH-12070"/>
    <x v="643"/>
    <x v="2"/>
    <s v="United States"/>
    <x v="144"/>
    <x v="18"/>
    <n v="27604"/>
    <x v="2"/>
    <s v="TEC-PH-10002624"/>
    <x v="2"/>
    <x v="8"/>
    <s v="Samsung Galaxy S4 Mini"/>
    <n v="1127.9760000000001"/>
  </r>
  <r>
    <n v="919"/>
    <s v="CA-2017-165218"/>
    <d v="2017-03-05T00:00:00"/>
    <d v="2017-03-11T00:00:00"/>
    <x v="2"/>
    <x v="8"/>
    <n v="3"/>
    <n v="6"/>
    <s v="Standard Class"/>
    <s v="RW-19630"/>
    <x v="644"/>
    <x v="1"/>
    <s v="United States"/>
    <x v="74"/>
    <x v="0"/>
    <n v="75220"/>
    <x v="0"/>
    <s v="OFF-EN-10000056"/>
    <x v="0"/>
    <x v="14"/>
    <s v="Cameo Buff Policy Envelopes"/>
    <n v="149.352"/>
  </r>
  <r>
    <n v="6014"/>
    <s v="CA-2017-159016"/>
    <d v="2017-03-10T00:00:00"/>
    <d v="2017-03-11T00:00:00"/>
    <x v="2"/>
    <x v="8"/>
    <n v="3"/>
    <n v="1"/>
    <s v="First Class"/>
    <s v="KF-16285"/>
    <x v="645"/>
    <x v="2"/>
    <s v="United States"/>
    <x v="11"/>
    <x v="7"/>
    <n v="90008"/>
    <x v="3"/>
    <s v="OFF-PA-10004405"/>
    <x v="0"/>
    <x v="9"/>
    <s v="Rediform Voice Mail Log Books"/>
    <n v="14.9"/>
  </r>
  <r>
    <n v="9698"/>
    <s v="CA-2017-122511"/>
    <d v="2017-03-11T00:00:00"/>
    <d v="2017-03-11T00:00:00"/>
    <x v="2"/>
    <x v="8"/>
    <n v="3"/>
    <n v="0"/>
    <s v="Same Day"/>
    <s v="BT-11485"/>
    <x v="646"/>
    <x v="2"/>
    <s v="United States"/>
    <x v="41"/>
    <x v="23"/>
    <n v="19140"/>
    <x v="1"/>
    <s v="FUR-FU-10001037"/>
    <x v="1"/>
    <x v="1"/>
    <s v="DAX Charcoal/Nickel-Tone Document Frame, 5 x 7"/>
    <n v="30.335999999999999"/>
  </r>
  <r>
    <n v="3727"/>
    <s v="CA-2017-165169"/>
    <d v="2017-06-05T00:00:00"/>
    <d v="2017-06-11T00:00:00"/>
    <x v="2"/>
    <x v="11"/>
    <n v="6"/>
    <n v="6"/>
    <s v="Standard Class"/>
    <s v="JL-15235"/>
    <x v="647"/>
    <x v="0"/>
    <s v="United States"/>
    <x v="81"/>
    <x v="1"/>
    <n v="19711"/>
    <x v="1"/>
    <s v="OFF-ST-10001496"/>
    <x v="0"/>
    <x v="11"/>
    <s v="Standard Rollaway File with Lock"/>
    <n v="360.38"/>
  </r>
  <r>
    <n v="9583"/>
    <s v="CA-2017-107475"/>
    <d v="2017-06-07T00:00:00"/>
    <d v="2017-06-11T00:00:00"/>
    <x v="2"/>
    <x v="11"/>
    <n v="6"/>
    <n v="4"/>
    <s v="Standard Class"/>
    <s v="RS-19870"/>
    <x v="648"/>
    <x v="2"/>
    <s v="United States"/>
    <x v="41"/>
    <x v="23"/>
    <n v="19120"/>
    <x v="1"/>
    <s v="OFF-FA-10002988"/>
    <x v="0"/>
    <x v="10"/>
    <s v="Ideal Clamps"/>
    <n v="9.6479999999999997"/>
  </r>
  <r>
    <n v="6583"/>
    <s v="CA-2017-148516"/>
    <d v="2017-08-07T00:00:00"/>
    <d v="2017-08-11T00:00:00"/>
    <x v="2"/>
    <x v="3"/>
    <n v="8"/>
    <n v="4"/>
    <s v="Standard Class"/>
    <s v="DW-13585"/>
    <x v="649"/>
    <x v="1"/>
    <s v="United States"/>
    <x v="212"/>
    <x v="24"/>
    <n v="98026"/>
    <x v="3"/>
    <s v="TEC-AC-10003610"/>
    <x v="2"/>
    <x v="3"/>
    <s v="LogitechÂ Illuminated - Keyboard"/>
    <n v="179.97"/>
  </r>
  <r>
    <n v="5880"/>
    <s v="CA-2017-133319"/>
    <d v="2017-09-05T00:00:00"/>
    <d v="2017-09-11T00:00:00"/>
    <x v="2"/>
    <x v="4"/>
    <n v="9"/>
    <n v="6"/>
    <s v="Standard Class"/>
    <s v="MV-17485"/>
    <x v="650"/>
    <x v="0"/>
    <s v="United States"/>
    <x v="10"/>
    <x v="8"/>
    <n v="10011"/>
    <x v="1"/>
    <s v="OFF-PA-10001815"/>
    <x v="0"/>
    <x v="9"/>
    <s v="Xerox 1885"/>
    <n v="192.16"/>
  </r>
  <r>
    <n v="992"/>
    <s v="CA-2017-110023"/>
    <d v="2017-09-09T00:00:00"/>
    <d v="2017-09-11T00:00:00"/>
    <x v="2"/>
    <x v="4"/>
    <n v="9"/>
    <n v="2"/>
    <s v="First Class"/>
    <s v="TS-21610"/>
    <x v="651"/>
    <x v="0"/>
    <s v="United States"/>
    <x v="10"/>
    <x v="8"/>
    <n v="10024"/>
    <x v="1"/>
    <s v="OFF-BI-10001036"/>
    <x v="0"/>
    <x v="6"/>
    <s v="Cardinal EasyOpen D-Ring Binders"/>
    <n v="14.624000000000001"/>
  </r>
  <r>
    <n v="6507"/>
    <s v="US-2017-128909"/>
    <d v="2017-10-09T00:00:00"/>
    <d v="2017-10-11T00:00:00"/>
    <x v="2"/>
    <x v="5"/>
    <n v="10"/>
    <n v="2"/>
    <s v="Second Class"/>
    <s v="SP-20545"/>
    <x v="652"/>
    <x v="1"/>
    <s v="United States"/>
    <x v="41"/>
    <x v="23"/>
    <n v="19143"/>
    <x v="1"/>
    <s v="OFF-PA-10001593"/>
    <x v="0"/>
    <x v="9"/>
    <s v="Xerox 1947"/>
    <n v="19.135999999999999"/>
  </r>
  <r>
    <n v="1"/>
    <s v="CA-2017-152156"/>
    <d v="2017-11-08T00:00:00"/>
    <d v="2017-11-11T00:00:00"/>
    <x v="2"/>
    <x v="6"/>
    <n v="11"/>
    <n v="3"/>
    <s v="Second Class"/>
    <s v="CG-12520"/>
    <x v="653"/>
    <x v="0"/>
    <s v="United States"/>
    <x v="110"/>
    <x v="10"/>
    <n v="42420"/>
    <x v="2"/>
    <s v="FUR-BO-10001798"/>
    <x v="1"/>
    <x v="13"/>
    <s v="Bush Somerset Collection Bookcase"/>
    <n v="261.95999999999998"/>
  </r>
  <r>
    <n v="8614"/>
    <s v="CA-2017-138233"/>
    <d v="2017-11-09T00:00:00"/>
    <d v="2017-11-14T00:00:00"/>
    <x v="2"/>
    <x v="6"/>
    <n v="11"/>
    <n v="5"/>
    <s v="Standard Class"/>
    <s v="PF-19165"/>
    <x v="654"/>
    <x v="0"/>
    <s v="United States"/>
    <x v="141"/>
    <x v="7"/>
    <n v="94601"/>
    <x v="3"/>
    <s v="TEC-AC-10002001"/>
    <x v="2"/>
    <x v="3"/>
    <s v="Logitech Wireless Gaming Headset G930"/>
    <n v="479.97"/>
  </r>
  <r>
    <n v="2341"/>
    <s v="CA-2017-137736"/>
    <d v="2017-11-10T00:00:00"/>
    <d v="2017-11-15T00:00:00"/>
    <x v="2"/>
    <x v="6"/>
    <n v="11"/>
    <n v="5"/>
    <s v="Standard Class"/>
    <s v="DC-13285"/>
    <x v="655"/>
    <x v="0"/>
    <s v="United States"/>
    <x v="213"/>
    <x v="3"/>
    <n v="31088"/>
    <x v="2"/>
    <s v="OFF-AR-10004999"/>
    <x v="0"/>
    <x v="0"/>
    <s v="Newell 315"/>
    <n v="41.86"/>
  </r>
  <r>
    <n v="9400"/>
    <s v="CA-2017-103128"/>
    <d v="2017-11-11T00:00:00"/>
    <d v="2017-11-15T00:00:00"/>
    <x v="2"/>
    <x v="6"/>
    <n v="11"/>
    <n v="4"/>
    <s v="Standard Class"/>
    <s v="SC-20845"/>
    <x v="656"/>
    <x v="0"/>
    <s v="United States"/>
    <x v="214"/>
    <x v="14"/>
    <n v="60004"/>
    <x v="0"/>
    <s v="OFF-AR-10003394"/>
    <x v="0"/>
    <x v="0"/>
    <s v="Newell 332"/>
    <n v="14.112"/>
  </r>
  <r>
    <n v="8120"/>
    <s v="CA-2017-116722"/>
    <d v="2017-11-11T00:00:00"/>
    <d v="2017-11-16T00:00:00"/>
    <x v="2"/>
    <x v="6"/>
    <n v="11"/>
    <n v="5"/>
    <s v="Standard Class"/>
    <s v="LP-17080"/>
    <x v="657"/>
    <x v="0"/>
    <s v="United States"/>
    <x v="9"/>
    <x v="7"/>
    <n v="94110"/>
    <x v="3"/>
    <s v="FUR-FU-10001934"/>
    <x v="1"/>
    <x v="1"/>
    <s v="Magnifier Swing Arm Lamp"/>
    <n v="41.96"/>
  </r>
  <r>
    <n v="6111"/>
    <s v="CA-2017-124590"/>
    <d v="2017-11-12T00:00:00"/>
    <d v="2017-11-16T00:00:00"/>
    <x v="2"/>
    <x v="6"/>
    <n v="11"/>
    <n v="4"/>
    <s v="Standard Class"/>
    <s v="SP-20920"/>
    <x v="658"/>
    <x v="0"/>
    <s v="United States"/>
    <x v="121"/>
    <x v="4"/>
    <n v="44134"/>
    <x v="1"/>
    <s v="FUR-CH-10004495"/>
    <x v="1"/>
    <x v="5"/>
    <s v="Global Leather and Oak Executive Chair, Black"/>
    <n v="1474.8019999999999"/>
  </r>
  <r>
    <n v="6791"/>
    <s v="CA-2017-124527"/>
    <d v="2017-11-16T00:00:00"/>
    <d v="2017-11-17T00:00:00"/>
    <x v="2"/>
    <x v="6"/>
    <n v="11"/>
    <n v="1"/>
    <s v="First Class"/>
    <s v="IM-15055"/>
    <x v="659"/>
    <x v="0"/>
    <s v="United States"/>
    <x v="184"/>
    <x v="7"/>
    <n v="95661"/>
    <x v="3"/>
    <s v="OFF-BI-10004967"/>
    <x v="0"/>
    <x v="6"/>
    <s v="Round Ring Binders"/>
    <n v="8.32"/>
  </r>
  <r>
    <n v="1802"/>
    <s v="CA-2017-149461"/>
    <d v="2017-11-13T00:00:00"/>
    <d v="2017-11-19T00:00:00"/>
    <x v="2"/>
    <x v="6"/>
    <n v="11"/>
    <n v="6"/>
    <s v="Standard Class"/>
    <s v="AS-10135"/>
    <x v="660"/>
    <x v="2"/>
    <s v="United States"/>
    <x v="196"/>
    <x v="24"/>
    <n v="98002"/>
    <x v="3"/>
    <s v="FUR-FU-10004270"/>
    <x v="1"/>
    <x v="1"/>
    <s v="Eldon Image Series Desk Accessories, Burgundy"/>
    <n v="4.18"/>
  </r>
  <r>
    <n v="8506"/>
    <s v="CA-2017-130400"/>
    <d v="2017-03-08T00:00:00"/>
    <d v="2017-03-12T00:00:00"/>
    <x v="2"/>
    <x v="8"/>
    <n v="3"/>
    <n v="4"/>
    <s v="Standard Class"/>
    <s v="SJ-20125"/>
    <x v="661"/>
    <x v="2"/>
    <s v="United States"/>
    <x v="74"/>
    <x v="0"/>
    <n v="75217"/>
    <x v="0"/>
    <s v="OFF-BI-10001757"/>
    <x v="0"/>
    <x v="6"/>
    <s v="Pressboard Hanging Data Binders for Unburst Sheets"/>
    <n v="8.8559999999999999"/>
  </r>
  <r>
    <n v="8332"/>
    <s v="CA-2017-153269"/>
    <d v="2017-03-09T00:00:00"/>
    <d v="2017-03-12T00:00:00"/>
    <x v="2"/>
    <x v="8"/>
    <n v="3"/>
    <n v="3"/>
    <s v="First Class"/>
    <s v="PS-18760"/>
    <x v="662"/>
    <x v="0"/>
    <s v="United States"/>
    <x v="215"/>
    <x v="9"/>
    <n v="1810"/>
    <x v="1"/>
    <s v="OFF-ST-10004634"/>
    <x v="0"/>
    <x v="11"/>
    <s v="Personal Folder Holder, Ebony"/>
    <n v="11.21"/>
  </r>
  <r>
    <n v="8412"/>
    <s v="CA-2017-159765"/>
    <d v="2017-05-09T00:00:00"/>
    <d v="2017-05-12T00:00:00"/>
    <x v="2"/>
    <x v="1"/>
    <n v="5"/>
    <n v="3"/>
    <s v="Second Class"/>
    <s v="TH-21100"/>
    <x v="663"/>
    <x v="0"/>
    <s v="United States"/>
    <x v="138"/>
    <x v="2"/>
    <n v="24153"/>
    <x v="2"/>
    <s v="OFF-AR-10003514"/>
    <x v="0"/>
    <x v="0"/>
    <s v="4009 Highlighters by Sanford"/>
    <n v="27.86"/>
  </r>
  <r>
    <n v="2839"/>
    <s v="CA-2017-147368"/>
    <d v="2017-06-09T00:00:00"/>
    <d v="2017-06-12T00:00:00"/>
    <x v="2"/>
    <x v="11"/>
    <n v="6"/>
    <n v="3"/>
    <s v="First Class"/>
    <s v="TC-21295"/>
    <x v="664"/>
    <x v="0"/>
    <s v="United States"/>
    <x v="170"/>
    <x v="12"/>
    <n v="32303"/>
    <x v="2"/>
    <s v="TEC-MA-10002178"/>
    <x v="2"/>
    <x v="16"/>
    <s v="Cisco CP-7937G Unified IP Conference Station Phone"/>
    <n v="695.7"/>
  </r>
  <r>
    <n v="7604"/>
    <s v="CA-2017-152520"/>
    <d v="2017-07-08T00:00:00"/>
    <d v="2017-07-12T00:00:00"/>
    <x v="2"/>
    <x v="10"/>
    <n v="7"/>
    <n v="4"/>
    <s v="Standard Class"/>
    <s v="TH-21115"/>
    <x v="665"/>
    <x v="1"/>
    <s v="United States"/>
    <x v="148"/>
    <x v="39"/>
    <n v="2908"/>
    <x v="1"/>
    <s v="OFF-PA-10000289"/>
    <x v="0"/>
    <x v="9"/>
    <s v="Xerox 213"/>
    <n v="12.96"/>
  </r>
  <r>
    <n v="5083"/>
    <s v="CA-2017-155138"/>
    <d v="2017-09-08T00:00:00"/>
    <d v="2017-09-12T00:00:00"/>
    <x v="2"/>
    <x v="4"/>
    <n v="9"/>
    <n v="4"/>
    <s v="Standard Class"/>
    <s v="JM-15580"/>
    <x v="666"/>
    <x v="0"/>
    <s v="United States"/>
    <x v="155"/>
    <x v="18"/>
    <n v="28110"/>
    <x v="2"/>
    <s v="TEC-AC-10004209"/>
    <x v="2"/>
    <x v="3"/>
    <s v="Memorex Froggy Flash Drive 4 GB"/>
    <n v="35.167999999999999"/>
  </r>
  <r>
    <n v="4975"/>
    <s v="CA-2017-164896"/>
    <d v="2017-11-07T00:00:00"/>
    <d v="2017-11-12T00:00:00"/>
    <x v="2"/>
    <x v="6"/>
    <n v="11"/>
    <n v="5"/>
    <s v="Standard Class"/>
    <s v="PS-19045"/>
    <x v="667"/>
    <x v="2"/>
    <s v="United States"/>
    <x v="185"/>
    <x v="7"/>
    <n v="92054"/>
    <x v="3"/>
    <s v="OFF-PA-10002246"/>
    <x v="0"/>
    <x v="9"/>
    <s v="Wirebound Four 2-3/4 x 5 Forms per Page, 400 Sets per Book"/>
    <n v="12.9"/>
  </r>
  <r>
    <n v="9716"/>
    <s v="CA-2017-116379"/>
    <d v="2017-11-07T00:00:00"/>
    <d v="2017-11-12T00:00:00"/>
    <x v="2"/>
    <x v="6"/>
    <n v="11"/>
    <n v="5"/>
    <s v="Standard Class"/>
    <s v="LD-17005"/>
    <x v="668"/>
    <x v="0"/>
    <s v="United States"/>
    <x v="9"/>
    <x v="7"/>
    <n v="94122"/>
    <x v="3"/>
    <s v="OFF-BI-10001543"/>
    <x v="0"/>
    <x v="6"/>
    <s v="GBC VeloBinder Manual Binding System"/>
    <n v="57.584000000000003"/>
  </r>
  <r>
    <n v="895"/>
    <s v="CA-2017-105494"/>
    <d v="2017-11-10T00:00:00"/>
    <d v="2017-11-12T00:00:00"/>
    <x v="2"/>
    <x v="6"/>
    <n v="11"/>
    <n v="2"/>
    <s v="First Class"/>
    <s v="PC-18745"/>
    <x v="669"/>
    <x v="1"/>
    <s v="United States"/>
    <x v="9"/>
    <x v="7"/>
    <n v="94122"/>
    <x v="3"/>
    <s v="OFF-ST-10002205"/>
    <x v="0"/>
    <x v="11"/>
    <s v="File Shuttle I and Handi-File"/>
    <n v="155.82"/>
  </r>
  <r>
    <n v="2934"/>
    <s v="US-2017-169040"/>
    <d v="2017-12-06T00:00:00"/>
    <d v="2017-12-12T00:00:00"/>
    <x v="2"/>
    <x v="7"/>
    <n v="12"/>
    <n v="6"/>
    <s v="Standard Class"/>
    <s v="GT-14710"/>
    <x v="670"/>
    <x v="0"/>
    <s v="United States"/>
    <x v="49"/>
    <x v="24"/>
    <n v="98105"/>
    <x v="3"/>
    <s v="TEC-PH-10002310"/>
    <x v="2"/>
    <x v="8"/>
    <s v="Plantronics Calisto P620-M USB Wireless Speakerphone System"/>
    <n v="156.792"/>
  </r>
  <r>
    <n v="8569"/>
    <s v="CA-2017-162390"/>
    <d v="2017-12-06T00:00:00"/>
    <d v="2017-12-12T00:00:00"/>
    <x v="2"/>
    <x v="7"/>
    <n v="12"/>
    <n v="6"/>
    <s v="Standard Class"/>
    <s v="DP-13105"/>
    <x v="671"/>
    <x v="1"/>
    <s v="United States"/>
    <x v="178"/>
    <x v="8"/>
    <n v="11550"/>
    <x v="1"/>
    <s v="OFF-BI-10004318"/>
    <x v="0"/>
    <x v="6"/>
    <s v="Ibico EB-19 Dual Function Manual Binding System"/>
    <n v="968.74400000000003"/>
  </r>
  <r>
    <n v="54"/>
    <s v="CA-2017-105816"/>
    <d v="2017-12-11T00:00:00"/>
    <d v="2017-12-17T00:00:00"/>
    <x v="2"/>
    <x v="7"/>
    <n v="12"/>
    <n v="6"/>
    <s v="Standard Class"/>
    <s v="JM-15265"/>
    <x v="672"/>
    <x v="1"/>
    <s v="United States"/>
    <x v="10"/>
    <x v="8"/>
    <n v="10024"/>
    <x v="1"/>
    <s v="OFF-FA-10000304"/>
    <x v="0"/>
    <x v="10"/>
    <s v="Advantus Push Pins"/>
    <n v="15.26"/>
  </r>
  <r>
    <n v="5251"/>
    <s v="US-2017-169369"/>
    <d v="2017-12-12T00:00:00"/>
    <d v="2017-12-18T00:00:00"/>
    <x v="2"/>
    <x v="7"/>
    <n v="12"/>
    <n v="6"/>
    <s v="Standard Class"/>
    <s v="EC-14050"/>
    <x v="673"/>
    <x v="0"/>
    <s v="United States"/>
    <x v="4"/>
    <x v="3"/>
    <n v="31907"/>
    <x v="2"/>
    <s v="TEC-AC-10001314"/>
    <x v="2"/>
    <x v="3"/>
    <s v="Case Logic 2.4GHz Wireless Keyboard"/>
    <n v="249.95"/>
  </r>
  <r>
    <n v="6378"/>
    <s v="US-2017-116442"/>
    <d v="2017-12-15T00:00:00"/>
    <d v="2017-12-22T00:00:00"/>
    <x v="2"/>
    <x v="7"/>
    <n v="12"/>
    <n v="7"/>
    <s v="Standard Class"/>
    <s v="BP-11230"/>
    <x v="674"/>
    <x v="0"/>
    <s v="United States"/>
    <x v="11"/>
    <x v="7"/>
    <n v="90004"/>
    <x v="3"/>
    <s v="FUR-FU-10002364"/>
    <x v="1"/>
    <x v="1"/>
    <s v="Eldon Expressions Wood Desk Accessories, Oak"/>
    <n v="14.76"/>
  </r>
  <r>
    <n v="5912"/>
    <s v="CA-2017-155383"/>
    <d v="2017-12-17T00:00:00"/>
    <d v="2017-12-22T00:00:00"/>
    <x v="2"/>
    <x v="7"/>
    <n v="12"/>
    <n v="5"/>
    <s v="Standard Class"/>
    <s v="SC-20680"/>
    <x v="675"/>
    <x v="2"/>
    <s v="United States"/>
    <x v="49"/>
    <x v="24"/>
    <n v="98115"/>
    <x v="3"/>
    <s v="OFF-ST-10001328"/>
    <x v="0"/>
    <x v="11"/>
    <s v="Personal Filing Tote with Lid, Black/Gray"/>
    <n v="46.53"/>
  </r>
  <r>
    <n v="2121"/>
    <s v="US-2018-168690"/>
    <d v="2018-01-07T00:00:00"/>
    <d v="2018-01-13T00:00:00"/>
    <x v="3"/>
    <x v="0"/>
    <n v="1"/>
    <n v="6"/>
    <s v="Standard Class"/>
    <s v="TS-21085"/>
    <x v="676"/>
    <x v="0"/>
    <s v="United States"/>
    <x v="216"/>
    <x v="12"/>
    <n v="32174"/>
    <x v="2"/>
    <s v="OFF-BI-10000145"/>
    <x v="0"/>
    <x v="6"/>
    <s v="Zipper Ring Binder Pockets"/>
    <n v="2.8079999999999998"/>
  </r>
  <r>
    <n v="8667"/>
    <s v="CA-2017-163951"/>
    <d v="2017-12-30T00:00:00"/>
    <d v="2018-01-02T00:00:00"/>
    <x v="2"/>
    <x v="7"/>
    <n v="12"/>
    <n v="3"/>
    <s v="First Class"/>
    <s v="CJ-11875"/>
    <x v="677"/>
    <x v="1"/>
    <s v="United States"/>
    <x v="41"/>
    <x v="23"/>
    <n v="19140"/>
    <x v="1"/>
    <s v="OFF-AR-10004269"/>
    <x v="0"/>
    <x v="0"/>
    <s v="Newell 31"/>
    <n v="16.52"/>
  </r>
  <r>
    <n v="2214"/>
    <s v="CA-2018-129378"/>
    <d v="2018-10-01T00:00:00"/>
    <d v="2018-10-02T00:00:00"/>
    <x v="3"/>
    <x v="5"/>
    <n v="10"/>
    <n v="1"/>
    <s v="First Class"/>
    <s v="NS-18505"/>
    <x v="678"/>
    <x v="0"/>
    <s v="United States"/>
    <x v="43"/>
    <x v="7"/>
    <n v="95123"/>
    <x v="3"/>
    <s v="OFF-BI-10002012"/>
    <x v="0"/>
    <x v="6"/>
    <s v="Wilson Jones Easy Flow II Sheet Lifters"/>
    <n v="1.44"/>
  </r>
  <r>
    <n v="8642"/>
    <s v="CA-2018-147767"/>
    <d v="2018-12-02T00:00:00"/>
    <d v="2018-12-02T00:00:00"/>
    <x v="3"/>
    <x v="7"/>
    <n v="12"/>
    <n v="0"/>
    <s v="Same Day"/>
    <s v="SV-20935"/>
    <x v="679"/>
    <x v="0"/>
    <s v="United States"/>
    <x v="113"/>
    <x v="15"/>
    <n v="85345"/>
    <x v="3"/>
    <s v="OFF-BI-10001670"/>
    <x v="0"/>
    <x v="6"/>
    <s v="Vinyl Sectional Post Binders"/>
    <n v="67.86"/>
  </r>
  <r>
    <n v="3085"/>
    <s v="CA-2018-118773"/>
    <d v="2018-02-09T00:00:00"/>
    <d v="2018-02-14T00:00:00"/>
    <x v="3"/>
    <x v="2"/>
    <n v="2"/>
    <n v="5"/>
    <s v="Standard Class"/>
    <s v="TP-21415"/>
    <x v="680"/>
    <x v="0"/>
    <s v="United States"/>
    <x v="13"/>
    <x v="0"/>
    <n v="77070"/>
    <x v="0"/>
    <s v="OFF-BI-10004584"/>
    <x v="0"/>
    <x v="6"/>
    <s v="GBC ProClick 150 Presentation Binding System"/>
    <n v="252.78399999999999"/>
  </r>
  <r>
    <n v="9239"/>
    <s v="CA-2018-138156"/>
    <d v="2018-02-11T00:00:00"/>
    <d v="2018-02-14T00:00:00"/>
    <x v="3"/>
    <x v="2"/>
    <n v="2"/>
    <n v="3"/>
    <s v="First Class"/>
    <s v="MM-17260"/>
    <x v="681"/>
    <x v="0"/>
    <s v="United States"/>
    <x v="4"/>
    <x v="4"/>
    <n v="43229"/>
    <x v="1"/>
    <s v="FUR-FU-10003601"/>
    <x v="1"/>
    <x v="1"/>
    <s v="Deflect-o RollaMat Studded, Beveled Mat for Medium Pile Carpeting"/>
    <n v="147.56800000000001"/>
  </r>
  <r>
    <n v="4218"/>
    <s v="CA-2018-149881"/>
    <d v="2018-04-01T00:00:00"/>
    <d v="2018-04-03T00:00:00"/>
    <x v="3"/>
    <x v="9"/>
    <n v="4"/>
    <n v="2"/>
    <s v="First Class"/>
    <s v="NC-18535"/>
    <x v="682"/>
    <x v="1"/>
    <s v="United States"/>
    <x v="9"/>
    <x v="7"/>
    <n v="94110"/>
    <x v="3"/>
    <s v="FUR-BO-10003894"/>
    <x v="1"/>
    <x v="13"/>
    <s v="Safco Value Mate Steel Bookcase, Baked Enamel Finish on Steel, Black"/>
    <n v="482.66399999999999"/>
  </r>
  <r>
    <n v="4838"/>
    <s v="CA-2018-106831"/>
    <d v="2018-06-01T00:00:00"/>
    <d v="2018-06-03T00:00:00"/>
    <x v="3"/>
    <x v="11"/>
    <n v="6"/>
    <n v="2"/>
    <s v="First Class"/>
    <s v="FH-14350"/>
    <x v="683"/>
    <x v="0"/>
    <s v="United States"/>
    <x v="217"/>
    <x v="4"/>
    <n v="43017"/>
    <x v="1"/>
    <s v="OFF-BI-10003429"/>
    <x v="0"/>
    <x v="6"/>
    <s v="Cardinal HOLDit! Binder Insert Strips,Extra Strips"/>
    <n v="3.798"/>
  </r>
  <r>
    <n v="1254"/>
    <s v="CA-2018-144638"/>
    <d v="2018-03-10T00:00:00"/>
    <d v="2018-03-14T00:00:00"/>
    <x v="3"/>
    <x v="8"/>
    <n v="3"/>
    <n v="4"/>
    <s v="Standard Class"/>
    <s v="MH-18115"/>
    <x v="684"/>
    <x v="2"/>
    <s v="United States"/>
    <x v="218"/>
    <x v="23"/>
    <n v="19013"/>
    <x v="1"/>
    <s v="OFF-AR-10003958"/>
    <x v="0"/>
    <x v="0"/>
    <s v="Newell 337"/>
    <n v="5.2480000000000002"/>
  </r>
  <r>
    <n v="4997"/>
    <s v="CA-2018-155824"/>
    <d v="2018-03-10T00:00:00"/>
    <d v="2018-03-15T00:00:00"/>
    <x v="3"/>
    <x v="8"/>
    <n v="3"/>
    <n v="5"/>
    <s v="Standard Class"/>
    <s v="KS-16300"/>
    <x v="685"/>
    <x v="1"/>
    <s v="United States"/>
    <x v="144"/>
    <x v="18"/>
    <n v="27604"/>
    <x v="2"/>
    <s v="OFF-AP-10000390"/>
    <x v="0"/>
    <x v="4"/>
    <s v="Euro Pro Shark Stick Mini Vacuum"/>
    <n v="48.783999999999999"/>
  </r>
  <r>
    <n v="6689"/>
    <s v="CA-2018-140494"/>
    <d v="2018-03-10T00:00:00"/>
    <d v="2018-03-15T00:00:00"/>
    <x v="3"/>
    <x v="8"/>
    <n v="3"/>
    <n v="5"/>
    <s v="Second Class"/>
    <s v="CM-11815"/>
    <x v="686"/>
    <x v="1"/>
    <s v="United States"/>
    <x v="9"/>
    <x v="7"/>
    <n v="94109"/>
    <x v="3"/>
    <s v="TEC-AC-10004568"/>
    <x v="2"/>
    <x v="3"/>
    <s v="MaxellÂ LTO Ultrium - 800 GB"/>
    <n v="111.96"/>
  </r>
  <r>
    <n v="7144"/>
    <s v="US-2018-141558"/>
    <d v="2018-03-11T00:00:00"/>
    <d v="2018-03-16T00:00:00"/>
    <x v="3"/>
    <x v="8"/>
    <n v="3"/>
    <n v="5"/>
    <s v="Standard Class"/>
    <s v="MH-17290"/>
    <x v="687"/>
    <x v="2"/>
    <s v="United States"/>
    <x v="41"/>
    <x v="23"/>
    <n v="19140"/>
    <x v="1"/>
    <s v="TEC-PH-10002555"/>
    <x v="2"/>
    <x v="8"/>
    <s v="Nortel Meridian M5316 Digital phone"/>
    <n v="776.85"/>
  </r>
  <r>
    <n v="9122"/>
    <s v="CA-2018-122007"/>
    <d v="2018-03-18T00:00:00"/>
    <d v="2018-03-20T00:00:00"/>
    <x v="3"/>
    <x v="8"/>
    <n v="3"/>
    <n v="2"/>
    <s v="Second Class"/>
    <s v="JK-15325"/>
    <x v="688"/>
    <x v="1"/>
    <s v="United States"/>
    <x v="11"/>
    <x v="7"/>
    <n v="90032"/>
    <x v="3"/>
    <s v="OFF-AP-10000358"/>
    <x v="0"/>
    <x v="4"/>
    <s v="Fellowes Basic Home/Office Series Surge Protectors"/>
    <n v="90.86"/>
  </r>
  <r>
    <n v="8486"/>
    <s v="CA-2018-124716"/>
    <d v="2018-03-27T00:00:00"/>
    <d v="2018-03-31T00:00:00"/>
    <x v="3"/>
    <x v="8"/>
    <n v="3"/>
    <n v="4"/>
    <s v="Standard Class"/>
    <s v="BD-11560"/>
    <x v="689"/>
    <x v="2"/>
    <s v="United States"/>
    <x v="95"/>
    <x v="7"/>
    <n v="93727"/>
    <x v="3"/>
    <s v="OFF-PA-10000740"/>
    <x v="0"/>
    <x v="9"/>
    <s v="Xerox 1982"/>
    <n v="45.68"/>
  </r>
  <r>
    <n v="8577"/>
    <s v="CA-2018-106747"/>
    <d v="2018-07-03T00:00:00"/>
    <d v="2018-07-04T00:00:00"/>
    <x v="3"/>
    <x v="10"/>
    <n v="7"/>
    <n v="1"/>
    <s v="First Class"/>
    <s v="TS-21505"/>
    <x v="690"/>
    <x v="0"/>
    <s v="United States"/>
    <x v="219"/>
    <x v="42"/>
    <n v="3301"/>
    <x v="1"/>
    <s v="FUR-FU-10004188"/>
    <x v="1"/>
    <x v="1"/>
    <s v="Luxo Professional Combination Clamp-On Lamps"/>
    <n v="102.3"/>
  </r>
  <r>
    <n v="1206"/>
    <s v="CA-2018-133235"/>
    <d v="2018-08-01T00:00:00"/>
    <d v="2018-08-04T00:00:00"/>
    <x v="3"/>
    <x v="3"/>
    <n v="8"/>
    <n v="3"/>
    <s v="First Class"/>
    <s v="LH-16750"/>
    <x v="691"/>
    <x v="0"/>
    <s v="United States"/>
    <x v="31"/>
    <x v="18"/>
    <n v="28205"/>
    <x v="2"/>
    <s v="TEC-PH-10002660"/>
    <x v="2"/>
    <x v="8"/>
    <s v="Nortel Networks T7316 E Nt8 B27"/>
    <n v="271.95999999999998"/>
  </r>
  <r>
    <n v="4585"/>
    <s v="US-2018-163790"/>
    <d v="2018-11-02T00:00:00"/>
    <d v="2018-11-04T00:00:00"/>
    <x v="3"/>
    <x v="6"/>
    <n v="11"/>
    <n v="2"/>
    <s v="Second Class"/>
    <s v="NL-18310"/>
    <x v="692"/>
    <x v="2"/>
    <s v="United States"/>
    <x v="220"/>
    <x v="7"/>
    <n v="94526"/>
    <x v="3"/>
    <s v="OFF-EN-10001335"/>
    <x v="0"/>
    <x v="14"/>
    <s v="White Business Envelopes with Contemporary Seam, Recycled White Business Envelopes"/>
    <n v="76.58"/>
  </r>
  <r>
    <n v="1996"/>
    <s v="US-2018-147221"/>
    <d v="2018-12-02T00:00:00"/>
    <d v="2018-12-04T00:00:00"/>
    <x v="3"/>
    <x v="7"/>
    <n v="12"/>
    <n v="2"/>
    <s v="Second Class"/>
    <s v="JS-16030"/>
    <x v="693"/>
    <x v="0"/>
    <s v="United States"/>
    <x v="13"/>
    <x v="0"/>
    <n v="77036"/>
    <x v="0"/>
    <s v="OFF-AP-10002534"/>
    <x v="0"/>
    <x v="4"/>
    <s v="3.6 Cubic Foot Counter Height Office Refrigerator"/>
    <n v="294.62"/>
  </r>
  <r>
    <n v="5789"/>
    <s v="CA-2018-115070"/>
    <d v="2018-04-10T00:00:00"/>
    <d v="2018-04-14T00:00:00"/>
    <x v="3"/>
    <x v="9"/>
    <n v="4"/>
    <n v="4"/>
    <s v="Second Class"/>
    <s v="MG-18205"/>
    <x v="694"/>
    <x v="1"/>
    <s v="United States"/>
    <x v="77"/>
    <x v="12"/>
    <n v="32216"/>
    <x v="2"/>
    <s v="FUR-FU-10003829"/>
    <x v="1"/>
    <x v="1"/>
    <s v="Stackable Trays"/>
    <n v="12.32"/>
  </r>
  <r>
    <n v="6379"/>
    <s v="CA-2018-150623"/>
    <d v="2018-04-10T00:00:00"/>
    <d v="2018-04-14T00:00:00"/>
    <x v="3"/>
    <x v="9"/>
    <n v="4"/>
    <n v="4"/>
    <s v="Standard Class"/>
    <s v="DB-13360"/>
    <x v="695"/>
    <x v="2"/>
    <s v="United States"/>
    <x v="221"/>
    <x v="13"/>
    <n v="6708"/>
    <x v="1"/>
    <s v="TEC-AC-10004571"/>
    <x v="2"/>
    <x v="3"/>
    <s v="Logitech G700s Rechargeable Gaming Mouse"/>
    <n v="99.99"/>
  </r>
  <r>
    <n v="2663"/>
    <s v="CA-2018-159604"/>
    <d v="2018-04-14T00:00:00"/>
    <d v="2018-04-15T00:00:00"/>
    <x v="3"/>
    <x v="9"/>
    <n v="4"/>
    <n v="1"/>
    <s v="First Class"/>
    <s v="CL-12700"/>
    <x v="696"/>
    <x v="2"/>
    <s v="United States"/>
    <x v="2"/>
    <x v="5"/>
    <n v="65807"/>
    <x v="0"/>
    <s v="OFF-BI-10003460"/>
    <x v="0"/>
    <x v="6"/>
    <s v="Acco 3-Hole Punch"/>
    <n v="8.76"/>
  </r>
  <r>
    <n v="1867"/>
    <s v="CA-2018-118857"/>
    <d v="2018-04-15T00:00:00"/>
    <d v="2018-04-18T00:00:00"/>
    <x v="3"/>
    <x v="9"/>
    <n v="4"/>
    <n v="3"/>
    <s v="First Class"/>
    <s v="AH-10075"/>
    <x v="697"/>
    <x v="1"/>
    <s v="United States"/>
    <x v="110"/>
    <x v="20"/>
    <n v="89015"/>
    <x v="3"/>
    <s v="FUR-FU-10004460"/>
    <x v="1"/>
    <x v="1"/>
    <s v="Howard Miller 12&quot; Round Wall Clock"/>
    <n v="196.45"/>
  </r>
  <r>
    <n v="8070"/>
    <s v="CA-2018-151750"/>
    <d v="2018-01-01T00:00:00"/>
    <d v="2018-01-05T00:00:00"/>
    <x v="3"/>
    <x v="0"/>
    <n v="1"/>
    <n v="4"/>
    <s v="Standard Class"/>
    <s v="JM-15250"/>
    <x v="698"/>
    <x v="0"/>
    <s v="United States"/>
    <x v="47"/>
    <x v="0"/>
    <n v="77340"/>
    <x v="0"/>
    <s v="OFF-ST-10002743"/>
    <x v="0"/>
    <x v="11"/>
    <s v="SAFCO Boltless Steel Shelving"/>
    <n v="454.56"/>
  </r>
  <r>
    <n v="4744"/>
    <s v="CA-2018-168123"/>
    <d v="2018-03-05T00:00:00"/>
    <d v="2018-03-05T00:00:00"/>
    <x v="3"/>
    <x v="8"/>
    <n v="3"/>
    <n v="0"/>
    <s v="Same Day"/>
    <s v="JD-16060"/>
    <x v="699"/>
    <x v="0"/>
    <s v="United States"/>
    <x v="109"/>
    <x v="26"/>
    <n v="55901"/>
    <x v="0"/>
    <s v="OFF-FA-10002763"/>
    <x v="0"/>
    <x v="10"/>
    <s v="Advantus Map Pennant Flags and Round Head Tacks"/>
    <n v="7.9"/>
  </r>
  <r>
    <n v="3725"/>
    <s v="CA-2018-127264"/>
    <d v="2018-04-03T00:00:00"/>
    <d v="2018-04-05T00:00:00"/>
    <x v="3"/>
    <x v="9"/>
    <n v="4"/>
    <n v="2"/>
    <s v="First Class"/>
    <s v="SA-20830"/>
    <x v="700"/>
    <x v="0"/>
    <s v="United States"/>
    <x v="19"/>
    <x v="14"/>
    <n v="60653"/>
    <x v="0"/>
    <s v="OFF-AR-10003045"/>
    <x v="0"/>
    <x v="0"/>
    <s v="Prang Colored Pencils"/>
    <n v="7.056"/>
  </r>
  <r>
    <n v="7696"/>
    <s v="CA-2018-107958"/>
    <d v="2018-07-02T00:00:00"/>
    <d v="2018-07-05T00:00:00"/>
    <x v="3"/>
    <x v="10"/>
    <n v="7"/>
    <n v="3"/>
    <s v="First Class"/>
    <s v="AH-10120"/>
    <x v="701"/>
    <x v="2"/>
    <s v="United States"/>
    <x v="13"/>
    <x v="0"/>
    <n v="77036"/>
    <x v="0"/>
    <s v="OFF-PA-10000357"/>
    <x v="0"/>
    <x v="9"/>
    <s v="White Dual Perf Computer Printout Paper, 2700 Sheets, 1 Part, Heavyweight, 20 lbs., 14 7/8 x 11"/>
    <n v="163.96"/>
  </r>
  <r>
    <n v="3231"/>
    <s v="CA-2018-131625"/>
    <d v="2018-09-01T00:00:00"/>
    <d v="2018-09-05T00:00:00"/>
    <x v="3"/>
    <x v="4"/>
    <n v="9"/>
    <n v="4"/>
    <s v="Second Class"/>
    <s v="BN-11515"/>
    <x v="702"/>
    <x v="0"/>
    <s v="United States"/>
    <x v="10"/>
    <x v="8"/>
    <n v="10009"/>
    <x v="1"/>
    <s v="FUR-FU-10004960"/>
    <x v="1"/>
    <x v="1"/>
    <s v="Seth Thomas 12&quot; Clock w/ Goldtone Case"/>
    <n v="114.9"/>
  </r>
  <r>
    <n v="8020"/>
    <s v="CA-2018-167227"/>
    <d v="2018-11-02T00:00:00"/>
    <d v="2018-11-05T00:00:00"/>
    <x v="3"/>
    <x v="6"/>
    <n v="11"/>
    <n v="3"/>
    <s v="First Class"/>
    <s v="NP-18670"/>
    <x v="703"/>
    <x v="0"/>
    <s v="United States"/>
    <x v="61"/>
    <x v="5"/>
    <n v="63116"/>
    <x v="0"/>
    <s v="OFF-AP-10001962"/>
    <x v="0"/>
    <x v="4"/>
    <s v="Black &amp; Decker Filter for Double Action Dustbuster Cordless Vac BLDV7210"/>
    <n v="83.9"/>
  </r>
  <r>
    <n v="326"/>
    <s v="CA-2018-153339"/>
    <d v="2018-11-03T00:00:00"/>
    <d v="2018-11-05T00:00:00"/>
    <x v="3"/>
    <x v="6"/>
    <n v="11"/>
    <n v="2"/>
    <s v="Second Class"/>
    <s v="DJ-13510"/>
    <x v="704"/>
    <x v="1"/>
    <s v="United States"/>
    <x v="222"/>
    <x v="33"/>
    <n v="37130"/>
    <x v="2"/>
    <s v="FUR-FU-10001967"/>
    <x v="1"/>
    <x v="1"/>
    <s v="Telescoping Adjustable Floor Lamp"/>
    <n v="15.992000000000001"/>
  </r>
  <r>
    <n v="7997"/>
    <s v="US-2018-105998"/>
    <d v="2018-11-03T00:00:00"/>
    <d v="2018-11-05T00:00:00"/>
    <x v="3"/>
    <x v="6"/>
    <n v="11"/>
    <n v="2"/>
    <s v="First Class"/>
    <s v="CR-12580"/>
    <x v="705"/>
    <x v="2"/>
    <s v="United States"/>
    <x v="48"/>
    <x v="7"/>
    <n v="92037"/>
    <x v="3"/>
    <s v="TEC-AC-10004469"/>
    <x v="2"/>
    <x v="3"/>
    <s v="Microsoft Sculpt Comfort Mouse"/>
    <n v="199.75"/>
  </r>
  <r>
    <n v="3557"/>
    <s v="CA-2018-118542"/>
    <d v="2018-12-01T00:00:00"/>
    <d v="2018-12-05T00:00:00"/>
    <x v="3"/>
    <x v="7"/>
    <n v="12"/>
    <n v="4"/>
    <s v="Standard Class"/>
    <s v="CC-12550"/>
    <x v="706"/>
    <x v="0"/>
    <s v="United States"/>
    <x v="11"/>
    <x v="7"/>
    <n v="90008"/>
    <x v="3"/>
    <s v="OFF-PA-10004735"/>
    <x v="0"/>
    <x v="9"/>
    <s v="Xerox 1905"/>
    <n v="45.36"/>
  </r>
  <r>
    <n v="9278"/>
    <s v="CA-2018-122539"/>
    <d v="2018-12-01T00:00:00"/>
    <d v="2018-12-05T00:00:00"/>
    <x v="3"/>
    <x v="7"/>
    <n v="12"/>
    <n v="4"/>
    <s v="Standard Class"/>
    <s v="SC-20305"/>
    <x v="707"/>
    <x v="0"/>
    <s v="United States"/>
    <x v="41"/>
    <x v="23"/>
    <n v="19140"/>
    <x v="1"/>
    <s v="OFF-LA-10004853"/>
    <x v="0"/>
    <x v="2"/>
    <s v="Avery 483"/>
    <n v="15.936"/>
  </r>
  <r>
    <n v="7393"/>
    <s v="CA-2018-147844"/>
    <d v="2018-05-02T00:00:00"/>
    <d v="2018-05-06T00:00:00"/>
    <x v="3"/>
    <x v="1"/>
    <n v="5"/>
    <n v="4"/>
    <s v="Standard Class"/>
    <s v="DD-13570"/>
    <x v="708"/>
    <x v="0"/>
    <s v="United States"/>
    <x v="11"/>
    <x v="7"/>
    <n v="90049"/>
    <x v="3"/>
    <s v="OFF-PA-10003016"/>
    <x v="0"/>
    <x v="9"/>
    <s v="Adams &quot;While You Were Out&quot; Message Pads"/>
    <n v="15.7"/>
  </r>
  <r>
    <n v="6031"/>
    <s v="US-2018-152492"/>
    <d v="2018-07-06T00:00:00"/>
    <d v="2018-07-06T00:00:00"/>
    <x v="3"/>
    <x v="10"/>
    <n v="7"/>
    <n v="0"/>
    <s v="Same Day"/>
    <s v="AH-10585"/>
    <x v="709"/>
    <x v="0"/>
    <s v="United States"/>
    <x v="21"/>
    <x v="12"/>
    <n v="33142"/>
    <x v="2"/>
    <s v="FUR-CH-10000155"/>
    <x v="1"/>
    <x v="5"/>
    <s v="Global Comet Stacking Armless Chair"/>
    <n v="239.24"/>
  </r>
  <r>
    <n v="7088"/>
    <s v="US-2018-143175"/>
    <d v="2018-08-03T00:00:00"/>
    <d v="2018-08-06T00:00:00"/>
    <x v="3"/>
    <x v="3"/>
    <n v="8"/>
    <n v="3"/>
    <s v="Second Class"/>
    <s v="GA-14515"/>
    <x v="710"/>
    <x v="0"/>
    <s v="United States"/>
    <x v="11"/>
    <x v="7"/>
    <n v="90004"/>
    <x v="3"/>
    <s v="OFF-ST-10003123"/>
    <x v="0"/>
    <x v="11"/>
    <s v="Fellowes Bases and Tops For Staxonsteel/High-Stak Systems"/>
    <n v="99.87"/>
  </r>
  <r>
    <n v="4332"/>
    <s v="CA-2018-107909"/>
    <d v="2018-09-01T00:00:00"/>
    <d v="2018-09-06T00:00:00"/>
    <x v="3"/>
    <x v="4"/>
    <n v="9"/>
    <n v="5"/>
    <s v="Standard Class"/>
    <s v="SS-20875"/>
    <x v="711"/>
    <x v="0"/>
    <s v="United States"/>
    <x v="223"/>
    <x v="24"/>
    <n v="98052"/>
    <x v="3"/>
    <s v="TEC-AC-10001998"/>
    <x v="2"/>
    <x v="3"/>
    <s v="LogitechÂ LS21 Speaker System - PC Multimedia - 2.1-CH - Wired"/>
    <n v="19.989999999999998"/>
  </r>
  <r>
    <n v="1947"/>
    <s v="CA-2018-157987"/>
    <d v="2018-09-02T00:00:00"/>
    <d v="2018-09-06T00:00:00"/>
    <x v="3"/>
    <x v="4"/>
    <n v="9"/>
    <n v="4"/>
    <s v="Standard Class"/>
    <s v="AC-10615"/>
    <x v="712"/>
    <x v="1"/>
    <s v="United States"/>
    <x v="10"/>
    <x v="8"/>
    <n v="10009"/>
    <x v="1"/>
    <s v="OFF-AR-10000658"/>
    <x v="0"/>
    <x v="0"/>
    <s v="Newell 324"/>
    <n v="23.1"/>
  </r>
  <r>
    <n v="5826"/>
    <s v="CA-2018-161067"/>
    <d v="2018-09-03T00:00:00"/>
    <d v="2018-09-06T00:00:00"/>
    <x v="3"/>
    <x v="4"/>
    <n v="9"/>
    <n v="3"/>
    <s v="Second Class"/>
    <s v="KB-16405"/>
    <x v="713"/>
    <x v="2"/>
    <s v="United States"/>
    <x v="10"/>
    <x v="8"/>
    <n v="10035"/>
    <x v="1"/>
    <s v="OFF-PA-10000418"/>
    <x v="0"/>
    <x v="9"/>
    <s v="Xerox 189"/>
    <n v="419.4"/>
  </r>
  <r>
    <n v="3513"/>
    <s v="CA-2018-140326"/>
    <d v="2018-09-04T00:00:00"/>
    <d v="2018-09-06T00:00:00"/>
    <x v="3"/>
    <x v="4"/>
    <n v="9"/>
    <n v="2"/>
    <s v="First Class"/>
    <s v="HW-14935"/>
    <x v="714"/>
    <x v="1"/>
    <s v="United States"/>
    <x v="19"/>
    <x v="14"/>
    <n v="60653"/>
    <x v="0"/>
    <s v="FUR-BO-10000112"/>
    <x v="1"/>
    <x v="13"/>
    <s v="Bush Birmingham Collection Bookcase, Dark Cherry"/>
    <n v="825.17399999999998"/>
  </r>
  <r>
    <n v="5556"/>
    <s v="CA-2018-116113"/>
    <d v="2018-10-02T00:00:00"/>
    <d v="2018-10-06T00:00:00"/>
    <x v="3"/>
    <x v="5"/>
    <n v="10"/>
    <n v="4"/>
    <s v="Second Class"/>
    <s v="JW-15220"/>
    <x v="715"/>
    <x v="1"/>
    <s v="United States"/>
    <x v="224"/>
    <x v="36"/>
    <n v="36116"/>
    <x v="2"/>
    <s v="FUR-FU-10002963"/>
    <x v="1"/>
    <x v="1"/>
    <s v="Master Caster Door Stop, Gray"/>
    <n v="10.16"/>
  </r>
  <r>
    <n v="7206"/>
    <s v="CA-2018-137414"/>
    <d v="2018-10-02T00:00:00"/>
    <d v="2018-10-06T00:00:00"/>
    <x v="3"/>
    <x v="5"/>
    <n v="10"/>
    <n v="4"/>
    <s v="Standard Class"/>
    <s v="CM-12115"/>
    <x v="716"/>
    <x v="0"/>
    <s v="United States"/>
    <x v="9"/>
    <x v="7"/>
    <n v="94109"/>
    <x v="3"/>
    <s v="FUR-FU-10001424"/>
    <x v="1"/>
    <x v="1"/>
    <s v="Dax Clear Box Frame"/>
    <n v="17.46"/>
  </r>
  <r>
    <n v="9525"/>
    <s v="CA-2018-156958"/>
    <d v="2018-12-05T00:00:00"/>
    <d v="2018-12-06T00:00:00"/>
    <x v="3"/>
    <x v="7"/>
    <n v="12"/>
    <n v="1"/>
    <s v="First Class"/>
    <s v="PB-18805"/>
    <x v="717"/>
    <x v="2"/>
    <s v="United States"/>
    <x v="49"/>
    <x v="24"/>
    <n v="98115"/>
    <x v="3"/>
    <s v="OFF-BI-10001524"/>
    <x v="0"/>
    <x v="6"/>
    <s v="GBC Premium Transparent Covers with Diagonal Lined Pattern"/>
    <n v="83.92"/>
  </r>
  <r>
    <n v="7262"/>
    <s v="CA-2018-137001"/>
    <d v="2018-06-10T00:00:00"/>
    <d v="2018-06-13T00:00:00"/>
    <x v="3"/>
    <x v="11"/>
    <n v="6"/>
    <n v="3"/>
    <s v="Second Class"/>
    <s v="GZ-14545"/>
    <x v="718"/>
    <x v="1"/>
    <s v="United States"/>
    <x v="183"/>
    <x v="7"/>
    <n v="91360"/>
    <x v="3"/>
    <s v="OFF-AR-10001231"/>
    <x v="0"/>
    <x v="0"/>
    <s v="Sanford EarthWrite Recycled Pencils, Medium Soft, #2"/>
    <n v="14.7"/>
  </r>
  <r>
    <n v="9175"/>
    <s v="CA-2018-119424"/>
    <d v="2018-06-12T00:00:00"/>
    <d v="2018-06-14T00:00:00"/>
    <x v="3"/>
    <x v="11"/>
    <n v="6"/>
    <n v="2"/>
    <s v="Second Class"/>
    <s v="SB-20185"/>
    <x v="719"/>
    <x v="0"/>
    <s v="United States"/>
    <x v="42"/>
    <x v="24"/>
    <n v="98031"/>
    <x v="3"/>
    <s v="TEC-PH-10002564"/>
    <x v="2"/>
    <x v="8"/>
    <s v="OtterBox Defender Series Case - Samsung Galaxy S4"/>
    <n v="71.975999999999999"/>
  </r>
  <r>
    <n v="2501"/>
    <s v="CA-2018-131618"/>
    <d v="2018-06-17T00:00:00"/>
    <d v="2018-06-20T00:00:00"/>
    <x v="3"/>
    <x v="11"/>
    <n v="6"/>
    <n v="3"/>
    <s v="First Class"/>
    <s v="LS-17200"/>
    <x v="720"/>
    <x v="1"/>
    <s v="United States"/>
    <x v="225"/>
    <x v="14"/>
    <n v="60076"/>
    <x v="0"/>
    <s v="OFF-PA-10001892"/>
    <x v="0"/>
    <x v="9"/>
    <s v="Rediform Wirebound &quot;Phone Memo&quot; Message Book, 11 x 5-3/4"/>
    <n v="12.224"/>
  </r>
  <r>
    <n v="9491"/>
    <s v="CA-2018-111738"/>
    <d v="2018-01-03T00:00:00"/>
    <d v="2018-01-07T00:00:00"/>
    <x v="3"/>
    <x v="0"/>
    <n v="1"/>
    <n v="4"/>
    <s v="Standard Class"/>
    <s v="CM-12385"/>
    <x v="721"/>
    <x v="0"/>
    <s v="United States"/>
    <x v="9"/>
    <x v="7"/>
    <n v="94110"/>
    <x v="3"/>
    <s v="OFF-BI-10004584"/>
    <x v="0"/>
    <x v="6"/>
    <s v="GBC ProClick 150 Presentation Binding System"/>
    <n v="2022.2719999999999"/>
  </r>
  <r>
    <n v="3062"/>
    <s v="CA-2018-127621"/>
    <d v="2018-03-03T00:00:00"/>
    <d v="2018-03-07T00:00:00"/>
    <x v="3"/>
    <x v="8"/>
    <n v="3"/>
    <n v="4"/>
    <s v="Standard Class"/>
    <s v="RE-19450"/>
    <x v="722"/>
    <x v="0"/>
    <s v="United States"/>
    <x v="74"/>
    <x v="0"/>
    <n v="75081"/>
    <x v="0"/>
    <s v="OFF-PA-10001307"/>
    <x v="0"/>
    <x v="9"/>
    <s v="Important Message Pads, 50 4-1/4 x 5-1/2 Forms per Pad"/>
    <n v="26.88"/>
  </r>
  <r>
    <n v="4329"/>
    <s v="CA-2018-118360"/>
    <d v="2018-04-01T00:00:00"/>
    <d v="2018-04-07T00:00:00"/>
    <x v="3"/>
    <x v="9"/>
    <n v="4"/>
    <n v="6"/>
    <s v="Standard Class"/>
    <s v="JC-15775"/>
    <x v="723"/>
    <x v="0"/>
    <s v="United States"/>
    <x v="10"/>
    <x v="8"/>
    <n v="10011"/>
    <x v="1"/>
    <s v="OFF-PA-10000791"/>
    <x v="0"/>
    <x v="9"/>
    <s v="Wirebound Message Books, Four 2 3/4 x 5 Forms per Page, 200 Sets per Book"/>
    <n v="42.93"/>
  </r>
  <r>
    <n v="6125"/>
    <s v="CA-2018-145772"/>
    <d v="2018-06-03T00:00:00"/>
    <d v="2018-06-07T00:00:00"/>
    <x v="3"/>
    <x v="11"/>
    <n v="6"/>
    <n v="4"/>
    <s v="Standard Class"/>
    <s v="SS-20140"/>
    <x v="724"/>
    <x v="1"/>
    <s v="United States"/>
    <x v="11"/>
    <x v="7"/>
    <n v="90036"/>
    <x v="3"/>
    <s v="TEC-AC-10003038"/>
    <x v="2"/>
    <x v="3"/>
    <s v="Kingston Digital DataTraveler 16GB USB 2.0"/>
    <n v="44.75"/>
  </r>
  <r>
    <n v="9451"/>
    <s v="CA-2018-145506"/>
    <d v="2018-06-03T00:00:00"/>
    <d v="2018-06-07T00:00:00"/>
    <x v="3"/>
    <x v="11"/>
    <n v="6"/>
    <n v="4"/>
    <s v="Standard Class"/>
    <s v="MO-17800"/>
    <x v="725"/>
    <x v="2"/>
    <s v="United States"/>
    <x v="152"/>
    <x v="24"/>
    <n v="99207"/>
    <x v="3"/>
    <s v="OFF-ST-10004963"/>
    <x v="0"/>
    <x v="11"/>
    <s v="Eldon Gobal File Keepers"/>
    <n v="136.26"/>
  </r>
  <r>
    <n v="8518"/>
    <s v="CA-2018-149720"/>
    <d v="2018-06-04T00:00:00"/>
    <d v="2018-06-07T00:00:00"/>
    <x v="3"/>
    <x v="11"/>
    <n v="6"/>
    <n v="3"/>
    <s v="Second Class"/>
    <s v="EM-14065"/>
    <x v="726"/>
    <x v="0"/>
    <s v="United States"/>
    <x v="226"/>
    <x v="0"/>
    <n v="75034"/>
    <x v="0"/>
    <s v="FUR-FU-10002501"/>
    <x v="1"/>
    <x v="1"/>
    <s v="Nu-Dell Executive Frame"/>
    <n v="30.335999999999999"/>
  </r>
  <r>
    <n v="1304"/>
    <s v="US-2018-126179"/>
    <d v="2018-07-03T00:00:00"/>
    <d v="2018-07-07T00:00:00"/>
    <x v="3"/>
    <x v="10"/>
    <n v="7"/>
    <n v="4"/>
    <s v="Standard Class"/>
    <s v="CS-12460"/>
    <x v="727"/>
    <x v="0"/>
    <s v="United States"/>
    <x v="4"/>
    <x v="3"/>
    <n v="31907"/>
    <x v="2"/>
    <s v="FUR-FU-10002554"/>
    <x v="1"/>
    <x v="1"/>
    <s v="Westinghouse Floor Lamp with Metal Mesh Shade, Black"/>
    <n v="23.99"/>
  </r>
  <r>
    <n v="1834"/>
    <s v="CA-2018-162691"/>
    <d v="2018-08-01T00:00:00"/>
    <d v="2018-08-07T00:00:00"/>
    <x v="3"/>
    <x v="3"/>
    <n v="8"/>
    <n v="6"/>
    <s v="Standard Class"/>
    <s v="AS-10045"/>
    <x v="728"/>
    <x v="1"/>
    <s v="United States"/>
    <x v="24"/>
    <x v="0"/>
    <n v="78745"/>
    <x v="0"/>
    <s v="TEC-MA-10000488"/>
    <x v="2"/>
    <x v="16"/>
    <s v="Bady BDG101FRU Card Printer"/>
    <n v="1439.982"/>
  </r>
  <r>
    <n v="910"/>
    <s v="CA-2018-137596"/>
    <d v="2018-09-02T00:00:00"/>
    <d v="2018-09-07T00:00:00"/>
    <x v="3"/>
    <x v="4"/>
    <n v="9"/>
    <n v="5"/>
    <s v="Standard Class"/>
    <s v="BE-11335"/>
    <x v="729"/>
    <x v="2"/>
    <s v="United States"/>
    <x v="87"/>
    <x v="11"/>
    <n v="49201"/>
    <x v="0"/>
    <s v="TEC-PH-10001494"/>
    <x v="2"/>
    <x v="8"/>
    <s v="Polycom CX600 IP Phone VoIP phone"/>
    <n v="1199.8"/>
  </r>
  <r>
    <n v="6680"/>
    <s v="CA-2018-145037"/>
    <d v="2018-09-02T00:00:00"/>
    <d v="2018-09-07T00:00:00"/>
    <x v="3"/>
    <x v="4"/>
    <n v="9"/>
    <n v="5"/>
    <s v="Second Class"/>
    <s v="TB-21055"/>
    <x v="730"/>
    <x v="0"/>
    <s v="United States"/>
    <x v="71"/>
    <x v="13"/>
    <n v="6450"/>
    <x v="1"/>
    <s v="OFF-ST-10000918"/>
    <x v="0"/>
    <x v="11"/>
    <s v="Crate-A-Files"/>
    <n v="10.9"/>
  </r>
  <r>
    <n v="3978"/>
    <s v="CA-2018-101308"/>
    <d v="2018-10-02T00:00:00"/>
    <d v="2018-10-07T00:00:00"/>
    <x v="3"/>
    <x v="5"/>
    <n v="10"/>
    <n v="5"/>
    <s v="Standard Class"/>
    <s v="FG-14260"/>
    <x v="731"/>
    <x v="2"/>
    <s v="United States"/>
    <x v="49"/>
    <x v="24"/>
    <n v="98105"/>
    <x v="3"/>
    <s v="OFF-FA-10002780"/>
    <x v="0"/>
    <x v="10"/>
    <s v="Staples"/>
    <n v="8.94"/>
  </r>
  <r>
    <n v="8399"/>
    <s v="CA-2018-120061"/>
    <d v="2018-11-02T00:00:00"/>
    <d v="2018-11-07T00:00:00"/>
    <x v="3"/>
    <x v="6"/>
    <n v="11"/>
    <n v="5"/>
    <s v="Second Class"/>
    <s v="SR-20425"/>
    <x v="732"/>
    <x v="2"/>
    <s v="United States"/>
    <x v="2"/>
    <x v="4"/>
    <n v="45503"/>
    <x v="1"/>
    <s v="FUR-CH-10001973"/>
    <x v="1"/>
    <x v="5"/>
    <s v="Office Star Flex Back Scooter Chair with White Frame"/>
    <n v="155.37200000000001"/>
  </r>
  <r>
    <n v="415"/>
    <s v="CA-2018-142636"/>
    <d v="2018-11-03T00:00:00"/>
    <d v="2018-11-07T00:00:00"/>
    <x v="3"/>
    <x v="6"/>
    <n v="11"/>
    <n v="4"/>
    <s v="Standard Class"/>
    <s v="KC-16675"/>
    <x v="733"/>
    <x v="1"/>
    <s v="United States"/>
    <x v="49"/>
    <x v="24"/>
    <n v="98105"/>
    <x v="3"/>
    <s v="OFF-PA-10000157"/>
    <x v="0"/>
    <x v="9"/>
    <s v="Xerox 191"/>
    <n v="139.86000000000001"/>
  </r>
  <r>
    <n v="2271"/>
    <s v="CA-2018-164917"/>
    <d v="2018-12-02T00:00:00"/>
    <d v="2018-12-07T00:00:00"/>
    <x v="3"/>
    <x v="7"/>
    <n v="12"/>
    <n v="5"/>
    <s v="Standard Class"/>
    <s v="MK-17905"/>
    <x v="734"/>
    <x v="1"/>
    <s v="United States"/>
    <x v="21"/>
    <x v="12"/>
    <n v="33180"/>
    <x v="2"/>
    <s v="OFF-AR-10004344"/>
    <x v="0"/>
    <x v="0"/>
    <s v="Bulldog Vacuum Base Pencil Sharpener"/>
    <n v="47.96"/>
  </r>
  <r>
    <n v="2574"/>
    <s v="CA-2018-145128"/>
    <d v="2018-07-09T00:00:00"/>
    <d v="2018-07-14T00:00:00"/>
    <x v="3"/>
    <x v="10"/>
    <n v="7"/>
    <n v="5"/>
    <s v="Standard Class"/>
    <s v="SM-20320"/>
    <x v="735"/>
    <x v="2"/>
    <s v="United States"/>
    <x v="86"/>
    <x v="40"/>
    <n v="47905"/>
    <x v="0"/>
    <s v="FUR-FU-10000293"/>
    <x v="1"/>
    <x v="1"/>
    <s v="Eldon Antistatic Chair Mats for Low to Medium Pile Carpets"/>
    <n v="526.45000000000005"/>
  </r>
  <r>
    <n v="1621"/>
    <s v="CA-2018-108560"/>
    <d v="2018-07-08T00:00:00"/>
    <d v="2018-07-15T00:00:00"/>
    <x v="3"/>
    <x v="10"/>
    <n v="7"/>
    <n v="7"/>
    <s v="Standard Class"/>
    <s v="JC-15385"/>
    <x v="736"/>
    <x v="0"/>
    <s v="United States"/>
    <x v="42"/>
    <x v="24"/>
    <n v="98031"/>
    <x v="3"/>
    <s v="FUR-FU-10002937"/>
    <x v="1"/>
    <x v="1"/>
    <s v="GE 48&quot; Fluorescent Tube, Cool White Energy Saver, 34 Watts, 30/Box"/>
    <n v="198.46"/>
  </r>
  <r>
    <n v="6567"/>
    <s v="CA-2018-131282"/>
    <d v="2018-02-05T00:00:00"/>
    <d v="2018-02-08T00:00:00"/>
    <x v="3"/>
    <x v="2"/>
    <n v="2"/>
    <n v="3"/>
    <s v="Second Class"/>
    <s v="CB-12025"/>
    <x v="737"/>
    <x v="0"/>
    <s v="United States"/>
    <x v="227"/>
    <x v="0"/>
    <n v="76706"/>
    <x v="0"/>
    <s v="OFF-BI-10004632"/>
    <x v="0"/>
    <x v="6"/>
    <s v="Ibico Hi-Tech Manual Binding System"/>
    <n v="243.99199999999999"/>
  </r>
  <r>
    <n v="9252"/>
    <s v="CA-2018-155712"/>
    <d v="2018-03-02T00:00:00"/>
    <d v="2018-03-08T00:00:00"/>
    <x v="3"/>
    <x v="8"/>
    <n v="3"/>
    <n v="6"/>
    <s v="Standard Class"/>
    <s v="KD-16615"/>
    <x v="738"/>
    <x v="1"/>
    <s v="United States"/>
    <x v="11"/>
    <x v="7"/>
    <n v="90008"/>
    <x v="3"/>
    <s v="OFF-BI-10004224"/>
    <x v="0"/>
    <x v="6"/>
    <s v="Catalog Binders with Expanding Posts"/>
    <n v="107.648"/>
  </r>
  <r>
    <n v="6576"/>
    <s v="CA-2018-123085"/>
    <d v="2018-03-03T00:00:00"/>
    <d v="2018-03-08T00:00:00"/>
    <x v="3"/>
    <x v="8"/>
    <n v="3"/>
    <n v="5"/>
    <s v="Standard Class"/>
    <s v="EJ-13720"/>
    <x v="739"/>
    <x v="0"/>
    <s v="United States"/>
    <x v="11"/>
    <x v="7"/>
    <n v="90008"/>
    <x v="3"/>
    <s v="TEC-AC-10000990"/>
    <x v="2"/>
    <x v="3"/>
    <s v="Imation Bio 2GB USBÂ Flash Drive ImationÂ Corp"/>
    <n v="1049.44"/>
  </r>
  <r>
    <n v="8619"/>
    <s v="CA-2018-117513"/>
    <d v="2018-03-03T00:00:00"/>
    <d v="2018-03-08T00:00:00"/>
    <x v="3"/>
    <x v="8"/>
    <n v="3"/>
    <n v="5"/>
    <s v="Standard Class"/>
    <s v="BT-11395"/>
    <x v="740"/>
    <x v="1"/>
    <s v="United States"/>
    <x v="11"/>
    <x v="7"/>
    <n v="90004"/>
    <x v="3"/>
    <s v="FUR-TA-10001520"/>
    <x v="1"/>
    <x v="12"/>
    <s v="Lesro Sheffield Collection Coffee Table, End Table, Center Table, Corner Table"/>
    <n v="399.67200000000003"/>
  </r>
  <r>
    <n v="6190"/>
    <s v="CA-2018-157903"/>
    <d v="2018-04-04T00:00:00"/>
    <d v="2018-04-08T00:00:00"/>
    <x v="3"/>
    <x v="9"/>
    <n v="4"/>
    <n v="4"/>
    <s v="Standard Class"/>
    <s v="AM-10705"/>
    <x v="741"/>
    <x v="0"/>
    <s v="United States"/>
    <x v="228"/>
    <x v="14"/>
    <n v="60016"/>
    <x v="0"/>
    <s v="TEC-PH-10004345"/>
    <x v="2"/>
    <x v="8"/>
    <s v="Cisco SPA 502G IP Phone"/>
    <n v="383.84"/>
  </r>
  <r>
    <n v="3193"/>
    <s v="CA-2018-158953"/>
    <d v="2018-06-04T00:00:00"/>
    <d v="2018-06-08T00:00:00"/>
    <x v="3"/>
    <x v="11"/>
    <n v="6"/>
    <n v="4"/>
    <s v="Standard Class"/>
    <s v="ML-18040"/>
    <x v="742"/>
    <x v="1"/>
    <s v="United States"/>
    <x v="229"/>
    <x v="0"/>
    <n v="77489"/>
    <x v="0"/>
    <s v="OFF-BI-10002557"/>
    <x v="0"/>
    <x v="6"/>
    <s v="Presstex Flexible Ring Binders"/>
    <n v="6.37"/>
  </r>
  <r>
    <n v="3934"/>
    <s v="CA-2018-123001"/>
    <d v="2018-09-02T00:00:00"/>
    <d v="2018-09-08T00:00:00"/>
    <x v="3"/>
    <x v="4"/>
    <n v="9"/>
    <n v="6"/>
    <s v="Standard Class"/>
    <s v="AW-10840"/>
    <x v="743"/>
    <x v="0"/>
    <s v="United States"/>
    <x v="188"/>
    <x v="7"/>
    <n v="93309"/>
    <x v="3"/>
    <s v="OFF-AR-10001919"/>
    <x v="0"/>
    <x v="0"/>
    <s v="OIC #2 Pencils, Medium Soft"/>
    <n v="9.4"/>
  </r>
  <r>
    <n v="5636"/>
    <s v="CA-2018-123022"/>
    <d v="2018-09-03T00:00:00"/>
    <d v="2018-09-08T00:00:00"/>
    <x v="3"/>
    <x v="4"/>
    <n v="9"/>
    <n v="5"/>
    <s v="Standard Class"/>
    <s v="SC-20050"/>
    <x v="744"/>
    <x v="2"/>
    <s v="United States"/>
    <x v="230"/>
    <x v="7"/>
    <n v="91941"/>
    <x v="3"/>
    <s v="OFF-BI-10002225"/>
    <x v="0"/>
    <x v="6"/>
    <s v="Square Ring Data Binders, Rigid 75 Pt. Covers, 11&quot; x 14-7/8&quot;"/>
    <n v="82.56"/>
  </r>
  <r>
    <n v="5785"/>
    <s v="CA-2018-141117"/>
    <d v="2018-10-02T00:00:00"/>
    <d v="2018-10-08T00:00:00"/>
    <x v="3"/>
    <x v="5"/>
    <n v="10"/>
    <n v="6"/>
    <s v="Standard Class"/>
    <s v="JK-16090"/>
    <x v="745"/>
    <x v="0"/>
    <s v="United States"/>
    <x v="2"/>
    <x v="21"/>
    <n v="97477"/>
    <x v="3"/>
    <s v="FUR-BO-10001972"/>
    <x v="1"/>
    <x v="13"/>
    <s v="O'Sullivan 4-Shelf Bookcase in Odessa Pine"/>
    <n v="217.76400000000001"/>
  </r>
  <r>
    <n v="2803"/>
    <s v="CA-2018-143329"/>
    <d v="2018-11-03T00:00:00"/>
    <d v="2018-11-08T00:00:00"/>
    <x v="3"/>
    <x v="6"/>
    <n v="11"/>
    <n v="5"/>
    <s v="Standard Class"/>
    <s v="DL-13330"/>
    <x v="746"/>
    <x v="0"/>
    <s v="United States"/>
    <x v="231"/>
    <x v="37"/>
    <n v="88001"/>
    <x v="3"/>
    <s v="FUR-FU-10000629"/>
    <x v="1"/>
    <x v="1"/>
    <s v="9-3/4 Diameter Round Wall Clock"/>
    <n v="41.37"/>
  </r>
  <r>
    <n v="6352"/>
    <s v="CA-2018-161130"/>
    <d v="2018-11-03T00:00:00"/>
    <d v="2018-11-08T00:00:00"/>
    <x v="3"/>
    <x v="6"/>
    <n v="11"/>
    <n v="5"/>
    <s v="Standard Class"/>
    <s v="BF-11275"/>
    <x v="747"/>
    <x v="1"/>
    <s v="United States"/>
    <x v="21"/>
    <x v="12"/>
    <n v="33178"/>
    <x v="2"/>
    <s v="TEC-PH-10002549"/>
    <x v="2"/>
    <x v="8"/>
    <s v="Polycom SoundPoint IP 450 VoIP phone"/>
    <n v="361.37599999999998"/>
  </r>
  <r>
    <n v="7716"/>
    <s v="US-2018-101518"/>
    <d v="2018-11-03T00:00:00"/>
    <d v="2018-11-08T00:00:00"/>
    <x v="3"/>
    <x v="6"/>
    <n v="11"/>
    <n v="5"/>
    <s v="Standard Class"/>
    <s v="PB-19105"/>
    <x v="748"/>
    <x v="0"/>
    <s v="United States"/>
    <x v="41"/>
    <x v="23"/>
    <n v="19140"/>
    <x v="1"/>
    <s v="TEC-AC-10001553"/>
    <x v="2"/>
    <x v="3"/>
    <s v="Memorex 25GB 6X Branded Blu-Ray Recordable Disc, 15/Pack"/>
    <n v="40.776000000000003"/>
  </r>
  <r>
    <n v="6864"/>
    <s v="CA-2018-138618"/>
    <d v="2018-12-01T00:00:00"/>
    <d v="2018-12-08T00:00:00"/>
    <x v="3"/>
    <x v="7"/>
    <n v="12"/>
    <n v="7"/>
    <s v="Standard Class"/>
    <s v="MY-17380"/>
    <x v="749"/>
    <x v="1"/>
    <s v="United States"/>
    <x v="88"/>
    <x v="0"/>
    <n v="78207"/>
    <x v="0"/>
    <s v="OFF-PA-10000520"/>
    <x v="0"/>
    <x v="9"/>
    <s v="Xerox 201"/>
    <n v="10.368"/>
  </r>
  <r>
    <n v="2691"/>
    <s v="CA-2018-156412"/>
    <d v="2018-12-04T00:00:00"/>
    <d v="2018-12-08T00:00:00"/>
    <x v="3"/>
    <x v="7"/>
    <n v="12"/>
    <n v="4"/>
    <s v="Standard Class"/>
    <s v="CM-12160"/>
    <x v="750"/>
    <x v="0"/>
    <s v="United States"/>
    <x v="41"/>
    <x v="23"/>
    <n v="19134"/>
    <x v="1"/>
    <s v="OFF-BI-10004364"/>
    <x v="0"/>
    <x v="6"/>
    <s v="Storex Dura Pro Binders"/>
    <n v="5.3460000000000001"/>
  </r>
  <r>
    <n v="9608"/>
    <s v="CA-2018-117128"/>
    <d v="2018-12-05T00:00:00"/>
    <d v="2018-12-08T00:00:00"/>
    <x v="3"/>
    <x v="7"/>
    <n v="12"/>
    <n v="3"/>
    <s v="Second Class"/>
    <s v="BF-11080"/>
    <x v="751"/>
    <x v="0"/>
    <s v="United States"/>
    <x v="10"/>
    <x v="8"/>
    <n v="10024"/>
    <x v="1"/>
    <s v="OFF-PA-10000007"/>
    <x v="0"/>
    <x v="9"/>
    <s v="Telephone Message Books with Fax/Mobile Section, 4 1/4&quot; x 6&quot;"/>
    <n v="21.6"/>
  </r>
  <r>
    <n v="2863"/>
    <s v="CA-2018-106537"/>
    <d v="2018-08-12T00:00:00"/>
    <d v="2018-08-17T00:00:00"/>
    <x v="3"/>
    <x v="3"/>
    <n v="8"/>
    <n v="5"/>
    <s v="Standard Class"/>
    <s v="RH-19495"/>
    <x v="752"/>
    <x v="0"/>
    <s v="United States"/>
    <x v="232"/>
    <x v="12"/>
    <n v="32839"/>
    <x v="2"/>
    <s v="OFF-PA-10000223"/>
    <x v="0"/>
    <x v="9"/>
    <s v="Xerox 2000"/>
    <n v="20.736000000000001"/>
  </r>
  <r>
    <n v="5235"/>
    <s v="CA-2018-131037"/>
    <d v="2018-08-22T00:00:00"/>
    <d v="2018-08-23T00:00:00"/>
    <x v="3"/>
    <x v="3"/>
    <n v="8"/>
    <n v="1"/>
    <s v="First Class"/>
    <s v="TM-21490"/>
    <x v="753"/>
    <x v="0"/>
    <s v="United States"/>
    <x v="9"/>
    <x v="7"/>
    <n v="94110"/>
    <x v="3"/>
    <s v="FUR-TA-10001768"/>
    <x v="1"/>
    <x v="12"/>
    <s v="Hon Racetrack Conference Tables"/>
    <n v="210.00800000000001"/>
  </r>
  <r>
    <n v="6641"/>
    <s v="CA-2018-128328"/>
    <d v="2018-08-05T00:00:00"/>
    <d v="2018-08-09T00:00:00"/>
    <x v="3"/>
    <x v="3"/>
    <n v="8"/>
    <n v="4"/>
    <s v="Standard Class"/>
    <s v="PO-18865"/>
    <x v="754"/>
    <x v="0"/>
    <s v="United States"/>
    <x v="179"/>
    <x v="40"/>
    <n v="46203"/>
    <x v="0"/>
    <s v="OFF-BI-10001989"/>
    <x v="0"/>
    <x v="6"/>
    <s v="Premium Transparent Presentation Covers by GBC"/>
    <n v="125.88"/>
  </r>
  <r>
    <n v="3567"/>
    <s v="CA-2018-103877"/>
    <d v="2018-09-07T00:00:00"/>
    <d v="2018-09-14T00:00:00"/>
    <x v="3"/>
    <x v="4"/>
    <n v="9"/>
    <n v="7"/>
    <s v="Standard Class"/>
    <s v="RD-19660"/>
    <x v="755"/>
    <x v="2"/>
    <s v="United States"/>
    <x v="233"/>
    <x v="5"/>
    <n v="64055"/>
    <x v="0"/>
    <s v="OFF-BI-10003650"/>
    <x v="0"/>
    <x v="6"/>
    <s v="GBC DocuBind 300 Electric Binding Machine"/>
    <n v="1577.94"/>
  </r>
  <r>
    <n v="6256"/>
    <s v="CA-2018-139444"/>
    <d v="2018-09-09T00:00:00"/>
    <d v="2018-09-15T00:00:00"/>
    <x v="3"/>
    <x v="4"/>
    <n v="9"/>
    <n v="6"/>
    <s v="Standard Class"/>
    <s v="GK-14620"/>
    <x v="756"/>
    <x v="1"/>
    <s v="United States"/>
    <x v="234"/>
    <x v="0"/>
    <n v="75023"/>
    <x v="0"/>
    <s v="OFF-LA-10000134"/>
    <x v="0"/>
    <x v="2"/>
    <s v="Avery 511"/>
    <n v="9.8559999999999999"/>
  </r>
  <r>
    <n v="1959"/>
    <s v="CA-2018-110905"/>
    <d v="2018-09-10T00:00:00"/>
    <d v="2018-09-15T00:00:00"/>
    <x v="3"/>
    <x v="4"/>
    <n v="9"/>
    <n v="5"/>
    <s v="Second Class"/>
    <s v="RW-19690"/>
    <x v="757"/>
    <x v="0"/>
    <s v="United States"/>
    <x v="2"/>
    <x v="5"/>
    <n v="65807"/>
    <x v="0"/>
    <s v="OFF-BI-10003669"/>
    <x v="0"/>
    <x v="6"/>
    <s v="3M Organizer Strips"/>
    <n v="16.2"/>
  </r>
  <r>
    <n v="1510"/>
    <s v="CA-2018-103611"/>
    <d v="2018-09-12T00:00:00"/>
    <d v="2018-09-15T00:00:00"/>
    <x v="3"/>
    <x v="4"/>
    <n v="9"/>
    <n v="3"/>
    <s v="First Class"/>
    <s v="JM-15535"/>
    <x v="758"/>
    <x v="0"/>
    <s v="United States"/>
    <x v="11"/>
    <x v="7"/>
    <n v="90036"/>
    <x v="3"/>
    <s v="FUR-FU-10004270"/>
    <x v="1"/>
    <x v="1"/>
    <s v="Eldon Image Series Desk Accessories, Burgundy"/>
    <n v="8.36"/>
  </r>
  <r>
    <n v="6756"/>
    <s v="CA-2018-124205"/>
    <d v="2018-09-15T00:00:00"/>
    <d v="2018-09-19T00:00:00"/>
    <x v="3"/>
    <x v="4"/>
    <n v="9"/>
    <n v="4"/>
    <s v="Standard Class"/>
    <s v="TC-21145"/>
    <x v="759"/>
    <x v="1"/>
    <s v="United States"/>
    <x v="53"/>
    <x v="22"/>
    <n v="8701"/>
    <x v="1"/>
    <s v="FUR-FU-10002445"/>
    <x v="1"/>
    <x v="1"/>
    <s v="DAX Two-Tone Rosewood/Black Document Frame, Desktop, 5 x 7"/>
    <n v="47.4"/>
  </r>
  <r>
    <n v="5401"/>
    <s v="CA-2018-132262"/>
    <d v="2018-09-21T00:00:00"/>
    <d v="2018-09-23T00:00:00"/>
    <x v="3"/>
    <x v="4"/>
    <n v="9"/>
    <n v="2"/>
    <s v="First Class"/>
    <s v="ML-18265"/>
    <x v="760"/>
    <x v="0"/>
    <s v="United States"/>
    <x v="49"/>
    <x v="24"/>
    <n v="98103"/>
    <x v="3"/>
    <s v="TEC-AC-10000158"/>
    <x v="2"/>
    <x v="3"/>
    <s v="Sony 64GB Class 10 Micro SDHC R40 Memory Card"/>
    <n v="71.98"/>
  </r>
  <r>
    <n v="7815"/>
    <s v="US-2018-109316"/>
    <d v="2018-06-08T00:00:00"/>
    <d v="2018-06-10T00:00:00"/>
    <x v="3"/>
    <x v="11"/>
    <n v="6"/>
    <n v="2"/>
    <s v="First Class"/>
    <s v="MG-17680"/>
    <x v="761"/>
    <x v="2"/>
    <s v="United States"/>
    <x v="11"/>
    <x v="7"/>
    <n v="90049"/>
    <x v="3"/>
    <s v="FUR-BO-10004834"/>
    <x v="1"/>
    <x v="13"/>
    <s v="Riverside Palais Royal Lawyers Bookcase, Royale Cherry Finish"/>
    <n v="1497.6659999999999"/>
  </r>
  <r>
    <n v="4230"/>
    <s v="CA-2018-100223"/>
    <d v="2018-07-05T00:00:00"/>
    <d v="2018-07-10T00:00:00"/>
    <x v="3"/>
    <x v="10"/>
    <n v="7"/>
    <n v="5"/>
    <s v="Standard Class"/>
    <s v="LS-16945"/>
    <x v="762"/>
    <x v="1"/>
    <s v="United States"/>
    <x v="74"/>
    <x v="0"/>
    <n v="75220"/>
    <x v="0"/>
    <s v="FUR-FU-10003601"/>
    <x v="1"/>
    <x v="1"/>
    <s v="Deflect-o RollaMat Studded, Beveled Mat for Medium Pile Carpeting"/>
    <n v="332.02800000000002"/>
  </r>
  <r>
    <n v="9467"/>
    <s v="CA-2018-102925"/>
    <d v="2018-11-05T00:00:00"/>
    <d v="2018-11-10T00:00:00"/>
    <x v="3"/>
    <x v="6"/>
    <n v="11"/>
    <n v="5"/>
    <s v="Second Class"/>
    <s v="CD-12280"/>
    <x v="763"/>
    <x v="0"/>
    <s v="United States"/>
    <x v="10"/>
    <x v="8"/>
    <n v="10024"/>
    <x v="1"/>
    <s v="OFF-BI-10002735"/>
    <x v="0"/>
    <x v="6"/>
    <s v="GBC Prestige Therm-A-Bind Covers"/>
    <n v="164.68799999999999"/>
  </r>
  <r>
    <n v="419"/>
    <s v="CA-2018-154816"/>
    <d v="2018-11-06T00:00:00"/>
    <d v="2018-11-10T00:00:00"/>
    <x v="3"/>
    <x v="6"/>
    <n v="11"/>
    <n v="4"/>
    <s v="Standard Class"/>
    <s v="VB-21745"/>
    <x v="764"/>
    <x v="1"/>
    <s v="United States"/>
    <x v="15"/>
    <x v="10"/>
    <n v="40475"/>
    <x v="2"/>
    <s v="OFF-PA-10003845"/>
    <x v="0"/>
    <x v="9"/>
    <s v="Xerox 1987"/>
    <n v="5.78"/>
  </r>
  <r>
    <n v="7099"/>
    <s v="CA-2018-144596"/>
    <d v="2018-11-06T00:00:00"/>
    <d v="2018-11-10T00:00:00"/>
    <x v="3"/>
    <x v="6"/>
    <n v="11"/>
    <n v="4"/>
    <s v="Standard Class"/>
    <s v="CD-11980"/>
    <x v="765"/>
    <x v="0"/>
    <s v="United States"/>
    <x v="10"/>
    <x v="8"/>
    <n v="10011"/>
    <x v="1"/>
    <s v="OFF-PA-10003302"/>
    <x v="0"/>
    <x v="9"/>
    <s v="Xerox 1906"/>
    <n v="318.95999999999998"/>
  </r>
  <r>
    <n v="6962"/>
    <s v="CA-2018-162096"/>
    <d v="2018-11-10T00:00:00"/>
    <d v="2018-11-10T00:00:00"/>
    <x v="3"/>
    <x v="6"/>
    <n v="11"/>
    <n v="0"/>
    <s v="Same Day"/>
    <s v="TB-21190"/>
    <x v="766"/>
    <x v="2"/>
    <s v="United States"/>
    <x v="163"/>
    <x v="7"/>
    <n v="92503"/>
    <x v="3"/>
    <s v="OFF-AR-10002221"/>
    <x v="0"/>
    <x v="0"/>
    <s v="12 Colored Short Pencils"/>
    <n v="7.8"/>
  </r>
  <r>
    <n v="2762"/>
    <s v="CA-2018-126536"/>
    <d v="2018-10-12T00:00:00"/>
    <d v="2018-10-14T00:00:00"/>
    <x v="3"/>
    <x v="5"/>
    <n v="10"/>
    <n v="2"/>
    <s v="First Class"/>
    <s v="NK-18490"/>
    <x v="767"/>
    <x v="2"/>
    <s v="United States"/>
    <x v="9"/>
    <x v="7"/>
    <n v="94110"/>
    <x v="3"/>
    <s v="TEC-AC-10003709"/>
    <x v="2"/>
    <x v="3"/>
    <s v="Maxell 4.7GB DVD-R 5/Pack"/>
    <n v="0.99"/>
  </r>
  <r>
    <n v="888"/>
    <s v="CA-2018-150707"/>
    <d v="2018-10-14T00:00:00"/>
    <d v="2018-10-19T00:00:00"/>
    <x v="3"/>
    <x v="5"/>
    <n v="10"/>
    <n v="5"/>
    <s v="Standard Class"/>
    <s v="EL-13735"/>
    <x v="768"/>
    <x v="2"/>
    <s v="United States"/>
    <x v="6"/>
    <x v="29"/>
    <n v="21044"/>
    <x v="1"/>
    <s v="OFF-BI-10001078"/>
    <x v="0"/>
    <x v="6"/>
    <s v="Acco PRESSTEX Data Binder with Storage Hooks, Dark Blue, 14 7/8&quot; X 11&quot;"/>
    <n v="37.659999999999997"/>
  </r>
  <r>
    <n v="3057"/>
    <s v="CA-2018-131492"/>
    <d v="2018-10-19T00:00:00"/>
    <d v="2018-10-24T00:00:00"/>
    <x v="3"/>
    <x v="5"/>
    <n v="10"/>
    <n v="5"/>
    <s v="Second Class"/>
    <s v="HH-15010"/>
    <x v="769"/>
    <x v="1"/>
    <s v="United States"/>
    <x v="9"/>
    <x v="7"/>
    <n v="94110"/>
    <x v="3"/>
    <s v="OFF-EN-10002973"/>
    <x v="0"/>
    <x v="14"/>
    <s v="Ampad #10 Peel &amp; Seel Holiday Envelopes"/>
    <n v="8.9600000000000009"/>
  </r>
  <r>
    <n v="527"/>
    <s v="CA-2018-113558"/>
    <d v="2018-10-21T00:00:00"/>
    <d v="2018-10-26T00:00:00"/>
    <x v="3"/>
    <x v="5"/>
    <n v="10"/>
    <n v="5"/>
    <s v="Standard Class"/>
    <s v="PH-18790"/>
    <x v="770"/>
    <x v="2"/>
    <s v="United States"/>
    <x v="17"/>
    <x v="12"/>
    <n v="33801"/>
    <x v="2"/>
    <s v="FUR-CH-10003379"/>
    <x v="1"/>
    <x v="5"/>
    <s v="Global Commerce Series High-Back Swivel/Tilt Chairs"/>
    <n v="683.952"/>
  </r>
  <r>
    <n v="1261"/>
    <s v="CA-2018-117079"/>
    <d v="2018-10-23T00:00:00"/>
    <d v="2018-10-27T00:00:00"/>
    <x v="3"/>
    <x v="5"/>
    <n v="10"/>
    <n v="4"/>
    <s v="Standard Class"/>
    <s v="JR-15700"/>
    <x v="771"/>
    <x v="0"/>
    <s v="United States"/>
    <x v="77"/>
    <x v="12"/>
    <n v="32216"/>
    <x v="2"/>
    <s v="TEC-PH-10004586"/>
    <x v="2"/>
    <x v="8"/>
    <s v="Wilson SignalBoost 841262 DB PRO Amplifier Kit"/>
    <n v="863.88"/>
  </r>
  <r>
    <n v="3735"/>
    <s v="CA-2018-168193"/>
    <d v="2018-03-06T00:00:00"/>
    <d v="2018-03-11T00:00:00"/>
    <x v="3"/>
    <x v="8"/>
    <n v="3"/>
    <n v="5"/>
    <s v="Second Class"/>
    <s v="RM-19750"/>
    <x v="772"/>
    <x v="0"/>
    <s v="United States"/>
    <x v="10"/>
    <x v="8"/>
    <n v="10011"/>
    <x v="1"/>
    <s v="OFF-PA-10002254"/>
    <x v="0"/>
    <x v="9"/>
    <s v="Xerox 1883"/>
    <n v="26.38"/>
  </r>
  <r>
    <n v="965"/>
    <s v="CA-2018-135279"/>
    <d v="2018-04-09T00:00:00"/>
    <d v="2018-04-11T00:00:00"/>
    <x v="3"/>
    <x v="9"/>
    <n v="4"/>
    <n v="2"/>
    <s v="First Class"/>
    <s v="BS-11800"/>
    <x v="773"/>
    <x v="2"/>
    <s v="United States"/>
    <x v="10"/>
    <x v="8"/>
    <n v="10011"/>
    <x v="1"/>
    <s v="OFF-LA-10004055"/>
    <x v="0"/>
    <x v="2"/>
    <s v="Color-Coded Legal Exhibit Labels"/>
    <n v="9.82"/>
  </r>
  <r>
    <n v="5530"/>
    <s v="CA-2018-136609"/>
    <d v="2018-08-06T00:00:00"/>
    <d v="2018-08-11T00:00:00"/>
    <x v="3"/>
    <x v="3"/>
    <n v="8"/>
    <n v="5"/>
    <s v="Standard Class"/>
    <s v="TB-21355"/>
    <x v="774"/>
    <x v="1"/>
    <s v="United States"/>
    <x v="235"/>
    <x v="0"/>
    <n v="75104"/>
    <x v="0"/>
    <s v="OFF-PA-10004381"/>
    <x v="0"/>
    <x v="9"/>
    <s v="14-7/8 x 11 Blue Bar Computer Printout Paper"/>
    <n v="115.29600000000001"/>
  </r>
  <r>
    <n v="5653"/>
    <s v="CA-2018-109099"/>
    <d v="2018-10-06T00:00:00"/>
    <d v="2018-10-11T00:00:00"/>
    <x v="3"/>
    <x v="5"/>
    <n v="10"/>
    <n v="5"/>
    <s v="Standard Class"/>
    <s v="MM-18280"/>
    <x v="775"/>
    <x v="1"/>
    <s v="United States"/>
    <x v="10"/>
    <x v="8"/>
    <n v="10009"/>
    <x v="1"/>
    <s v="OFF-PA-10001033"/>
    <x v="0"/>
    <x v="9"/>
    <s v="Xerox 1893"/>
    <n v="40.99"/>
  </r>
  <r>
    <n v="3675"/>
    <s v="CA-2018-154109"/>
    <d v="2018-11-06T00:00:00"/>
    <d v="2018-11-11T00:00:00"/>
    <x v="3"/>
    <x v="6"/>
    <n v="11"/>
    <n v="5"/>
    <s v="Standard Class"/>
    <s v="ML-17410"/>
    <x v="776"/>
    <x v="0"/>
    <s v="United States"/>
    <x v="41"/>
    <x v="23"/>
    <n v="19143"/>
    <x v="1"/>
    <s v="FUR-CH-10003774"/>
    <x v="1"/>
    <x v="5"/>
    <s v="Global Wood Trimmed Manager's Task Chair, Khaki"/>
    <n v="127.372"/>
  </r>
  <r>
    <n v="1364"/>
    <s v="US-2018-155425"/>
    <d v="2018-11-10T00:00:00"/>
    <d v="2018-11-11T00:00:00"/>
    <x v="3"/>
    <x v="6"/>
    <n v="11"/>
    <n v="1"/>
    <s v="First Class"/>
    <s v="AB-10600"/>
    <x v="777"/>
    <x v="1"/>
    <s v="United States"/>
    <x v="182"/>
    <x v="15"/>
    <n v="85705"/>
    <x v="3"/>
    <s v="OFF-BI-10001036"/>
    <x v="0"/>
    <x v="6"/>
    <s v="Cardinal EasyOpen D-Ring Binders"/>
    <n v="38.387999999999998"/>
  </r>
  <r>
    <n v="4358"/>
    <s v="CA-2018-162565"/>
    <d v="2018-12-11T00:00:00"/>
    <d v="2018-12-11T00:00:00"/>
    <x v="3"/>
    <x v="7"/>
    <n v="12"/>
    <n v="0"/>
    <s v="Same Day"/>
    <s v="RR-19315"/>
    <x v="778"/>
    <x v="0"/>
    <s v="United States"/>
    <x v="70"/>
    <x v="14"/>
    <n v="60505"/>
    <x v="0"/>
    <s v="OFF-PA-10001937"/>
    <x v="0"/>
    <x v="9"/>
    <s v="Xerox 21"/>
    <n v="10.368"/>
  </r>
  <r>
    <n v="3299"/>
    <s v="CA-2018-136308"/>
    <d v="2018-11-16T00:00:00"/>
    <d v="2018-11-16T00:00:00"/>
    <x v="3"/>
    <x v="6"/>
    <n v="11"/>
    <n v="0"/>
    <s v="Same Day"/>
    <s v="MW-18235"/>
    <x v="779"/>
    <x v="1"/>
    <s v="United States"/>
    <x v="9"/>
    <x v="7"/>
    <n v="94122"/>
    <x v="3"/>
    <s v="TEC-MA-10000488"/>
    <x v="2"/>
    <x v="16"/>
    <s v="Bady BDG101FRU Card Printer"/>
    <n v="1919.9760000000001"/>
  </r>
  <r>
    <n v="7769"/>
    <s v="CA-2018-154088"/>
    <d v="2018-11-12T00:00:00"/>
    <d v="2018-11-17T00:00:00"/>
    <x v="3"/>
    <x v="6"/>
    <n v="11"/>
    <n v="5"/>
    <s v="Standard Class"/>
    <s v="LB-16735"/>
    <x v="780"/>
    <x v="0"/>
    <s v="United States"/>
    <x v="170"/>
    <x v="12"/>
    <n v="32303"/>
    <x v="2"/>
    <s v="OFF-PA-10003651"/>
    <x v="0"/>
    <x v="9"/>
    <s v="Xerox 1968"/>
    <n v="26.72"/>
  </r>
  <r>
    <n v="4776"/>
    <s v="CA-2018-108091"/>
    <d v="2018-11-16T00:00:00"/>
    <d v="2018-11-21T00:00:00"/>
    <x v="3"/>
    <x v="6"/>
    <n v="11"/>
    <n v="5"/>
    <s v="Standard Class"/>
    <s v="EK-13795"/>
    <x v="781"/>
    <x v="2"/>
    <s v="United States"/>
    <x v="33"/>
    <x v="7"/>
    <n v="92025"/>
    <x v="3"/>
    <s v="OFF-AR-10000255"/>
    <x v="0"/>
    <x v="0"/>
    <s v="Newell 328"/>
    <n v="23.36"/>
  </r>
  <r>
    <n v="4389"/>
    <s v="CA-2018-111556"/>
    <d v="2018-11-20T00:00:00"/>
    <d v="2018-11-22T00:00:00"/>
    <x v="3"/>
    <x v="6"/>
    <n v="11"/>
    <n v="2"/>
    <s v="First Class"/>
    <s v="CD-11920"/>
    <x v="782"/>
    <x v="0"/>
    <s v="United States"/>
    <x v="10"/>
    <x v="8"/>
    <n v="10035"/>
    <x v="1"/>
    <s v="OFF-PA-10003651"/>
    <x v="0"/>
    <x v="9"/>
    <s v="Xerox 1968"/>
    <n v="46.76"/>
  </r>
  <r>
    <n v="5594"/>
    <s v="US-2018-108014"/>
    <d v="2018-11-19T00:00:00"/>
    <d v="2018-11-25T00:00:00"/>
    <x v="3"/>
    <x v="6"/>
    <n v="11"/>
    <n v="6"/>
    <s v="Standard Class"/>
    <s v="JH-15430"/>
    <x v="783"/>
    <x v="0"/>
    <s v="United States"/>
    <x v="191"/>
    <x v="4"/>
    <n v="44105"/>
    <x v="1"/>
    <s v="OFF-BI-10003984"/>
    <x v="0"/>
    <x v="6"/>
    <s v="Lock-Up Easel 'Spel-Binder'"/>
    <n v="59.912999999999997"/>
  </r>
  <r>
    <n v="5371"/>
    <s v="US-2018-136721"/>
    <d v="2018-04-08T00:00:00"/>
    <d v="2018-04-12T00:00:00"/>
    <x v="3"/>
    <x v="9"/>
    <n v="4"/>
    <n v="4"/>
    <s v="Standard Class"/>
    <s v="NH-18610"/>
    <x v="784"/>
    <x v="1"/>
    <s v="United States"/>
    <x v="236"/>
    <x v="11"/>
    <n v="48237"/>
    <x v="0"/>
    <s v="FUR-FU-10004665"/>
    <x v="1"/>
    <x v="1"/>
    <s v="3M Polarizing Task Lamp with Clamp Arm, Light Gray"/>
    <n v="273.95999999999998"/>
  </r>
  <r>
    <n v="347"/>
    <s v="CA-2018-134306"/>
    <d v="2018-07-08T00:00:00"/>
    <d v="2018-07-12T00:00:00"/>
    <x v="3"/>
    <x v="10"/>
    <n v="7"/>
    <n v="4"/>
    <s v="Standard Class"/>
    <s v="TD-20995"/>
    <x v="785"/>
    <x v="0"/>
    <s v="United States"/>
    <x v="14"/>
    <x v="9"/>
    <n v="1852"/>
    <x v="1"/>
    <s v="OFF-AR-10004027"/>
    <x v="0"/>
    <x v="0"/>
    <s v="Binney &amp; Smith inkTank Erasable Desk Highlighter, Chisel Tip, Yellow, 12/Box"/>
    <n v="7.56"/>
  </r>
  <r>
    <n v="8405"/>
    <s v="CA-2018-140480"/>
    <d v="2018-07-08T00:00:00"/>
    <d v="2018-07-12T00:00:00"/>
    <x v="3"/>
    <x v="10"/>
    <n v="7"/>
    <n v="4"/>
    <s v="Standard Class"/>
    <s v="HE-14800"/>
    <x v="786"/>
    <x v="1"/>
    <s v="United States"/>
    <x v="81"/>
    <x v="1"/>
    <n v="19711"/>
    <x v="1"/>
    <s v="FUR-FU-10003247"/>
    <x v="1"/>
    <x v="1"/>
    <s v="36X48 HARDFLOOR CHAIRMAT"/>
    <n v="83.92"/>
  </r>
  <r>
    <n v="3574"/>
    <s v="CA-2018-117023"/>
    <d v="2018-08-07T00:00:00"/>
    <d v="2018-08-12T00:00:00"/>
    <x v="3"/>
    <x v="3"/>
    <n v="8"/>
    <n v="5"/>
    <s v="Standard Class"/>
    <s v="JW-15955"/>
    <x v="787"/>
    <x v="0"/>
    <s v="United States"/>
    <x v="38"/>
    <x v="8"/>
    <n v="11561"/>
    <x v="1"/>
    <s v="OFF-AR-10003602"/>
    <x v="0"/>
    <x v="0"/>
    <s v="Quartet Omega Colored Chalk, 12/Pack"/>
    <n v="11.68"/>
  </r>
  <r>
    <n v="4182"/>
    <s v="US-2018-136868"/>
    <d v="2018-10-06T00:00:00"/>
    <d v="2018-10-12T00:00:00"/>
    <x v="3"/>
    <x v="5"/>
    <n v="10"/>
    <n v="6"/>
    <s v="Standard Class"/>
    <s v="CR-12820"/>
    <x v="788"/>
    <x v="2"/>
    <s v="United States"/>
    <x v="10"/>
    <x v="8"/>
    <n v="10035"/>
    <x v="1"/>
    <s v="TEC-AC-10001539"/>
    <x v="2"/>
    <x v="3"/>
    <s v="Logitech G430 Surround Sound Gaming Headset with Dolby 7.1 Technology"/>
    <n v="319.95999999999998"/>
  </r>
  <r>
    <n v="96"/>
    <s v="US-2018-109484"/>
    <d v="2018-11-06T00:00:00"/>
    <d v="2018-11-12T00:00:00"/>
    <x v="3"/>
    <x v="6"/>
    <n v="11"/>
    <n v="6"/>
    <s v="Standard Class"/>
    <s v="RB-19705"/>
    <x v="789"/>
    <x v="2"/>
    <s v="United States"/>
    <x v="37"/>
    <x v="21"/>
    <n v="97206"/>
    <x v="3"/>
    <s v="OFF-BI-10004738"/>
    <x v="0"/>
    <x v="6"/>
    <s v="Flexible Leather- Look Classic Collection Ring Binder"/>
    <n v="5.6820000000000004"/>
  </r>
  <r>
    <n v="9482"/>
    <s v="CA-2018-150504"/>
    <d v="2018-11-06T00:00:00"/>
    <d v="2018-11-12T00:00:00"/>
    <x v="3"/>
    <x v="6"/>
    <n v="11"/>
    <n v="6"/>
    <s v="Standard Class"/>
    <s v="HG-14845"/>
    <x v="790"/>
    <x v="0"/>
    <s v="United States"/>
    <x v="74"/>
    <x v="0"/>
    <n v="75220"/>
    <x v="0"/>
    <s v="OFF-ST-10000615"/>
    <x v="0"/>
    <x v="11"/>
    <s v="SimpliFile Personal File, Black Granite, 15w x 6-15/16d x 11-1/4h"/>
    <n v="18.16"/>
  </r>
  <r>
    <n v="1866"/>
    <s v="US-2018-116659"/>
    <d v="2018-11-12T00:00:00"/>
    <d v="2018-11-12T00:00:00"/>
    <x v="3"/>
    <x v="6"/>
    <n v="11"/>
    <n v="0"/>
    <s v="Same Day"/>
    <s v="NG-18355"/>
    <x v="791"/>
    <x v="1"/>
    <s v="United States"/>
    <x v="81"/>
    <x v="4"/>
    <n v="43055"/>
    <x v="1"/>
    <s v="TEC-PH-10002824"/>
    <x v="2"/>
    <x v="8"/>
    <s v="Jabra SPEAK 410 Multidevice Speakerphone"/>
    <n v="370.78199999999998"/>
  </r>
  <r>
    <n v="2728"/>
    <s v="CA-2018-119193"/>
    <d v="2018-12-22T00:00:00"/>
    <d v="2018-12-24T00:00:00"/>
    <x v="3"/>
    <x v="7"/>
    <n v="12"/>
    <n v="2"/>
    <s v="First Class"/>
    <s v="SK-19990"/>
    <x v="792"/>
    <x v="0"/>
    <s v="United States"/>
    <x v="130"/>
    <x v="4"/>
    <n v="43615"/>
    <x v="1"/>
    <s v="OFF-BI-10000848"/>
    <x v="0"/>
    <x v="6"/>
    <s v="Angle-D Ring Binders"/>
    <n v="1.6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551186-E6CB-4546-8C02-2BB2AC06FD81}"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D30:D31" firstHeaderRow="1" firstDataRow="1" firstDataCol="0"/>
  <pivotFields count="22">
    <pivotField showAll="0"/>
    <pivotField showAll="0"/>
    <pivotField numFmtId="14" showAll="0"/>
    <pivotField numFmtId="14" showAll="0"/>
    <pivotField showAll="0"/>
    <pivotField showAll="0">
      <items count="13">
        <item h="1" x="0"/>
        <item x="2"/>
        <item x="8"/>
        <item x="9"/>
        <item x="1"/>
        <item x="11"/>
        <item x="10"/>
        <item x="3"/>
        <item x="4"/>
        <item x="5"/>
        <item x="6"/>
        <item x="7"/>
        <item t="default"/>
      </items>
    </pivotField>
    <pivotField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0"/>
        <item h="1" x="1"/>
        <item h="1" x="2"/>
        <item h="1" x="3"/>
        <item t="default"/>
      </items>
    </pivotField>
    <pivotField showAll="0"/>
    <pivotField showAll="0">
      <items count="4">
        <item h="1" x="1"/>
        <item h="1" x="0"/>
        <item x="2"/>
        <item t="default"/>
      </items>
    </pivotField>
    <pivotField showAll="0"/>
    <pivotField showAll="0"/>
    <pivotField dataField="1" numFmtId="164" showAll="0"/>
  </pivotFields>
  <rowItems count="1">
    <i/>
  </rowItems>
  <colItems count="1">
    <i/>
  </colItems>
  <dataFields count="1">
    <dataField name="Min. of Sales" fld="21" subtotal="min" baseField="0" baseItem="0" numFmtId="164"/>
  </dataFields>
  <formats count="2">
    <format dxfId="27">
      <pivotArea dataOnly="0" labelOnly="1" outline="0" axis="axisValues"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6"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8">
  <location ref="J3:K5" firstHeaderRow="1" firstDataRow="1" firstDataCol="1"/>
  <pivotFields count="22">
    <pivotField showAll="0"/>
    <pivotField showAll="0"/>
    <pivotField numFmtId="14" showAll="0"/>
    <pivotField numFmtId="14" showAll="0"/>
    <pivotField showAll="0"/>
    <pivotField showAll="0">
      <items count="13">
        <item h="1" x="0"/>
        <item x="2"/>
        <item x="8"/>
        <item x="9"/>
        <item x="1"/>
        <item x="11"/>
        <item x="10"/>
        <item x="3"/>
        <item x="4"/>
        <item x="5"/>
        <item x="6"/>
        <item x="7"/>
        <item t="default"/>
      </items>
    </pivotField>
    <pivotField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0"/>
        <item h="1" x="1"/>
        <item h="1" x="2"/>
        <item h="1" x="3"/>
        <item t="default"/>
      </items>
    </pivotField>
    <pivotField showAll="0"/>
    <pivotField axis="axisRow" showAll="0">
      <items count="4">
        <item h="1" x="1"/>
        <item h="1" x="0"/>
        <item x="2"/>
        <item t="default"/>
      </items>
    </pivotField>
    <pivotField showAll="0"/>
    <pivotField showAll="0"/>
    <pivotField dataField="1" numFmtId="164" showAll="0"/>
  </pivotFields>
  <rowFields count="1">
    <field x="18"/>
  </rowFields>
  <rowItems count="2">
    <i>
      <x v="2"/>
    </i>
    <i t="grand">
      <x/>
    </i>
  </rowItems>
  <colItems count="1">
    <i/>
  </colItems>
  <dataFields count="1">
    <dataField name="Sum of Sales" fld="21" baseField="0" baseItem="0" numFmtId="165"/>
  </dataFields>
  <formats count="3">
    <format dxfId="30">
      <pivotArea collapsedLevelsAreSubtotals="1" fieldPosition="0">
        <references count="1">
          <reference field="18" count="0"/>
        </references>
      </pivotArea>
    </format>
    <format dxfId="29">
      <pivotArea dataOnly="0" labelOnly="1" outline="0" axis="axisValues" fieldPosition="0"/>
    </format>
    <format dxfId="28">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8" count="1" selected="0">
            <x v="2"/>
          </reference>
        </references>
      </pivotArea>
    </chartFormat>
    <chartFormat chart="1" format="2">
      <pivotArea type="data" outline="0" fieldPosition="0">
        <references count="2">
          <reference field="4294967294" count="1" selected="0">
            <x v="0"/>
          </reference>
          <reference field="18" count="1" selected="0">
            <x v="1"/>
          </reference>
        </references>
      </pivotArea>
    </chartFormat>
    <chartFormat chart="1" format="3">
      <pivotArea type="data" outline="0" fieldPosition="0">
        <references count="2">
          <reference field="4294967294" count="1" selected="0">
            <x v="0"/>
          </reference>
          <reference field="18"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8" count="1" selected="0">
            <x v="0"/>
          </reference>
        </references>
      </pivotArea>
    </chartFormat>
    <chartFormat chart="4" format="10">
      <pivotArea type="data" outline="0" fieldPosition="0">
        <references count="2">
          <reference field="4294967294" count="1" selected="0">
            <x v="0"/>
          </reference>
          <reference field="18" count="1" selected="0">
            <x v="1"/>
          </reference>
        </references>
      </pivotArea>
    </chartFormat>
    <chartFormat chart="4"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votTable7"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3">
  <location ref="L3:M8" firstHeaderRow="1" firstDataRow="1" firstDataCol="1"/>
  <pivotFields count="22">
    <pivotField showAll="0"/>
    <pivotField showAll="0"/>
    <pivotField numFmtId="14" showAll="0"/>
    <pivotField numFmtId="14" showAll="0"/>
    <pivotField showAll="0"/>
    <pivotField showAll="0">
      <items count="13">
        <item h="1" x="0"/>
        <item x="2"/>
        <item x="8"/>
        <item x="9"/>
        <item x="1"/>
        <item x="11"/>
        <item x="10"/>
        <item x="3"/>
        <item x="4"/>
        <item x="5"/>
        <item x="6"/>
        <item x="7"/>
        <item t="default"/>
      </items>
    </pivotField>
    <pivotField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0"/>
        <item h="1" x="1"/>
        <item h="1" x="2"/>
        <item h="1" x="3"/>
        <item t="default"/>
      </items>
    </pivotField>
    <pivotField showAll="0"/>
    <pivotField axis="axisRow" showAll="0">
      <items count="4">
        <item h="1" x="1"/>
        <item h="1" x="0"/>
        <item x="2"/>
        <item t="default"/>
      </items>
    </pivotField>
    <pivotField axis="axisRow" showAll="0">
      <items count="18">
        <item x="3"/>
        <item x="4"/>
        <item x="0"/>
        <item x="6"/>
        <item x="13"/>
        <item x="5"/>
        <item x="7"/>
        <item x="14"/>
        <item x="10"/>
        <item x="1"/>
        <item x="2"/>
        <item x="16"/>
        <item x="9"/>
        <item x="8"/>
        <item x="11"/>
        <item x="15"/>
        <item x="12"/>
        <item t="default"/>
      </items>
    </pivotField>
    <pivotField showAll="0"/>
    <pivotField dataField="1" numFmtId="164" showAll="0"/>
  </pivotFields>
  <rowFields count="2">
    <field x="18"/>
    <field x="19"/>
  </rowFields>
  <rowItems count="5">
    <i>
      <x v="2"/>
    </i>
    <i r="1">
      <x/>
    </i>
    <i r="1">
      <x v="11"/>
    </i>
    <i r="1">
      <x v="13"/>
    </i>
    <i t="grand">
      <x/>
    </i>
  </rowItems>
  <colItems count="1">
    <i/>
  </colItems>
  <dataFields count="1">
    <dataField name="Sum of Sales" fld="21" baseField="0" baseItem="0"/>
  </dataFields>
  <formats count="2">
    <format dxfId="32">
      <pivotArea dataOnly="0" labelOnly="1" outline="0" axis="axisValues" fieldPosition="0"/>
    </format>
    <format dxfId="3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16"/>
          </reference>
        </references>
      </pivotArea>
    </chartFormat>
    <chartFormat chart="0" format="2">
      <pivotArea type="data" outline="0" fieldPosition="0">
        <references count="3">
          <reference field="4294967294" count="1" selected="0">
            <x v="0"/>
          </reference>
          <reference field="18" count="1" selected="0">
            <x v="2"/>
          </reference>
          <reference field="19" count="1" selected="0">
            <x v="13"/>
          </reference>
        </references>
      </pivotArea>
    </chartFormat>
    <chartFormat chart="0" format="3">
      <pivotArea type="data" outline="0" fieldPosition="0">
        <references count="3">
          <reference field="4294967294" count="1" selected="0">
            <x v="0"/>
          </reference>
          <reference field="18" count="1" selected="0">
            <x v="0"/>
          </reference>
          <reference field="19" count="1" selected="0">
            <x v="16"/>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3">
          <reference field="4294967294" count="1" selected="0">
            <x v="0"/>
          </reference>
          <reference field="18" count="1" selected="0">
            <x v="2"/>
          </reference>
          <reference field="19" count="1" selected="0">
            <x v="13"/>
          </reference>
        </references>
      </pivotArea>
    </chartFormat>
    <chartFormat chart="3" format="7">
      <pivotArea type="data" outline="0" fieldPosition="0">
        <references count="3">
          <reference field="4294967294" count="1" selected="0">
            <x v="0"/>
          </reference>
          <reference field="18" count="1" selected="0">
            <x v="2"/>
          </reference>
          <reference field="19" count="1" selected="0">
            <x v="6"/>
          </reference>
        </references>
      </pivotArea>
    </chartFormat>
    <chartFormat chart="3" format="8">
      <pivotArea type="data" outline="0" fieldPosition="0">
        <references count="3">
          <reference field="4294967294" count="1" selected="0">
            <x v="0"/>
          </reference>
          <reference field="18" count="1" selected="0">
            <x v="2"/>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3:A4" firstHeaderRow="1" firstDataRow="1" firstDataCol="0"/>
  <pivotFields count="22">
    <pivotField showAll="0"/>
    <pivotField showAll="0"/>
    <pivotField numFmtId="14" showAll="0"/>
    <pivotField numFmtId="14" showAll="0"/>
    <pivotField showAll="0">
      <items count="5">
        <item x="0"/>
        <item x="1"/>
        <item x="2"/>
        <item x="3"/>
        <item t="default"/>
      </items>
    </pivotField>
    <pivotField showAll="0">
      <items count="13">
        <item h="1" x="0"/>
        <item x="2"/>
        <item x="8"/>
        <item x="9"/>
        <item x="1"/>
        <item x="11"/>
        <item x="10"/>
        <item x="3"/>
        <item x="4"/>
        <item x="5"/>
        <item x="6"/>
        <item x="7"/>
        <item t="default"/>
      </items>
    </pivotField>
    <pivotField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0"/>
        <item h="1" x="1"/>
        <item h="1" x="2"/>
        <item h="1" x="3"/>
        <item t="default"/>
      </items>
    </pivotField>
    <pivotField showAll="0"/>
    <pivotField showAll="0">
      <items count="4">
        <item h="1" x="1"/>
        <item h="1" x="0"/>
        <item x="2"/>
        <item t="default"/>
      </items>
    </pivotField>
    <pivotField showAll="0"/>
    <pivotField showAll="0"/>
    <pivotField dataField="1" numFmtId="164" showAll="0"/>
  </pivotFields>
  <rowItems count="1">
    <i/>
  </rowItems>
  <colItems count="1">
    <i/>
  </colItems>
  <dataFields count="1">
    <dataField name="Sum of Sales" fld="21" baseField="0" baseItem="0" numFmtId="165"/>
  </dataFields>
  <formats count="2">
    <format dxfId="34">
      <pivotArea dataOnly="0" labelOnly="1" outline="0" axis="axisValues"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G3:G4" firstHeaderRow="1" firstDataRow="1" firstDataCol="0"/>
  <pivotFields count="22">
    <pivotField showAll="0"/>
    <pivotField showAll="0"/>
    <pivotField numFmtId="14" showAll="0"/>
    <pivotField numFmtId="14" showAll="0"/>
    <pivotField showAll="0"/>
    <pivotField showAll="0">
      <items count="13">
        <item h="1" x="0"/>
        <item x="2"/>
        <item x="8"/>
        <item x="9"/>
        <item x="1"/>
        <item x="11"/>
        <item x="10"/>
        <item x="3"/>
        <item x="4"/>
        <item x="5"/>
        <item x="6"/>
        <item x="7"/>
        <item t="default"/>
      </items>
    </pivotField>
    <pivotField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0"/>
        <item h="1" x="1"/>
        <item h="1" x="2"/>
        <item h="1" x="3"/>
        <item t="default"/>
      </items>
    </pivotField>
    <pivotField showAll="0"/>
    <pivotField showAll="0">
      <items count="4">
        <item h="1" x="1"/>
        <item h="1" x="0"/>
        <item x="2"/>
        <item t="default"/>
      </items>
    </pivotField>
    <pivotField showAll="0"/>
    <pivotField showAll="0"/>
    <pivotField dataField="1" numFmtId="164" showAll="0"/>
  </pivotFields>
  <rowItems count="1">
    <i/>
  </rowItems>
  <colItems count="1">
    <i/>
  </colItems>
  <dataFields count="1">
    <dataField name="Max of Sales" fld="21" subtotal="max" baseField="0" baseItem="5238168"/>
  </dataFields>
  <formats count="2">
    <format dxfId="36">
      <pivotArea dataOnly="0" labelOnly="1" outline="0" axis="axisValues" fieldPosition="0"/>
    </format>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4DA28-4CF2-4113-98C2-B2D4E317D8EB}" name="PivotTable1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22">
  <location ref="T5:U7" firstHeaderRow="1" firstDataRow="1" firstDataCol="1"/>
  <pivotFields count="22">
    <pivotField showAll="0"/>
    <pivotField showAll="0"/>
    <pivotField numFmtId="14" showAll="0"/>
    <pivotField numFmtId="14" showAll="0"/>
    <pivotField showAll="0"/>
    <pivotField showAll="0">
      <items count="13">
        <item h="1" x="0"/>
        <item x="2"/>
        <item x="8"/>
        <item x="9"/>
        <item x="1"/>
        <item x="11"/>
        <item x="10"/>
        <item x="3"/>
        <item x="4"/>
        <item x="5"/>
        <item x="6"/>
        <item x="7"/>
        <item t="default"/>
      </items>
    </pivotField>
    <pivotField showAll="0"/>
    <pivotField showAll="0"/>
    <pivotField showAll="0"/>
    <pivotField showAll="0"/>
    <pivotField showAll="0"/>
    <pivotField axis="axisRow" showAll="0">
      <items count="4">
        <item h="1" x="0"/>
        <item x="1"/>
        <item h="1" x="2"/>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items count="5">
        <item x="0"/>
        <item h="1" x="1"/>
        <item h="1" x="2"/>
        <item h="1" x="3"/>
        <item t="default"/>
      </items>
    </pivotField>
    <pivotField showAll="0"/>
    <pivotField showAll="0">
      <items count="4">
        <item h="1" x="1"/>
        <item h="1" x="0"/>
        <item x="2"/>
        <item t="default"/>
      </items>
    </pivotField>
    <pivotField showAll="0"/>
    <pivotField showAll="0"/>
    <pivotField dataField="1" numFmtId="164" showAll="0"/>
  </pivotFields>
  <rowFields count="1">
    <field x="11"/>
  </rowFields>
  <rowItems count="2">
    <i>
      <x v="1"/>
    </i>
    <i t="grand">
      <x/>
    </i>
  </rowItems>
  <colItems count="1">
    <i/>
  </colItems>
  <dataFields count="1">
    <dataField name="Sum of Sales" fld="21" baseField="0" baseItem="0"/>
  </dataFields>
  <formats count="2">
    <format dxfId="38">
      <pivotArea dataOnly="0" labelOnly="1" outline="0" axis="axisValues" fieldPosition="0"/>
    </format>
    <format dxfId="37">
      <pivotArea outline="0" collapsedLevelsAreSubtotals="1" fieldPosition="0"/>
    </format>
  </formats>
  <chartFormats count="11">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1" count="1" selected="0">
            <x v="0"/>
          </reference>
        </references>
      </pivotArea>
    </chartFormat>
    <chartFormat chart="11" format="2">
      <pivotArea type="data" outline="0" fieldPosition="0">
        <references count="2">
          <reference field="4294967294" count="1" selected="0">
            <x v="0"/>
          </reference>
          <reference field="11" count="1" selected="0">
            <x v="1"/>
          </reference>
        </references>
      </pivotArea>
    </chartFormat>
    <chartFormat chart="11" format="3">
      <pivotArea type="data" outline="0" fieldPosition="0">
        <references count="2">
          <reference field="4294967294" count="1" selected="0">
            <x v="0"/>
          </reference>
          <reference field="11"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11" count="1" selected="0">
            <x v="0"/>
          </reference>
        </references>
      </pivotArea>
    </chartFormat>
    <chartFormat chart="18" format="10">
      <pivotArea type="data" outline="0" fieldPosition="0">
        <references count="2">
          <reference field="4294967294" count="1" selected="0">
            <x v="0"/>
          </reference>
          <reference field="11" count="1" selected="0">
            <x v="1"/>
          </reference>
        </references>
      </pivotArea>
    </chartFormat>
    <chartFormat chart="18"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0"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2">
  <location ref="W5:X10" firstHeaderRow="1" firstDataRow="1" firstDataCol="1"/>
  <pivotFields count="22">
    <pivotField showAll="0"/>
    <pivotField showAll="0"/>
    <pivotField numFmtId="14" showAll="0"/>
    <pivotField numFmtId="14" showAll="0"/>
    <pivotField showAll="0"/>
    <pivotField showAll="0">
      <items count="13">
        <item h="1" x="0"/>
        <item x="2"/>
        <item x="8"/>
        <item x="9"/>
        <item x="1"/>
        <item x="11"/>
        <item x="10"/>
        <item x="3"/>
        <item x="4"/>
        <item x="5"/>
        <item x="6"/>
        <item x="7"/>
        <item t="default"/>
      </items>
    </pivotField>
    <pivotField showAll="0"/>
    <pivotField showAll="0"/>
    <pivotField showAll="0"/>
    <pivotField showAll="0"/>
    <pivotField showAll="0"/>
    <pivotField showAll="0">
      <items count="4">
        <item h="1" x="0"/>
        <item x="1"/>
        <item h="1" x="2"/>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axis="axisRow" showAll="0" measureFilter="1" sortType="descending">
      <items count="44">
        <item x="36"/>
        <item x="15"/>
        <item x="27"/>
        <item x="7"/>
        <item x="19"/>
        <item x="13"/>
        <item x="1"/>
        <item x="41"/>
        <item x="12"/>
        <item x="3"/>
        <item x="16"/>
        <item x="14"/>
        <item x="40"/>
        <item x="35"/>
        <item x="10"/>
        <item x="30"/>
        <item x="32"/>
        <item x="29"/>
        <item x="9"/>
        <item x="11"/>
        <item x="26"/>
        <item x="31"/>
        <item x="5"/>
        <item x="17"/>
        <item x="28"/>
        <item x="20"/>
        <item x="42"/>
        <item x="22"/>
        <item x="37"/>
        <item x="8"/>
        <item x="18"/>
        <item x="4"/>
        <item x="34"/>
        <item x="21"/>
        <item x="23"/>
        <item x="39"/>
        <item x="38"/>
        <item x="33"/>
        <item x="0"/>
        <item x="25"/>
        <item x="2"/>
        <item x="24"/>
        <item x="6"/>
        <item t="default"/>
      </items>
      <autoSortScope>
        <pivotArea dataOnly="0" outline="0" fieldPosition="0">
          <references count="1">
            <reference field="4294967294" count="1" selected="0">
              <x v="0"/>
            </reference>
          </references>
        </pivotArea>
      </autoSortScope>
    </pivotField>
    <pivotField showAll="0"/>
    <pivotField showAll="0">
      <items count="5">
        <item x="0"/>
        <item h="1" x="1"/>
        <item h="1" x="2"/>
        <item h="1" x="3"/>
        <item t="default"/>
      </items>
    </pivotField>
    <pivotField showAll="0"/>
    <pivotField showAll="0">
      <items count="4">
        <item h="1" x="1"/>
        <item h="1" x="0"/>
        <item x="2"/>
        <item t="default"/>
      </items>
    </pivotField>
    <pivotField showAll="0"/>
    <pivotField showAll="0"/>
    <pivotField dataField="1" numFmtId="164" showAll="0"/>
  </pivotFields>
  <rowFields count="1">
    <field x="14"/>
  </rowFields>
  <rowItems count="5">
    <i>
      <x v="38"/>
    </i>
    <i>
      <x v="42"/>
    </i>
    <i>
      <x v="24"/>
    </i>
    <i>
      <x v="32"/>
    </i>
    <i t="grand">
      <x/>
    </i>
  </rowItems>
  <colItems count="1">
    <i/>
  </colItems>
  <dataFields count="1">
    <dataField name="Sum of Sales" fld="21" baseField="0" baseItem="0"/>
  </dataFields>
  <formats count="2">
    <format dxfId="40">
      <pivotArea dataOnly="0" labelOnly="1" outline="0" axis="axisValues" fieldPosition="0"/>
    </format>
    <format dxfId="39">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E3:E4" firstHeaderRow="1" firstDataRow="1" firstDataCol="0"/>
  <pivotFields count="22">
    <pivotField showAll="0"/>
    <pivotField dataField="1" showAll="0"/>
    <pivotField numFmtId="14" showAll="0"/>
    <pivotField numFmtId="14" showAll="0"/>
    <pivotField showAll="0"/>
    <pivotField showAll="0">
      <items count="13">
        <item h="1" x="0"/>
        <item x="2"/>
        <item x="8"/>
        <item x="9"/>
        <item x="1"/>
        <item x="11"/>
        <item x="10"/>
        <item x="3"/>
        <item x="4"/>
        <item x="5"/>
        <item x="6"/>
        <item x="7"/>
        <item t="default"/>
      </items>
    </pivotField>
    <pivotField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0"/>
        <item h="1" x="1"/>
        <item h="1" x="2"/>
        <item h="1" x="3"/>
        <item t="default"/>
      </items>
    </pivotField>
    <pivotField showAll="0"/>
    <pivotField showAll="0">
      <items count="4">
        <item h="1" x="1"/>
        <item h="1" x="0"/>
        <item x="2"/>
        <item t="default"/>
      </items>
    </pivotField>
    <pivotField showAll="0"/>
    <pivotField showAll="0"/>
    <pivotField numFmtId="164" showAll="0"/>
  </pivotFields>
  <rowItems count="1">
    <i/>
  </rowItems>
  <colItems count="1">
    <i/>
  </colItems>
  <dataFields count="1">
    <dataField name="Total Order" fld="1" subtotal="count" baseField="0" baseItem="2" numFmtId="4"/>
  </dataFields>
  <formats count="2">
    <format dxfId="42">
      <pivotArea dataOnly="0" labelOnly="1" outline="0" axis="axisValues" fieldPosition="0"/>
    </format>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9"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9">
  <location ref="R4:S15" firstHeaderRow="1" firstDataRow="1" firstDataCol="1"/>
  <pivotFields count="22">
    <pivotField showAll="0"/>
    <pivotField showAll="0"/>
    <pivotField numFmtId="14" showAll="0"/>
    <pivotField numFmtId="14" showAll="0"/>
    <pivotField showAll="0"/>
    <pivotField showAll="0">
      <items count="13">
        <item h="1" x="0"/>
        <item x="2"/>
        <item x="8"/>
        <item x="9"/>
        <item x="1"/>
        <item x="11"/>
        <item x="10"/>
        <item x="3"/>
        <item x="4"/>
        <item x="5"/>
        <item x="6"/>
        <item x="7"/>
        <item t="default"/>
      </items>
    </pivotField>
    <pivotField showAll="0"/>
    <pivotField showAll="0"/>
    <pivotField showAll="0"/>
    <pivotField showAll="0"/>
    <pivotField axis="axisRow" showAll="0" measureFilter="1" sortType="descending">
      <items count="794">
        <item x="149"/>
        <item x="70"/>
        <item x="728"/>
        <item x="541"/>
        <item x="697"/>
        <item x="496"/>
        <item x="512"/>
        <item x="701"/>
        <item x="660"/>
        <item x="148"/>
        <item x="359"/>
        <item x="413"/>
        <item x="386"/>
        <item x="451"/>
        <item x="433"/>
        <item x="258"/>
        <item x="423"/>
        <item x="65"/>
        <item x="610"/>
        <item x="595"/>
        <item x="396"/>
        <item x="561"/>
        <item x="454"/>
        <item x="166"/>
        <item x="349"/>
        <item x="11"/>
        <item x="164"/>
        <item x="139"/>
        <item x="420"/>
        <item x="494"/>
        <item x="409"/>
        <item x="23"/>
        <item x="428"/>
        <item x="4"/>
        <item x="117"/>
        <item x="346"/>
        <item x="295"/>
        <item x="599"/>
        <item x="709"/>
        <item x="777"/>
        <item x="712"/>
        <item x="85"/>
        <item x="17"/>
        <item x="261"/>
        <item x="507"/>
        <item x="151"/>
        <item x="741"/>
        <item x="146"/>
        <item x="172"/>
        <item x="362"/>
        <item x="377"/>
        <item x="2"/>
        <item x="587"/>
        <item x="616"/>
        <item x="334"/>
        <item x="743"/>
        <item x="61"/>
        <item x="490"/>
        <item x="59"/>
        <item x="441"/>
        <item x="287"/>
        <item x="637"/>
        <item x="103"/>
        <item x="225"/>
        <item x="44"/>
        <item x="398"/>
        <item x="621"/>
        <item x="552"/>
        <item x="57"/>
        <item x="260"/>
        <item x="427"/>
        <item x="751"/>
        <item x="236"/>
        <item x="641"/>
        <item x="301"/>
        <item x="306"/>
        <item x="434"/>
        <item x="137"/>
        <item x="603"/>
        <item x="186"/>
        <item x="280"/>
        <item x="674"/>
        <item x="383"/>
        <item x="160"/>
        <item x="747"/>
        <item x="163"/>
        <item x="374"/>
        <item x="425"/>
        <item x="729"/>
        <item x="602"/>
        <item x="109"/>
        <item x="402"/>
        <item x="740"/>
        <item x="618"/>
        <item x="455"/>
        <item x="195"/>
        <item x="351"/>
        <item x="222"/>
        <item x="646"/>
        <item x="8"/>
        <item x="702"/>
        <item x="71"/>
        <item x="435"/>
        <item x="689"/>
        <item x="586"/>
        <item x="249"/>
        <item x="379"/>
        <item x="536"/>
        <item x="240"/>
        <item x="133"/>
        <item x="505"/>
        <item x="473"/>
        <item x="69"/>
        <item x="98"/>
        <item x="438"/>
        <item x="609"/>
        <item x="45"/>
        <item x="590"/>
        <item x="162"/>
        <item x="773"/>
        <item x="686"/>
        <item x="388"/>
        <item x="22"/>
        <item x="677"/>
        <item x="564"/>
        <item x="95"/>
        <item x="782"/>
        <item x="534"/>
        <item x="97"/>
        <item x="480"/>
        <item x="765"/>
        <item x="298"/>
        <item x="612"/>
        <item x="737"/>
        <item x="412"/>
        <item x="485"/>
        <item x="643"/>
        <item x="174"/>
        <item x="597"/>
        <item x="716"/>
        <item x="197"/>
        <item x="486"/>
        <item x="750"/>
        <item x="185"/>
        <item x="447"/>
        <item x="21"/>
        <item x="86"/>
        <item x="550"/>
        <item x="228"/>
        <item x="588"/>
        <item x="763"/>
        <item x="116"/>
        <item x="601"/>
        <item x="111"/>
        <item x="487"/>
        <item x="419"/>
        <item x="623"/>
        <item x="721"/>
        <item x="395"/>
        <item x="422"/>
        <item x="452"/>
        <item x="100"/>
        <item x="727"/>
        <item x="535"/>
        <item x="325"/>
        <item x="361"/>
        <item x="653"/>
        <item x="338"/>
        <item x="706"/>
        <item x="25"/>
        <item x="705"/>
        <item x="407"/>
        <item x="442"/>
        <item x="79"/>
        <item x="369"/>
        <item x="399"/>
        <item x="456"/>
        <item x="323"/>
        <item x="696"/>
        <item x="293"/>
        <item x="582"/>
        <item x="312"/>
        <item x="292"/>
        <item x="519"/>
        <item x="72"/>
        <item x="553"/>
        <item x="788"/>
        <item x="478"/>
        <item x="43"/>
        <item x="606"/>
        <item x="598"/>
        <item x="506"/>
        <item x="558"/>
        <item x="54"/>
        <item x="417"/>
        <item x="315"/>
        <item x="285"/>
        <item x="370"/>
        <item x="101"/>
        <item x="415"/>
        <item x="131"/>
        <item x="581"/>
        <item x="74"/>
        <item x="331"/>
        <item x="365"/>
        <item x="671"/>
        <item x="350"/>
        <item x="165"/>
        <item x="205"/>
        <item x="27"/>
        <item x="394"/>
        <item x="300"/>
        <item x="626"/>
        <item x="401"/>
        <item x="259"/>
        <item x="246"/>
        <item x="143"/>
        <item x="655"/>
        <item x="55"/>
        <item x="227"/>
        <item x="746"/>
        <item x="56"/>
        <item x="695"/>
        <item x="208"/>
        <item x="268"/>
        <item x="468"/>
        <item x="317"/>
        <item x="12"/>
        <item x="218"/>
        <item x="499"/>
        <item x="78"/>
        <item x="627"/>
        <item x="704"/>
        <item x="157"/>
        <item x="569"/>
        <item x="257"/>
        <item x="708"/>
        <item x="649"/>
        <item x="83"/>
        <item x="342"/>
        <item x="526"/>
        <item x="493"/>
        <item x="495"/>
        <item x="187"/>
        <item x="253"/>
        <item x="302"/>
        <item x="739"/>
        <item x="768"/>
        <item x="463"/>
        <item x="453"/>
        <item x="551"/>
        <item x="781"/>
        <item x="436"/>
        <item x="203"/>
        <item x="613"/>
        <item x="577"/>
        <item x="155"/>
        <item x="183"/>
        <item x="355"/>
        <item x="158"/>
        <item x="188"/>
        <item x="84"/>
        <item x="352"/>
        <item x="617"/>
        <item x="3"/>
        <item x="177"/>
        <item x="578"/>
        <item x="206"/>
        <item x="673"/>
        <item x="726"/>
        <item x="51"/>
        <item x="440"/>
        <item x="503"/>
        <item x="348"/>
        <item x="460"/>
        <item x="104"/>
        <item x="335"/>
        <item x="620"/>
        <item x="530"/>
        <item x="18"/>
        <item x="341"/>
        <item x="520"/>
        <item x="731"/>
        <item x="230"/>
        <item x="432"/>
        <item x="267"/>
        <item x="251"/>
        <item x="244"/>
        <item x="683"/>
        <item x="356"/>
        <item x="476"/>
        <item x="593"/>
        <item x="46"/>
        <item x="488"/>
        <item x="631"/>
        <item x="33"/>
        <item x="303"/>
        <item x="474"/>
        <item x="181"/>
        <item x="710"/>
        <item x="444"/>
        <item x="718"/>
        <item x="289"/>
        <item x="381"/>
        <item x="110"/>
        <item x="102"/>
        <item x="756"/>
        <item x="265"/>
        <item x="461"/>
        <item x="504"/>
        <item x="62"/>
        <item x="192"/>
        <item x="670"/>
        <item x="6"/>
        <item x="229"/>
        <item x="571"/>
        <item x="36"/>
        <item x="63"/>
        <item x="786"/>
        <item x="233"/>
        <item x="337"/>
        <item x="790"/>
        <item x="449"/>
        <item x="347"/>
        <item x="99"/>
        <item x="498"/>
        <item x="254"/>
        <item x="714"/>
        <item x="548"/>
        <item x="516"/>
        <item x="332"/>
        <item x="549"/>
        <item x="769"/>
        <item x="532"/>
        <item x="64"/>
        <item x="659"/>
        <item x="439"/>
        <item x="345"/>
        <item x="9"/>
        <item x="167"/>
        <item x="24"/>
        <item x="169"/>
        <item x="363"/>
        <item x="458"/>
        <item x="594"/>
        <item x="574"/>
        <item x="715"/>
        <item x="647"/>
        <item x="698"/>
        <item x="672"/>
        <item x="373"/>
        <item x="557"/>
        <item x="568"/>
        <item x="688"/>
        <item x="625"/>
        <item x="531"/>
        <item x="30"/>
        <item x="736"/>
        <item x="390"/>
        <item x="366"/>
        <item x="783"/>
        <item x="459"/>
        <item x="421"/>
        <item x="336"/>
        <item x="354"/>
        <item x="555"/>
        <item x="278"/>
        <item x="758"/>
        <item x="497"/>
        <item x="256"/>
        <item x="666"/>
        <item x="147"/>
        <item x="509"/>
        <item x="252"/>
        <item x="527"/>
        <item x="31"/>
        <item x="567"/>
        <item x="584"/>
        <item x="771"/>
        <item x="573"/>
        <item x="15"/>
        <item x="563"/>
        <item x="443"/>
        <item x="723"/>
        <item x="431"/>
        <item x="106"/>
        <item x="393"/>
        <item x="269"/>
        <item x="389"/>
        <item x="544"/>
        <item x="297"/>
        <item x="523"/>
        <item x="380"/>
        <item x="130"/>
        <item x="40"/>
        <item x="787"/>
        <item x="284"/>
        <item x="179"/>
        <item x="533"/>
        <item x="200"/>
        <item x="693"/>
        <item x="411"/>
        <item x="699"/>
        <item x="521"/>
        <item x="745"/>
        <item x="418"/>
        <item x="90"/>
        <item x="414"/>
        <item x="634"/>
        <item x="632"/>
        <item x="333"/>
        <item x="49"/>
        <item x="537"/>
        <item x="466"/>
        <item x="446"/>
        <item x="274"/>
        <item x="282"/>
        <item x="645"/>
        <item x="685"/>
        <item x="437"/>
        <item x="76"/>
        <item x="10"/>
        <item x="607"/>
        <item x="489"/>
        <item x="127"/>
        <item x="713"/>
        <item x="114"/>
        <item x="514"/>
        <item x="34"/>
        <item x="219"/>
        <item x="234"/>
        <item x="400"/>
        <item x="87"/>
        <item x="20"/>
        <item x="328"/>
        <item x="630"/>
        <item x="416"/>
        <item x="152"/>
        <item x="517"/>
        <item x="738"/>
        <item x="53"/>
        <item x="184"/>
        <item x="524"/>
        <item x="733"/>
        <item x="406"/>
        <item x="145"/>
        <item x="75"/>
        <item x="780"/>
        <item x="691"/>
        <item x="47"/>
        <item x="134"/>
        <item x="542"/>
        <item x="382"/>
        <item x="42"/>
        <item x="340"/>
        <item x="585"/>
        <item x="367"/>
        <item x="522"/>
        <item x="48"/>
        <item x="182"/>
        <item x="572"/>
        <item x="762"/>
        <item x="375"/>
        <item x="639"/>
        <item x="570"/>
        <item x="668"/>
        <item x="210"/>
        <item x="305"/>
        <item x="89"/>
        <item x="614"/>
        <item x="657"/>
        <item x="543"/>
        <item x="80"/>
        <item x="220"/>
        <item x="217"/>
        <item x="319"/>
        <item x="410"/>
        <item x="175"/>
        <item x="720"/>
        <item x="223"/>
        <item x="142"/>
        <item x="583"/>
        <item x="681"/>
        <item x="216"/>
        <item x="687"/>
        <item x="180"/>
        <item x="226"/>
        <item x="471"/>
        <item x="248"/>
        <item x="309"/>
        <item x="749"/>
        <item x="161"/>
        <item x="776"/>
        <item x="600"/>
        <item x="144"/>
        <item x="135"/>
        <item x="194"/>
        <item x="650"/>
        <item x="554"/>
        <item x="39"/>
        <item x="173"/>
        <item x="26"/>
        <item x="304"/>
        <item x="28"/>
        <item x="633"/>
        <item x="16"/>
        <item x="450"/>
        <item x="93"/>
        <item x="178"/>
        <item x="629"/>
        <item x="761"/>
        <item x="508"/>
        <item x="191"/>
        <item x="136"/>
        <item x="378"/>
        <item x="608"/>
        <item x="171"/>
        <item x="547"/>
        <item x="725"/>
        <item x="445"/>
        <item x="0"/>
        <item x="156"/>
        <item x="92"/>
        <item x="636"/>
        <item x="635"/>
        <item x="734"/>
        <item x="324"/>
        <item x="132"/>
        <item x="387"/>
        <item x="372"/>
        <item x="448"/>
        <item x="638"/>
        <item x="364"/>
        <item x="237"/>
        <item x="742"/>
        <item x="35"/>
        <item x="615"/>
        <item x="290"/>
        <item x="344"/>
        <item x="684"/>
        <item x="470"/>
        <item x="392"/>
        <item x="611"/>
        <item x="405"/>
        <item x="430"/>
        <item x="694"/>
        <item x="465"/>
        <item x="779"/>
        <item x="426"/>
        <item x="760"/>
        <item x="775"/>
        <item x="589"/>
        <item x="692"/>
        <item x="518"/>
        <item x="41"/>
        <item x="791"/>
        <item x="52"/>
        <item x="5"/>
        <item x="358"/>
        <item x="232"/>
        <item x="204"/>
        <item x="201"/>
        <item x="189"/>
        <item x="50"/>
        <item x="767"/>
        <item x="678"/>
        <item x="329"/>
        <item x="682"/>
        <item x="266"/>
        <item x="159"/>
        <item x="262"/>
        <item x="275"/>
        <item x="784"/>
        <item x="391"/>
        <item x="484"/>
        <item x="129"/>
        <item x="703"/>
        <item x="263"/>
        <item x="239"/>
        <item x="128"/>
        <item x="579"/>
        <item x="669"/>
        <item x="662"/>
        <item x="511"/>
        <item x="770"/>
        <item x="717"/>
        <item x="60"/>
        <item x="628"/>
        <item x="122"/>
        <item x="754"/>
        <item x="119"/>
        <item x="66"/>
        <item x="190"/>
        <item x="170"/>
        <item x="154"/>
        <item x="212"/>
        <item x="360"/>
        <item x="138"/>
        <item x="29"/>
        <item x="231"/>
        <item x="384"/>
        <item x="667"/>
        <item x="385"/>
        <item x="286"/>
        <item x="221"/>
        <item x="748"/>
        <item x="193"/>
        <item x="642"/>
        <item x="320"/>
        <item x="654"/>
        <item x="501"/>
        <item x="141"/>
        <item x="538"/>
        <item x="576"/>
        <item x="403"/>
        <item x="81"/>
        <item x="467"/>
        <item x="562"/>
        <item x="477"/>
        <item x="778"/>
        <item x="288"/>
        <item x="605"/>
        <item x="540"/>
        <item x="68"/>
        <item x="14"/>
        <item x="322"/>
        <item x="115"/>
        <item x="243"/>
        <item x="722"/>
        <item x="209"/>
        <item x="94"/>
        <item x="752"/>
        <item x="546"/>
        <item x="308"/>
        <item x="339"/>
        <item x="424"/>
        <item x="592"/>
        <item x="150"/>
        <item x="368"/>
        <item x="250"/>
        <item x="644"/>
        <item x="529"/>
        <item x="755"/>
        <item x="343"/>
        <item x="757"/>
        <item x="789"/>
        <item x="88"/>
        <item x="271"/>
        <item x="772"/>
        <item x="176"/>
        <item x="404"/>
        <item x="113"/>
        <item x="591"/>
        <item x="311"/>
        <item x="310"/>
        <item x="624"/>
        <item x="648"/>
        <item x="296"/>
        <item x="107"/>
        <item x="121"/>
        <item x="120"/>
        <item x="525"/>
        <item x="279"/>
        <item x="316"/>
        <item x="792"/>
        <item x="318"/>
        <item x="77"/>
        <item x="245"/>
        <item x="744"/>
        <item x="214"/>
        <item x="528"/>
        <item x="118"/>
        <item x="32"/>
        <item x="661"/>
        <item x="724"/>
        <item x="199"/>
        <item x="299"/>
        <item x="719"/>
        <item x="429"/>
        <item x="483"/>
        <item x="622"/>
        <item x="397"/>
        <item x="294"/>
        <item x="19"/>
        <item x="207"/>
        <item x="707"/>
        <item x="735"/>
        <item x="472"/>
        <item x="556"/>
        <item x="1"/>
        <item x="38"/>
        <item x="91"/>
        <item x="215"/>
        <item x="732"/>
        <item x="371"/>
        <item x="513"/>
        <item x="353"/>
        <item x="153"/>
        <item x="255"/>
        <item x="140"/>
        <item x="326"/>
        <item x="652"/>
        <item x="457"/>
        <item x="475"/>
        <item x="270"/>
        <item x="124"/>
        <item x="307"/>
        <item x="321"/>
        <item x="125"/>
        <item x="376"/>
        <item x="675"/>
        <item x="500"/>
        <item x="264"/>
        <item x="112"/>
        <item x="247"/>
        <item x="123"/>
        <item x="580"/>
        <item x="82"/>
        <item x="492"/>
        <item x="481"/>
        <item x="700"/>
        <item x="656"/>
        <item x="469"/>
        <item x="711"/>
        <item x="560"/>
        <item x="559"/>
        <item x="658"/>
        <item x="679"/>
        <item x="168"/>
        <item x="408"/>
        <item x="202"/>
        <item x="785"/>
        <item x="273"/>
        <item x="357"/>
        <item x="242"/>
        <item x="730"/>
        <item x="211"/>
        <item x="676"/>
        <item x="663"/>
        <item x="665"/>
        <item x="596"/>
        <item x="759"/>
        <item x="539"/>
        <item x="313"/>
        <item x="766"/>
        <item x="96"/>
        <item x="462"/>
        <item x="277"/>
        <item x="314"/>
        <item x="575"/>
        <item x="126"/>
        <item x="664"/>
        <item x="479"/>
        <item x="58"/>
        <item x="213"/>
        <item x="774"/>
        <item x="510"/>
        <item x="224"/>
        <item x="73"/>
        <item x="680"/>
        <item x="283"/>
        <item x="491"/>
        <item x="640"/>
        <item x="753"/>
        <item x="690"/>
        <item x="604"/>
        <item x="13"/>
        <item x="105"/>
        <item x="327"/>
        <item x="281"/>
        <item x="7"/>
        <item x="651"/>
        <item x="272"/>
        <item x="482"/>
        <item x="330"/>
        <item x="196"/>
        <item x="108"/>
        <item x="235"/>
        <item x="37"/>
        <item x="464"/>
        <item x="764"/>
        <item x="198"/>
        <item x="67"/>
        <item x="238"/>
        <item x="565"/>
        <item x="291"/>
        <item x="566"/>
        <item x="276"/>
        <item x="241"/>
        <item x="515"/>
        <item x="502"/>
        <item x="545"/>
        <item x="619"/>
        <item t="default"/>
      </items>
      <autoSortScope>
        <pivotArea dataOnly="0" outline="0" fieldPosition="0">
          <references count="1">
            <reference field="4294967294" count="1" selected="0">
              <x v="0"/>
            </reference>
          </references>
        </pivotArea>
      </autoSortScope>
    </pivotField>
    <pivotField showAll="0">
      <items count="4">
        <item h="1" x="0"/>
        <item x="1"/>
        <item h="1" x="2"/>
        <item t="default"/>
      </items>
    </pivotField>
    <pivotField showAll="0"/>
    <pivotField showAll="0"/>
    <pivotField showAll="0"/>
    <pivotField showAll="0"/>
    <pivotField showAll="0"/>
    <pivotField showAll="0"/>
    <pivotField showAll="0">
      <items count="4">
        <item h="1" x="1"/>
        <item h="1" x="0"/>
        <item x="2"/>
        <item t="default"/>
      </items>
    </pivotField>
    <pivotField showAll="0"/>
    <pivotField showAll="0"/>
    <pivotField dataField="1" numFmtId="164" showAll="0"/>
  </pivotFields>
  <rowFields count="1">
    <field x="10"/>
  </rowFields>
  <rowItems count="11">
    <i>
      <x v="547"/>
    </i>
    <i>
      <x v="2"/>
    </i>
    <i>
      <x v="428"/>
    </i>
    <i>
      <x v="231"/>
    </i>
    <i>
      <x v="453"/>
    </i>
    <i>
      <x v="34"/>
    </i>
    <i>
      <x v="271"/>
    </i>
    <i>
      <x v="213"/>
    </i>
    <i>
      <x v="409"/>
    </i>
    <i>
      <x v="555"/>
    </i>
    <i t="grand">
      <x/>
    </i>
  </rowItems>
  <colItems count="1">
    <i/>
  </colItems>
  <dataFields count="1">
    <dataField name="Sum of Sales" fld="21" baseField="0" baseItem="0" numFmtId="165"/>
  </dataFields>
  <formats count="2">
    <format dxfId="44">
      <pivotArea dataOnly="0" labelOnly="1" outline="0" axis="axisValues" fieldPosition="0"/>
    </format>
    <format dxfId="43">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8">
  <location ref="AA5:AB13" firstHeaderRow="1" firstDataRow="1" firstDataCol="1"/>
  <pivotFields count="22">
    <pivotField showAll="0"/>
    <pivotField showAll="0"/>
    <pivotField numFmtId="14" showAll="0"/>
    <pivotField numFmtId="14" showAll="0"/>
    <pivotField showAll="0"/>
    <pivotField showAll="0">
      <items count="13">
        <item h="1" x="0"/>
        <item x="2"/>
        <item x="8"/>
        <item x="9"/>
        <item x="1"/>
        <item x="11"/>
        <item x="10"/>
        <item x="3"/>
        <item x="4"/>
        <item x="5"/>
        <item x="6"/>
        <item x="7"/>
        <item t="default"/>
      </items>
    </pivotField>
    <pivotField showAll="0"/>
    <pivotField showAll="0"/>
    <pivotField showAll="0"/>
    <pivotField showAll="0"/>
    <pivotField showAll="0"/>
    <pivotField showAll="0">
      <items count="4">
        <item h="1" x="0"/>
        <item x="1"/>
        <item h="1" x="2"/>
        <item t="default"/>
      </items>
    </pivotField>
    <pivotField showAll="0"/>
    <pivotField axis="axisRow" showAll="0" measureFilter="1" sortType="descending">
      <items count="238">
        <item x="117"/>
        <item x="96"/>
        <item x="187"/>
        <item x="194"/>
        <item x="215"/>
        <item x="154"/>
        <item x="29"/>
        <item x="67"/>
        <item x="214"/>
        <item x="84"/>
        <item x="196"/>
        <item x="70"/>
        <item x="24"/>
        <item x="188"/>
        <item x="90"/>
        <item x="164"/>
        <item x="159"/>
        <item x="181"/>
        <item x="122"/>
        <item x="115"/>
        <item x="176"/>
        <item x="205"/>
        <item x="114"/>
        <item x="91"/>
        <item x="140"/>
        <item x="145"/>
        <item x="153"/>
        <item x="107"/>
        <item x="235"/>
        <item x="20"/>
        <item x="31"/>
        <item x="5"/>
        <item x="218"/>
        <item x="19"/>
        <item x="166"/>
        <item x="162"/>
        <item x="191"/>
        <item x="103"/>
        <item x="78"/>
        <item x="189"/>
        <item x="6"/>
        <item x="4"/>
        <item x="219"/>
        <item x="143"/>
        <item x="60"/>
        <item x="74"/>
        <item x="220"/>
        <item x="65"/>
        <item x="64"/>
        <item x="30"/>
        <item x="32"/>
        <item x="123"/>
        <item x="228"/>
        <item x="55"/>
        <item x="1"/>
        <item x="217"/>
        <item x="98"/>
        <item x="212"/>
        <item x="133"/>
        <item x="28"/>
        <item x="27"/>
        <item x="33"/>
        <item x="92"/>
        <item x="72"/>
        <item x="59"/>
        <item x="46"/>
        <item x="168"/>
        <item x="95"/>
        <item x="226"/>
        <item x="203"/>
        <item x="204"/>
        <item x="118"/>
        <item x="22"/>
        <item x="26"/>
        <item x="8"/>
        <item x="207"/>
        <item x="79"/>
        <item x="40"/>
        <item x="124"/>
        <item x="178"/>
        <item x="110"/>
        <item x="202"/>
        <item x="160"/>
        <item x="173"/>
        <item x="13"/>
        <item x="197"/>
        <item x="47"/>
        <item x="233"/>
        <item x="179"/>
        <item x="75"/>
        <item x="87"/>
        <item x="77"/>
        <item x="186"/>
        <item x="42"/>
        <item x="167"/>
        <item x="132"/>
        <item x="230"/>
        <item x="86"/>
        <item x="17"/>
        <item x="52"/>
        <item x="53"/>
        <item x="93"/>
        <item x="0"/>
        <item x="231"/>
        <item x="190"/>
        <item x="131"/>
        <item x="80"/>
        <item x="23"/>
        <item x="129"/>
        <item x="54"/>
        <item x="38"/>
        <item x="195"/>
        <item x="11"/>
        <item x="127"/>
        <item x="14"/>
        <item x="7"/>
        <item x="126"/>
        <item x="12"/>
        <item x="116"/>
        <item x="66"/>
        <item x="58"/>
        <item x="193"/>
        <item x="71"/>
        <item x="139"/>
        <item x="21"/>
        <item x="18"/>
        <item x="69"/>
        <item x="44"/>
        <item x="200"/>
        <item x="229"/>
        <item x="112"/>
        <item x="155"/>
        <item x="224"/>
        <item x="222"/>
        <item x="82"/>
        <item x="94"/>
        <item x="171"/>
        <item x="10"/>
        <item x="81"/>
        <item x="62"/>
        <item x="146"/>
        <item x="236"/>
        <item x="141"/>
        <item x="185"/>
        <item x="201"/>
        <item x="100"/>
        <item x="108"/>
        <item x="119"/>
        <item x="76"/>
        <item x="39"/>
        <item x="68"/>
        <item x="232"/>
        <item x="216"/>
        <item x="104"/>
        <item x="106"/>
        <item x="89"/>
        <item x="121"/>
        <item x="120"/>
        <item x="105"/>
        <item x="175"/>
        <item x="113"/>
        <item x="41"/>
        <item x="151"/>
        <item x="56"/>
        <item x="234"/>
        <item x="97"/>
        <item x="180"/>
        <item x="57"/>
        <item x="37"/>
        <item x="148"/>
        <item x="149"/>
        <item x="144"/>
        <item x="128"/>
        <item x="223"/>
        <item x="25"/>
        <item x="35"/>
        <item x="51"/>
        <item x="15"/>
        <item x="163"/>
        <item x="109"/>
        <item x="150"/>
        <item x="158"/>
        <item x="111"/>
        <item x="184"/>
        <item x="3"/>
        <item x="16"/>
        <item x="142"/>
        <item x="172"/>
        <item x="61"/>
        <item x="73"/>
        <item x="138"/>
        <item x="198"/>
        <item x="88"/>
        <item x="192"/>
        <item x="48"/>
        <item x="9"/>
        <item x="43"/>
        <item x="99"/>
        <item x="136"/>
        <item x="174"/>
        <item x="49"/>
        <item x="206"/>
        <item x="225"/>
        <item x="157"/>
        <item x="152"/>
        <item x="2"/>
        <item x="177"/>
        <item x="165"/>
        <item x="170"/>
        <item x="169"/>
        <item x="147"/>
        <item x="36"/>
        <item x="134"/>
        <item x="199"/>
        <item x="183"/>
        <item x="130"/>
        <item x="135"/>
        <item x="161"/>
        <item x="182"/>
        <item x="101"/>
        <item x="210"/>
        <item x="102"/>
        <item x="209"/>
        <item x="125"/>
        <item x="50"/>
        <item x="85"/>
        <item x="227"/>
        <item x="213"/>
        <item x="211"/>
        <item x="221"/>
        <item x="34"/>
        <item x="137"/>
        <item x="45"/>
        <item x="156"/>
        <item x="63"/>
        <item x="208"/>
        <item x="8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h="1" x="1"/>
        <item h="1" x="2"/>
        <item h="1" x="3"/>
        <item t="default"/>
      </items>
    </pivotField>
    <pivotField showAll="0"/>
    <pivotField showAll="0">
      <items count="4">
        <item h="1" x="1"/>
        <item h="1" x="0"/>
        <item x="2"/>
        <item t="default"/>
      </items>
    </pivotField>
    <pivotField showAll="0"/>
    <pivotField showAll="0"/>
    <pivotField dataField="1" numFmtId="164" showAll="0"/>
  </pivotFields>
  <rowFields count="1">
    <field x="13"/>
  </rowFields>
  <rowItems count="8">
    <i>
      <x v="12"/>
    </i>
    <i>
      <x v="84"/>
    </i>
    <i>
      <x v="66"/>
    </i>
    <i>
      <x v="43"/>
    </i>
    <i>
      <x v="148"/>
    </i>
    <i>
      <x v="219"/>
    </i>
    <i>
      <x v="127"/>
    </i>
    <i t="grand">
      <x/>
    </i>
  </rowItems>
  <colItems count="1">
    <i/>
  </colItems>
  <dataFields count="1">
    <dataField name="Sum of Sales" fld="21" baseField="0" baseItem="0" numFmtId="165"/>
  </dataFields>
  <formats count="2">
    <format dxfId="46">
      <pivotArea dataOnly="0" labelOnly="1" outline="0" axis="axisValues" fieldPosition="0"/>
    </format>
    <format dxfId="45">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8"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2">
  <location ref="O3:P11" firstHeaderRow="1" firstDataRow="1" firstDataCol="1"/>
  <pivotFields count="22">
    <pivotField showAll="0"/>
    <pivotField showAll="0"/>
    <pivotField numFmtId="14" showAll="0"/>
    <pivotField numFmtId="14" showAll="0"/>
    <pivotField showAll="0"/>
    <pivotField axis="axisRow" showAll="0">
      <items count="13">
        <item h="1" x="0"/>
        <item x="2"/>
        <item x="8"/>
        <item x="9"/>
        <item x="1"/>
        <item x="11"/>
        <item x="10"/>
        <item x="3"/>
        <item x="4"/>
        <item x="5"/>
        <item x="6"/>
        <item x="7"/>
        <item t="default"/>
      </items>
    </pivotField>
    <pivotField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0"/>
        <item h="1" x="1"/>
        <item h="1" x="2"/>
        <item h="1" x="3"/>
        <item t="default"/>
      </items>
    </pivotField>
    <pivotField showAll="0"/>
    <pivotField showAll="0">
      <items count="4">
        <item h="1" x="1"/>
        <item h="1" x="0"/>
        <item x="2"/>
        <item t="default"/>
      </items>
    </pivotField>
    <pivotField showAll="0"/>
    <pivotField showAll="0"/>
    <pivotField dataField="1" numFmtId="164" showAll="0"/>
  </pivotFields>
  <rowFields count="1">
    <field x="5"/>
  </rowFields>
  <rowItems count="8">
    <i>
      <x v="1"/>
    </i>
    <i>
      <x v="2"/>
    </i>
    <i>
      <x v="3"/>
    </i>
    <i>
      <x v="7"/>
    </i>
    <i>
      <x v="8"/>
    </i>
    <i>
      <x v="10"/>
    </i>
    <i>
      <x v="11"/>
    </i>
    <i t="grand">
      <x/>
    </i>
  </rowItems>
  <colItems count="1">
    <i/>
  </colItems>
  <dataFields count="1">
    <dataField name="Sum of Sales" fld="21" baseField="5" baseItem="0" numFmtId="165"/>
  </dataFields>
  <formats count="3">
    <format dxfId="49">
      <pivotArea dataOnly="0" labelOnly="1" outline="0" axis="axisValues" fieldPosition="0"/>
    </format>
    <format dxfId="48">
      <pivotArea outline="0" collapsedLevelsAreSubtotals="1" fieldPosition="0"/>
    </format>
    <format dxfId="47">
      <pivotArea outline="0" fieldPosition="0">
        <references count="1">
          <reference field="4294967294" count="1">
            <x v="0"/>
          </reference>
        </references>
      </pivotArea>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11"/>
          </reference>
        </references>
      </pivotArea>
    </chartFormat>
    <chartFormat chart="2" format="2">
      <pivotArea type="data" outline="0" fieldPosition="0">
        <references count="2">
          <reference field="4294967294" count="1" selected="0">
            <x v="0"/>
          </reference>
          <reference field="5" count="1" selected="0">
            <x v="3"/>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5" count="1" selected="0">
            <x v="3"/>
          </reference>
        </references>
      </pivotArea>
    </chartFormat>
    <chartFormat chart="6" format="7">
      <pivotArea type="data" outline="0" fieldPosition="0">
        <references count="2">
          <reference field="4294967294" count="1" selected="0">
            <x v="0"/>
          </reference>
          <reference field="5" count="1" selected="0">
            <x v="2"/>
          </reference>
        </references>
      </pivotArea>
    </chartFormat>
    <chartFormat chart="6" format="8">
      <pivotArea type="data" outline="0" fieldPosition="0">
        <references count="2">
          <reference field="4294967294" count="1" selected="0">
            <x v="0"/>
          </reference>
          <reference field="5" count="1" selected="0">
            <x v="4"/>
          </reference>
        </references>
      </pivotArea>
    </chartFormat>
    <chartFormat chart="2" format="3">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C3:C4" firstHeaderRow="1" firstDataRow="1" firstDataCol="0"/>
  <pivotFields count="22">
    <pivotField showAll="0"/>
    <pivotField showAll="0"/>
    <pivotField numFmtId="14" showAll="0"/>
    <pivotField numFmtId="14" showAll="0"/>
    <pivotField showAll="0"/>
    <pivotField showAll="0">
      <items count="13">
        <item h="1" x="0"/>
        <item x="2"/>
        <item x="8"/>
        <item x="9"/>
        <item x="1"/>
        <item x="11"/>
        <item x="10"/>
        <item x="3"/>
        <item x="4"/>
        <item x="5"/>
        <item x="6"/>
        <item x="7"/>
        <item t="default"/>
      </items>
    </pivotField>
    <pivotField showAll="0"/>
    <pivotField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0"/>
        <item h="1" x="1"/>
        <item h="1" x="2"/>
        <item h="1" x="3"/>
        <item t="default"/>
      </items>
    </pivotField>
    <pivotField showAll="0"/>
    <pivotField showAll="0">
      <items count="4">
        <item h="1" x="1"/>
        <item h="1" x="0"/>
        <item x="2"/>
        <item t="default"/>
      </items>
    </pivotField>
    <pivotField showAll="0"/>
    <pivotField showAll="0"/>
    <pivotField dataField="1" numFmtId="164" showAll="0"/>
  </pivotFields>
  <rowItems count="1">
    <i/>
  </rowItems>
  <colItems count="1">
    <i/>
  </colItems>
  <dataFields count="1">
    <dataField name="Average of Sales" fld="21" subtotal="average" baseField="0" baseItem="2" numFmtId="165"/>
  </dataFields>
  <formats count="2">
    <format dxfId="51">
      <pivotArea dataOnly="0" labelOnly="1" outline="0" axis="axisValues" fieldPosition="0"/>
    </format>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4B33CE4-FAE8-47E6-A2CE-D4E6FB63FE30}" sourceName="Month">
  <pivotTables>
    <pivotTable tabId="3" name="PivotTable2"/>
    <pivotTable tabId="3" name="PivotTable10"/>
    <pivotTable tabId="3" name="PivotTable11"/>
    <pivotTable tabId="3" name="PivotTable13"/>
    <pivotTable tabId="3" name="PivotTable3"/>
    <pivotTable tabId="3" name="PivotTable4"/>
    <pivotTable tabId="3" name="PivotTable5"/>
    <pivotTable tabId="3" name="PivotTable6"/>
    <pivotTable tabId="3" name="PivotTable7"/>
    <pivotTable tabId="3" name="PivotTable8"/>
    <pivotTable tabId="3" name="PivotTable9"/>
    <pivotTable tabId="3" name="PivotTable1"/>
  </pivotTables>
  <data>
    <tabular pivotCacheId="2132139849">
      <items count="12">
        <i x="0"/>
        <i x="2" s="1"/>
        <i x="8" s="1"/>
        <i x="9" s="1"/>
        <i x="1" s="1"/>
        <i x="11" s="1"/>
        <i x="10"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A0443AA-3E1F-4E33-BEE2-61B2A733B3E3}" sourceName="Segment">
  <pivotTables>
    <pivotTable tabId="3" name="PivotTable2"/>
    <pivotTable tabId="3" name="PivotTable10"/>
    <pivotTable tabId="3" name="PivotTable11"/>
    <pivotTable tabId="3" name="PivotTable13"/>
    <pivotTable tabId="3" name="PivotTable3"/>
    <pivotTable tabId="3" name="PivotTable4"/>
    <pivotTable tabId="3" name="PivotTable5"/>
    <pivotTable tabId="3" name="PivotTable6"/>
    <pivotTable tabId="3" name="PivotTable7"/>
    <pivotTable tabId="3" name="PivotTable8"/>
    <pivotTable tabId="3" name="PivotTable9"/>
    <pivotTable tabId="3" name="PivotTable1"/>
  </pivotTables>
  <data>
    <tabular pivotCacheId="2132139849">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9024D0-0358-4550-889B-D238D37CF4EF}" sourceName="Region">
  <pivotTables>
    <pivotTable tabId="3" name="PivotTable2"/>
    <pivotTable tabId="3" name="PivotTable10"/>
    <pivotTable tabId="3" name="PivotTable11"/>
    <pivotTable tabId="3" name="PivotTable13"/>
    <pivotTable tabId="3" name="PivotTable3"/>
    <pivotTable tabId="3" name="PivotTable4"/>
    <pivotTable tabId="3" name="PivotTable5"/>
    <pivotTable tabId="3" name="PivotTable6"/>
    <pivotTable tabId="3" name="PivotTable7"/>
    <pivotTable tabId="3" name="PivotTable8"/>
    <pivotTable tabId="3" name="PivotTable1"/>
  </pivotTables>
  <data>
    <tabular pivotCacheId="2132139849">
      <items count="4">
        <i x="0" s="1"/>
        <i x="1"/>
        <i x="2"/>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39C38D-0283-4C58-901B-D95ECB30AAFC}" sourceName="Category">
  <pivotTables>
    <pivotTable tabId="3" name="PivotTable2"/>
    <pivotTable tabId="3" name="PivotTable10"/>
    <pivotTable tabId="3" name="PivotTable11"/>
    <pivotTable tabId="3" name="PivotTable13"/>
    <pivotTable tabId="3" name="PivotTable3"/>
    <pivotTable tabId="3" name="PivotTable4"/>
    <pivotTable tabId="3" name="PivotTable5"/>
    <pivotTable tabId="3" name="PivotTable6"/>
    <pivotTable tabId="3" name="PivotTable7"/>
    <pivotTable tabId="3" name="PivotTable8"/>
    <pivotTable tabId="3" name="PivotTable9"/>
    <pivotTable tabId="3" name="PivotTable1"/>
  </pivotTables>
  <data>
    <tabular pivotCacheId="2132139849">
      <items count="3">
        <i x="1"/>
        <i x="0"/>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031F8B2-B748-484D-A6C5-171EF39AA970}" sourceName="Year">
  <pivotTables>
    <pivotTable tabId="3" name="PivotTable2"/>
  </pivotTables>
  <data>
    <tabular pivotCacheId="213213984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ABFA14B-F1D5-428A-A60B-6962C191DA16}" cache="Slicer_Month" caption="Month" startItem="5" rowHeight="241300"/>
  <slicer name="Segment" xr10:uid="{A7064EDB-64F1-49CD-A945-09A4E377D00C}" cache="Slicer_Segment" caption="Segment" rowHeight="241300"/>
  <slicer name="Region" xr10:uid="{D922FCEA-00F5-4613-95D6-A77F7E6A74F9}" cache="Slicer_Region" caption="Region" rowHeight="241300"/>
  <slicer name="Category" xr10:uid="{D6B2B1DA-6039-45C4-A1B4-011CC9C578B8}" cache="Slicer_Category" caption="Category" rowHeight="241300"/>
  <slicer name="Year" xr10:uid="{A95F10EE-35C4-470A-85D1-EA489DE946C3}"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BC2E1C71-A91C-4A50-812F-A288FD11BDD0}" cache="Slicer_Month" caption="Month" rowHeight="241300"/>
  <slicer name="Segment 1" xr10:uid="{887DB2AC-9FC5-497A-AB76-A56DB4BBF947}" cache="Slicer_Segment" caption="Segment" rowHeight="241300"/>
  <slicer name="Region 1" xr10:uid="{54DA88DD-1C98-421F-9AF7-5C2113BB56D0}" cache="Slicer_Region" caption="Region" rowHeight="241300"/>
  <slicer name="Category 1" xr10:uid="{DBA06C67-1FDA-459E-BA0E-C0A6171A43F9}" cache="Slicer_Category" caption="Category" rowHeight="241300"/>
  <slicer name="Year 1" xr10:uid="{4726AE3B-47DB-4AD3-964E-03106C31F43B}" cache="Slicer_Year" caption="Year"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I31"/>
  <sheetViews>
    <sheetView topLeftCell="A8" zoomScale="91" zoomScaleNormal="91" workbookViewId="0">
      <selection activeCell="A4" sqref="A4"/>
    </sheetView>
  </sheetViews>
  <sheetFormatPr defaultRowHeight="15" x14ac:dyDescent="0.25"/>
  <cols>
    <col min="1" max="1" width="13.7109375" bestFit="1" customWidth="1"/>
    <col min="3" max="3" width="17.28515625" customWidth="1"/>
    <col min="4" max="4" width="14" bestFit="1" customWidth="1"/>
    <col min="5" max="5" width="12.42578125" bestFit="1" customWidth="1"/>
    <col min="7" max="7" width="13.7109375" customWidth="1"/>
    <col min="8" max="8" width="16.5703125" customWidth="1"/>
    <col min="9" max="9" width="22.85546875" customWidth="1"/>
    <col min="10" max="10" width="13.140625" bestFit="1" customWidth="1"/>
    <col min="11" max="11" width="12.140625" customWidth="1"/>
    <col min="12" max="12" width="15" bestFit="1" customWidth="1"/>
    <col min="13" max="13" width="13.7109375" customWidth="1"/>
    <col min="14" max="14" width="14.5703125" customWidth="1"/>
    <col min="15" max="15" width="13.140625" customWidth="1"/>
    <col min="16" max="16" width="12.140625" bestFit="1" customWidth="1"/>
    <col min="17" max="17" width="10.140625" customWidth="1"/>
    <col min="18" max="18" width="17" bestFit="1" customWidth="1"/>
    <col min="19" max="19" width="12.140625" bestFit="1" customWidth="1"/>
    <col min="20" max="20" width="13.140625" bestFit="1" customWidth="1"/>
    <col min="21" max="21" width="12.140625" bestFit="1" customWidth="1"/>
    <col min="22" max="22" width="11.140625" customWidth="1"/>
    <col min="23" max="23" width="13.140625" bestFit="1" customWidth="1"/>
    <col min="24" max="24" width="12.140625" customWidth="1"/>
    <col min="25" max="26" width="7" customWidth="1"/>
    <col min="27" max="27" width="13.140625" bestFit="1" customWidth="1"/>
    <col min="28" max="28" width="12.140625" bestFit="1" customWidth="1"/>
    <col min="29" max="29" width="7" customWidth="1"/>
    <col min="30" max="30" width="14.7109375" customWidth="1"/>
    <col min="31" max="31" width="14.42578125" customWidth="1"/>
    <col min="32" max="32" width="7" customWidth="1"/>
    <col min="33" max="33" width="12.7109375" bestFit="1" customWidth="1"/>
    <col min="34" max="34" width="12" customWidth="1"/>
    <col min="35" max="35" width="14.140625" customWidth="1"/>
    <col min="36" max="130" width="7" customWidth="1"/>
    <col min="131" max="475" width="8" customWidth="1"/>
    <col min="476" max="731" width="9" customWidth="1"/>
    <col min="732" max="769" width="10.5703125" customWidth="1"/>
    <col min="770" max="770" width="12.7109375" customWidth="1"/>
    <col min="771" max="800" width="15" bestFit="1" customWidth="1"/>
    <col min="801" max="801" width="11.28515625" bestFit="1" customWidth="1"/>
  </cols>
  <sheetData>
    <row r="2" spans="1:35" x14ac:dyDescent="0.25">
      <c r="A2" s="3">
        <f>GETPIVOTDATA("Sales",$A$3)</f>
        <v>2787.248</v>
      </c>
      <c r="C2" s="3">
        <f>GETPIVOTDATA("Sales",$C$3)</f>
        <v>348.40600000000001</v>
      </c>
      <c r="E2">
        <f>GETPIVOTDATA("Order ID",$E$3)</f>
        <v>8</v>
      </c>
      <c r="G2" s="3">
        <f>GETPIVOTDATA("Sales",$G$3)</f>
        <v>1439.982</v>
      </c>
    </row>
    <row r="3" spans="1:35" x14ac:dyDescent="0.25">
      <c r="A3" s="2" t="s">
        <v>3990</v>
      </c>
      <c r="C3" s="2" t="s">
        <v>3998</v>
      </c>
      <c r="E3" s="2" t="s">
        <v>4003</v>
      </c>
      <c r="G3" s="2" t="s">
        <v>4001</v>
      </c>
      <c r="I3" s="7" t="s">
        <v>4002</v>
      </c>
      <c r="J3" s="4" t="s">
        <v>3999</v>
      </c>
      <c r="K3" s="6" t="s">
        <v>3990</v>
      </c>
      <c r="L3" s="4" t="s">
        <v>3999</v>
      </c>
      <c r="M3" s="2" t="s">
        <v>3990</v>
      </c>
      <c r="O3" s="4" t="s">
        <v>3999</v>
      </c>
      <c r="P3" s="6" t="s">
        <v>3990</v>
      </c>
    </row>
    <row r="4" spans="1:35" x14ac:dyDescent="0.25">
      <c r="A4" s="3">
        <v>2787.248</v>
      </c>
      <c r="C4" s="3">
        <v>348.40600000000001</v>
      </c>
      <c r="E4" s="6">
        <v>8</v>
      </c>
      <c r="G4" s="6">
        <v>1439.982</v>
      </c>
      <c r="I4" s="1">
        <f>GETPIVOTDATA("Sales",$A$3)/GETPIVOTDATA("Order ID",$E$3)</f>
        <v>348.40600000000001</v>
      </c>
      <c r="J4" s="5" t="s">
        <v>28</v>
      </c>
      <c r="K4" s="3">
        <v>2787.248</v>
      </c>
      <c r="L4" s="5" t="s">
        <v>28</v>
      </c>
      <c r="M4" s="6">
        <v>2787.248</v>
      </c>
      <c r="O4" s="5" t="s">
        <v>3991</v>
      </c>
      <c r="P4" s="3">
        <v>69.930000000000007</v>
      </c>
      <c r="R4" s="4" t="s">
        <v>3999</v>
      </c>
      <c r="S4" s="6" t="s">
        <v>3990</v>
      </c>
    </row>
    <row r="5" spans="1:35" x14ac:dyDescent="0.25">
      <c r="J5" s="5" t="s">
        <v>4000</v>
      </c>
      <c r="K5" s="3">
        <v>2787.248</v>
      </c>
      <c r="L5" s="8" t="s">
        <v>29</v>
      </c>
      <c r="M5" s="6">
        <v>224.346</v>
      </c>
      <c r="O5" s="5" t="s">
        <v>3996</v>
      </c>
      <c r="P5" s="3">
        <v>95.84</v>
      </c>
      <c r="R5" s="5" t="s">
        <v>3843</v>
      </c>
      <c r="S5" s="3">
        <v>1919.9760000000001</v>
      </c>
      <c r="T5" s="4" t="s">
        <v>3999</v>
      </c>
      <c r="U5" s="6" t="s">
        <v>3990</v>
      </c>
      <c r="W5" s="4" t="s">
        <v>3999</v>
      </c>
      <c r="X5" s="6" t="s">
        <v>3990</v>
      </c>
      <c r="AA5" s="4" t="s">
        <v>3999</v>
      </c>
      <c r="AB5" s="6" t="s">
        <v>3990</v>
      </c>
      <c r="AD5" s="13" t="s">
        <v>3999</v>
      </c>
      <c r="AE5" s="15" t="s">
        <v>3990</v>
      </c>
      <c r="AG5" s="13" t="s">
        <v>3999</v>
      </c>
      <c r="AH5" s="15" t="s">
        <v>3990</v>
      </c>
      <c r="AI5" s="15"/>
    </row>
    <row r="6" spans="1:35" x14ac:dyDescent="0.25">
      <c r="L6" s="8" t="s">
        <v>364</v>
      </c>
      <c r="M6" s="6">
        <v>1999.692</v>
      </c>
      <c r="O6" s="5" t="s">
        <v>3997</v>
      </c>
      <c r="P6" s="3">
        <v>12.99</v>
      </c>
      <c r="R6" s="5" t="s">
        <v>3302</v>
      </c>
      <c r="S6" s="3">
        <v>1439.982</v>
      </c>
      <c r="T6" s="5" t="s">
        <v>87</v>
      </c>
      <c r="U6" s="3">
        <v>2787.248</v>
      </c>
      <c r="W6" s="5" t="s">
        <v>64</v>
      </c>
      <c r="X6" s="3">
        <v>2229.9079999999999</v>
      </c>
      <c r="AA6" s="5" t="s">
        <v>1514</v>
      </c>
      <c r="AB6" s="3">
        <v>1439.982</v>
      </c>
      <c r="AD6" s="5" t="s">
        <v>47</v>
      </c>
      <c r="AE6" s="16" t="e">
        <f>GETPIVOTDATA("Sales",$AA$5,"City",AD6)</f>
        <v>#REF!</v>
      </c>
      <c r="AG6" s="5" t="s">
        <v>80</v>
      </c>
      <c r="AH6" s="3" t="e">
        <f>GETPIVOTDATA("Sales",$W$5,"State",AG6)</f>
        <v>#REF!</v>
      </c>
    </row>
    <row r="7" spans="1:35" x14ac:dyDescent="0.25">
      <c r="L7" s="8" t="s">
        <v>51</v>
      </c>
      <c r="M7" s="6">
        <v>563.21</v>
      </c>
      <c r="O7" s="5" t="s">
        <v>3992</v>
      </c>
      <c r="P7" s="3">
        <v>1439.982</v>
      </c>
      <c r="R7" s="5" t="s">
        <v>1626</v>
      </c>
      <c r="S7" s="3">
        <v>1075.088</v>
      </c>
      <c r="T7" s="5" t="s">
        <v>4000</v>
      </c>
      <c r="U7" s="3">
        <v>2787.248</v>
      </c>
      <c r="W7" s="5" t="s">
        <v>25</v>
      </c>
      <c r="X7" s="3">
        <v>397.44</v>
      </c>
      <c r="AA7" s="5" t="s">
        <v>72</v>
      </c>
      <c r="AB7" s="3">
        <v>694.08600000000001</v>
      </c>
      <c r="AD7" s="5" t="s">
        <v>213</v>
      </c>
      <c r="AE7" s="16" t="e">
        <f t="shared" ref="AE7:AE15" si="0">GETPIVOTDATA("Sales",$AA$5,"City",AD7)</f>
        <v>#REF!</v>
      </c>
      <c r="AG7" s="5" t="s">
        <v>48</v>
      </c>
      <c r="AH7" s="3" t="e">
        <f t="shared" ref="AH7:AH15" si="1">GETPIVOTDATA("Sales",$W$5,"State",AG7)</f>
        <v>#REF!</v>
      </c>
    </row>
    <row r="8" spans="1:35" x14ac:dyDescent="0.25">
      <c r="L8" s="5" t="s">
        <v>4000</v>
      </c>
      <c r="M8" s="6">
        <v>2787.248</v>
      </c>
      <c r="O8" s="5" t="s">
        <v>3993</v>
      </c>
      <c r="P8" s="3">
        <v>694.08600000000001</v>
      </c>
      <c r="R8" s="5" t="s">
        <v>3068</v>
      </c>
      <c r="S8" s="3">
        <v>837.6</v>
      </c>
      <c r="W8" s="5" t="s">
        <v>587</v>
      </c>
      <c r="X8" s="3">
        <v>89.97</v>
      </c>
      <c r="AA8" s="5" t="s">
        <v>1758</v>
      </c>
      <c r="AB8" s="3">
        <v>384.45</v>
      </c>
      <c r="AD8" s="5" t="s">
        <v>35</v>
      </c>
      <c r="AE8" s="16" t="e">
        <f t="shared" si="0"/>
        <v>#REF!</v>
      </c>
      <c r="AG8" s="5" t="s">
        <v>64</v>
      </c>
      <c r="AH8" s="3">
        <f t="shared" si="1"/>
        <v>2229.9079999999999</v>
      </c>
    </row>
    <row r="9" spans="1:35" x14ac:dyDescent="0.25">
      <c r="O9" s="5" t="s">
        <v>3994</v>
      </c>
      <c r="P9" s="3">
        <v>89.97</v>
      </c>
      <c r="R9" s="5" t="s">
        <v>128</v>
      </c>
      <c r="S9" s="3">
        <v>575.91999999999996</v>
      </c>
      <c r="W9" s="5" t="s">
        <v>599</v>
      </c>
      <c r="X9" s="3">
        <v>69.930000000000007</v>
      </c>
      <c r="AA9" s="5" t="s">
        <v>1734</v>
      </c>
      <c r="AB9" s="3">
        <v>95.84</v>
      </c>
      <c r="AD9" s="5" t="s">
        <v>143</v>
      </c>
      <c r="AE9" s="16" t="e">
        <f t="shared" si="0"/>
        <v>#REF!</v>
      </c>
      <c r="AG9" s="5" t="s">
        <v>36</v>
      </c>
      <c r="AH9" s="3" t="e">
        <f t="shared" si="1"/>
        <v>#REF!</v>
      </c>
    </row>
    <row r="10" spans="1:35" x14ac:dyDescent="0.25">
      <c r="O10" s="5" t="s">
        <v>3995</v>
      </c>
      <c r="P10" s="3">
        <v>384.45</v>
      </c>
      <c r="R10" s="5" t="s">
        <v>362</v>
      </c>
      <c r="S10" s="3">
        <v>559.71</v>
      </c>
      <c r="W10" s="5" t="s">
        <v>4000</v>
      </c>
      <c r="X10" s="3">
        <v>2787.248</v>
      </c>
      <c r="AA10" s="5" t="s">
        <v>586</v>
      </c>
      <c r="AB10" s="3">
        <v>89.97</v>
      </c>
      <c r="AD10" s="5" t="s">
        <v>149</v>
      </c>
      <c r="AE10" s="16" t="e">
        <f t="shared" si="0"/>
        <v>#REF!</v>
      </c>
      <c r="AG10" s="5" t="s">
        <v>130</v>
      </c>
      <c r="AH10" s="3" t="e">
        <f t="shared" si="1"/>
        <v>#REF!</v>
      </c>
    </row>
    <row r="11" spans="1:35" x14ac:dyDescent="0.25">
      <c r="O11" s="5" t="s">
        <v>4000</v>
      </c>
      <c r="P11" s="3">
        <v>2787.2479999999996</v>
      </c>
      <c r="R11" s="5" t="s">
        <v>2312</v>
      </c>
      <c r="S11" s="3">
        <v>494.97</v>
      </c>
      <c r="AA11" s="5" t="s">
        <v>1115</v>
      </c>
      <c r="AB11" s="3">
        <v>69.930000000000007</v>
      </c>
      <c r="AD11" s="5" t="s">
        <v>928</v>
      </c>
      <c r="AE11" s="16" t="e">
        <f t="shared" si="0"/>
        <v>#REF!</v>
      </c>
      <c r="AG11" s="5" t="s">
        <v>150</v>
      </c>
      <c r="AH11" s="3" t="e">
        <f t="shared" si="1"/>
        <v>#REF!</v>
      </c>
    </row>
    <row r="12" spans="1:35" x14ac:dyDescent="0.25">
      <c r="R12" s="5" t="s">
        <v>2006</v>
      </c>
      <c r="S12" s="3">
        <v>482.34</v>
      </c>
      <c r="AA12" s="5" t="s">
        <v>1632</v>
      </c>
      <c r="AB12" s="3">
        <v>12.99</v>
      </c>
      <c r="AD12" s="5" t="s">
        <v>268</v>
      </c>
      <c r="AE12" s="16" t="e">
        <f t="shared" si="0"/>
        <v>#REF!</v>
      </c>
      <c r="AG12" s="5" t="s">
        <v>25</v>
      </c>
      <c r="AH12" s="3">
        <f t="shared" si="1"/>
        <v>397.44</v>
      </c>
    </row>
    <row r="13" spans="1:35" x14ac:dyDescent="0.25">
      <c r="R13" s="5" t="s">
        <v>2994</v>
      </c>
      <c r="S13" s="3">
        <v>384.45</v>
      </c>
      <c r="AA13" s="5" t="s">
        <v>4000</v>
      </c>
      <c r="AB13" s="3">
        <v>2787.2479999999996</v>
      </c>
      <c r="AD13" s="5" t="s">
        <v>72</v>
      </c>
      <c r="AE13" s="16">
        <f t="shared" si="0"/>
        <v>694.08600000000001</v>
      </c>
      <c r="AG13" s="5" t="s">
        <v>250</v>
      </c>
      <c r="AH13" s="3" t="e">
        <f t="shared" si="1"/>
        <v>#REF!</v>
      </c>
    </row>
    <row r="14" spans="1:35" x14ac:dyDescent="0.25">
      <c r="R14" s="5" t="s">
        <v>3724</v>
      </c>
      <c r="S14" s="3">
        <v>370.78199999999998</v>
      </c>
      <c r="AD14" s="5" t="s">
        <v>232</v>
      </c>
      <c r="AE14" s="16" t="e">
        <f t="shared" si="0"/>
        <v>#REF!</v>
      </c>
      <c r="AG14" s="5" t="s">
        <v>57</v>
      </c>
      <c r="AH14" s="3" t="e">
        <f t="shared" si="1"/>
        <v>#REF!</v>
      </c>
    </row>
    <row r="15" spans="1:35" x14ac:dyDescent="0.25">
      <c r="R15" s="5" t="s">
        <v>4000</v>
      </c>
      <c r="S15" s="3">
        <v>8140.8180000000002</v>
      </c>
      <c r="AD15" s="5" t="s">
        <v>1514</v>
      </c>
      <c r="AE15" s="16">
        <f t="shared" si="0"/>
        <v>1439.982</v>
      </c>
      <c r="AG15" s="5" t="s">
        <v>118</v>
      </c>
      <c r="AH15" s="3" t="e">
        <f t="shared" si="1"/>
        <v>#REF!</v>
      </c>
    </row>
    <row r="16" spans="1:35" x14ac:dyDescent="0.25">
      <c r="AD16" s="14"/>
      <c r="AG16" s="14"/>
    </row>
    <row r="28" spans="4:5" x14ac:dyDescent="0.25">
      <c r="D28" s="3">
        <f>GETPIVOTDATA("Sales",$D$30)</f>
        <v>12.99</v>
      </c>
    </row>
    <row r="29" spans="4:5" x14ac:dyDescent="0.25">
      <c r="E29" s="3"/>
    </row>
    <row r="30" spans="4:5" x14ac:dyDescent="0.25">
      <c r="D30" s="2" t="s">
        <v>4005</v>
      </c>
    </row>
    <row r="31" spans="4:5" x14ac:dyDescent="0.25">
      <c r="D31" s="3">
        <v>12.99</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96"/>
  <sheetViews>
    <sheetView topLeftCell="I1" workbookViewId="0">
      <selection activeCell="O23" sqref="O23"/>
    </sheetView>
  </sheetViews>
  <sheetFormatPr defaultRowHeight="15" x14ac:dyDescent="0.25"/>
  <cols>
    <col min="1" max="1" width="9.140625" style="9"/>
    <col min="2" max="2" width="15" style="10" bestFit="1" customWidth="1"/>
    <col min="3" max="3" width="13" style="10" bestFit="1" customWidth="1"/>
    <col min="4" max="4" width="11.7109375" style="10" bestFit="1" customWidth="1"/>
    <col min="5" max="6" width="11.7109375" style="10" customWidth="1"/>
    <col min="7" max="7" width="17" style="10" bestFit="1" customWidth="1"/>
    <col min="8" max="8" width="15.42578125" style="9" bestFit="1" customWidth="1"/>
    <col min="9" max="9" width="13.85546875" style="9" bestFit="1" customWidth="1"/>
    <col min="10" max="10" width="14.140625" style="9" bestFit="1" customWidth="1"/>
    <col min="11" max="11" width="22.7109375" style="9" bestFit="1" customWidth="1"/>
    <col min="12" max="12" width="12.140625" style="9" bestFit="1" customWidth="1"/>
    <col min="13" max="13" width="12.85546875" style="9" bestFit="1" customWidth="1"/>
    <col min="14" max="14" width="16.85546875" style="9" bestFit="1" customWidth="1"/>
    <col min="15" max="15" width="18.7109375" style="9" bestFit="1" customWidth="1"/>
    <col min="16" max="16" width="13.7109375" style="9" bestFit="1" customWidth="1"/>
    <col min="17" max="17" width="9.42578125" style="9" bestFit="1" customWidth="1"/>
    <col min="18" max="18" width="16.7109375" style="9" bestFit="1" customWidth="1"/>
    <col min="19" max="19" width="14.5703125" style="9" bestFit="1" customWidth="1"/>
    <col min="20" max="20" width="15.140625" style="9" bestFit="1" customWidth="1"/>
    <col min="21" max="21" width="80.42578125" style="9" customWidth="1"/>
    <col min="22" max="22" width="12.85546875" style="11" customWidth="1"/>
    <col min="23" max="23" width="14.5703125" style="9" customWidth="1"/>
    <col min="24" max="24" width="12.5703125" style="9" bestFit="1" customWidth="1"/>
    <col min="25" max="16384" width="9.140625" style="9"/>
  </cols>
  <sheetData>
    <row r="1" spans="1:27" x14ac:dyDescent="0.25">
      <c r="A1" s="9" t="s">
        <v>0</v>
      </c>
      <c r="B1" s="10" t="s">
        <v>1</v>
      </c>
      <c r="C1" s="10" t="s">
        <v>2</v>
      </c>
      <c r="D1" s="10" t="s">
        <v>3</v>
      </c>
      <c r="E1" s="10" t="s">
        <v>3987</v>
      </c>
      <c r="F1" s="10" t="s">
        <v>3988</v>
      </c>
      <c r="G1" s="10" t="s">
        <v>3989</v>
      </c>
      <c r="H1" s="9" t="s">
        <v>3985</v>
      </c>
      <c r="I1" s="9" t="s">
        <v>4</v>
      </c>
      <c r="J1" s="9" t="s">
        <v>5</v>
      </c>
      <c r="K1" s="9" t="s">
        <v>6</v>
      </c>
      <c r="L1" s="9" t="s">
        <v>7</v>
      </c>
      <c r="M1" s="9" t="s">
        <v>8</v>
      </c>
      <c r="N1" s="9" t="s">
        <v>9</v>
      </c>
      <c r="O1" s="9" t="s">
        <v>10</v>
      </c>
      <c r="P1" s="9" t="s">
        <v>11</v>
      </c>
      <c r="Q1" s="9" t="s">
        <v>12</v>
      </c>
      <c r="R1" s="9" t="s">
        <v>13</v>
      </c>
      <c r="S1" s="9" t="s">
        <v>14</v>
      </c>
      <c r="T1" s="9" t="s">
        <v>15</v>
      </c>
      <c r="U1" s="9" t="s">
        <v>16</v>
      </c>
      <c r="V1" s="11" t="s">
        <v>17</v>
      </c>
      <c r="W1" t="s">
        <v>4004</v>
      </c>
    </row>
    <row r="2" spans="1:27" x14ac:dyDescent="0.25">
      <c r="A2" s="9">
        <v>593</v>
      </c>
      <c r="B2" s="10" t="s">
        <v>1296</v>
      </c>
      <c r="C2" s="10">
        <v>42013</v>
      </c>
      <c r="D2" s="10">
        <v>42017</v>
      </c>
      <c r="E2" s="9">
        <f>YEAR(C2)</f>
        <v>2015</v>
      </c>
      <c r="F2" s="10" t="str">
        <f>TEXT(C2,"mmm")</f>
        <v>Jan</v>
      </c>
      <c r="G2" s="9" t="s">
        <v>3986</v>
      </c>
      <c r="H2" s="9">
        <f t="shared" ref="H2:H65" si="0">D2-C2</f>
        <v>4</v>
      </c>
      <c r="I2" s="9" t="s">
        <v>43</v>
      </c>
      <c r="J2" s="9" t="s">
        <v>1297</v>
      </c>
      <c r="K2" s="9" t="s">
        <v>1298</v>
      </c>
      <c r="L2" s="9" t="s">
        <v>22</v>
      </c>
      <c r="M2" s="9" t="s">
        <v>23</v>
      </c>
      <c r="N2" s="9" t="s">
        <v>1299</v>
      </c>
      <c r="O2" s="9" t="s">
        <v>64</v>
      </c>
      <c r="P2" s="9">
        <v>78041</v>
      </c>
      <c r="Q2" s="9" t="s">
        <v>26</v>
      </c>
      <c r="R2" s="9" t="s">
        <v>1300</v>
      </c>
      <c r="S2" s="9" t="s">
        <v>66</v>
      </c>
      <c r="T2" s="9" t="s">
        <v>158</v>
      </c>
      <c r="U2" s="9" t="s">
        <v>1301</v>
      </c>
      <c r="V2" s="11">
        <v>9.3439999999999994</v>
      </c>
      <c r="W2" s="9" t="str">
        <f>IF(H2&lt;=3,"Fast Delivery","Slow Delivery")</f>
        <v>Slow Delivery</v>
      </c>
    </row>
    <row r="3" spans="1:27" x14ac:dyDescent="0.25">
      <c r="A3" s="9">
        <v>717</v>
      </c>
      <c r="B3" s="10" t="s">
        <v>1471</v>
      </c>
      <c r="C3" s="10">
        <v>42015</v>
      </c>
      <c r="D3" s="10">
        <v>42018</v>
      </c>
      <c r="E3" s="9">
        <f t="shared" ref="E3:E66" si="1">YEAR(C3)</f>
        <v>2015</v>
      </c>
      <c r="F3" s="10" t="str">
        <f t="shared" ref="F3:F66" si="2">TEXT(C3,"mmm")</f>
        <v>Jan</v>
      </c>
      <c r="G3" s="9">
        <f t="shared" ref="G3:G66" si="3">MONTH(C3)</f>
        <v>1</v>
      </c>
      <c r="H3" s="9">
        <f t="shared" si="0"/>
        <v>3</v>
      </c>
      <c r="I3" s="9" t="s">
        <v>19</v>
      </c>
      <c r="J3" s="9" t="s">
        <v>1472</v>
      </c>
      <c r="K3" s="9" t="s">
        <v>1473</v>
      </c>
      <c r="L3" s="9" t="s">
        <v>22</v>
      </c>
      <c r="M3" s="9" t="s">
        <v>23</v>
      </c>
      <c r="N3" s="9" t="s">
        <v>1474</v>
      </c>
      <c r="O3" s="9" t="s">
        <v>1475</v>
      </c>
      <c r="P3" s="9">
        <v>19901</v>
      </c>
      <c r="Q3" s="9" t="s">
        <v>49</v>
      </c>
      <c r="R3" s="9" t="s">
        <v>1476</v>
      </c>
      <c r="S3" s="9" t="s">
        <v>39</v>
      </c>
      <c r="T3" s="9" t="s">
        <v>112</v>
      </c>
      <c r="U3" s="9" t="s">
        <v>1477</v>
      </c>
      <c r="V3" s="11">
        <v>9.94</v>
      </c>
      <c r="W3" s="9" t="str">
        <f t="shared" ref="W3:W66" si="4">IF(H3&lt;=3,"Fast Delivery","Slow Delivery")</f>
        <v>Fast Delivery</v>
      </c>
    </row>
    <row r="4" spans="1:27" x14ac:dyDescent="0.25">
      <c r="A4" s="9">
        <v>866</v>
      </c>
      <c r="B4" s="10" t="s">
        <v>1399</v>
      </c>
      <c r="C4" s="10">
        <v>42014</v>
      </c>
      <c r="D4" s="10">
        <v>42019</v>
      </c>
      <c r="E4" s="9">
        <f t="shared" si="1"/>
        <v>2015</v>
      </c>
      <c r="F4" s="10" t="str">
        <f t="shared" si="2"/>
        <v>Jan</v>
      </c>
      <c r="G4" s="9">
        <f t="shared" si="3"/>
        <v>1</v>
      </c>
      <c r="H4" s="9">
        <f t="shared" si="0"/>
        <v>5</v>
      </c>
      <c r="I4" s="9" t="s">
        <v>43</v>
      </c>
      <c r="J4" s="9" t="s">
        <v>1400</v>
      </c>
      <c r="K4" s="9" t="s">
        <v>1401</v>
      </c>
      <c r="L4" s="9" t="s">
        <v>87</v>
      </c>
      <c r="M4" s="9" t="s">
        <v>23</v>
      </c>
      <c r="N4" s="9" t="s">
        <v>335</v>
      </c>
      <c r="O4" s="9" t="s">
        <v>298</v>
      </c>
      <c r="P4" s="9">
        <v>22153</v>
      </c>
      <c r="Q4" s="9" t="s">
        <v>110</v>
      </c>
      <c r="R4" s="9" t="s">
        <v>1402</v>
      </c>
      <c r="S4" s="9" t="s">
        <v>66</v>
      </c>
      <c r="T4" s="9" t="s">
        <v>82</v>
      </c>
      <c r="U4" s="9" t="s">
        <v>1403</v>
      </c>
      <c r="V4" s="11">
        <v>2.89</v>
      </c>
      <c r="W4" s="9" t="str">
        <f t="shared" si="4"/>
        <v>Slow Delivery</v>
      </c>
    </row>
    <row r="5" spans="1:27" x14ac:dyDescent="0.25">
      <c r="A5" s="9">
        <v>1914</v>
      </c>
      <c r="B5" s="10" t="s">
        <v>3786</v>
      </c>
      <c r="C5" s="10">
        <v>42019</v>
      </c>
      <c r="D5" s="10">
        <v>42021</v>
      </c>
      <c r="E5" s="9">
        <f t="shared" si="1"/>
        <v>2015</v>
      </c>
      <c r="F5" s="10" t="str">
        <f t="shared" si="2"/>
        <v>Jan</v>
      </c>
      <c r="G5" s="9">
        <f t="shared" si="3"/>
        <v>1</v>
      </c>
      <c r="H5" s="9">
        <f t="shared" si="0"/>
        <v>2</v>
      </c>
      <c r="I5" s="9" t="s">
        <v>19</v>
      </c>
      <c r="J5" s="9" t="s">
        <v>3787</v>
      </c>
      <c r="K5" s="9" t="s">
        <v>3788</v>
      </c>
      <c r="L5" s="9" t="s">
        <v>22</v>
      </c>
      <c r="M5" s="9" t="s">
        <v>23</v>
      </c>
      <c r="N5" s="9" t="s">
        <v>323</v>
      </c>
      <c r="O5" s="9" t="s">
        <v>286</v>
      </c>
      <c r="P5" s="9">
        <v>30076</v>
      </c>
      <c r="Q5" s="9" t="s">
        <v>110</v>
      </c>
      <c r="R5" s="9" t="s">
        <v>419</v>
      </c>
      <c r="S5" s="9" t="s">
        <v>28</v>
      </c>
      <c r="T5" s="9" t="s">
        <v>29</v>
      </c>
      <c r="U5" s="9" t="s">
        <v>420</v>
      </c>
      <c r="V5" s="11">
        <v>149.94999999999999</v>
      </c>
      <c r="W5" s="9" t="str">
        <f t="shared" si="4"/>
        <v>Fast Delivery</v>
      </c>
    </row>
    <row r="6" spans="1:27" x14ac:dyDescent="0.25">
      <c r="A6" s="9">
        <v>5825</v>
      </c>
      <c r="B6" s="10" t="s">
        <v>301</v>
      </c>
      <c r="C6" s="10">
        <v>42126</v>
      </c>
      <c r="D6" s="10">
        <v>42126</v>
      </c>
      <c r="E6" s="9">
        <f t="shared" si="1"/>
        <v>2015</v>
      </c>
      <c r="F6" s="10" t="str">
        <f t="shared" si="2"/>
        <v>May</v>
      </c>
      <c r="G6" s="9">
        <f t="shared" si="3"/>
        <v>5</v>
      </c>
      <c r="H6" s="9">
        <f t="shared" si="0"/>
        <v>0</v>
      </c>
      <c r="I6" s="9" t="s">
        <v>302</v>
      </c>
      <c r="J6" s="9" t="s">
        <v>303</v>
      </c>
      <c r="K6" s="9" t="s">
        <v>304</v>
      </c>
      <c r="L6" s="9" t="s">
        <v>22</v>
      </c>
      <c r="M6" s="9" t="s">
        <v>23</v>
      </c>
      <c r="N6" s="9" t="s">
        <v>249</v>
      </c>
      <c r="O6" s="9" t="s">
        <v>250</v>
      </c>
      <c r="P6" s="9">
        <v>43229</v>
      </c>
      <c r="Q6" s="9" t="s">
        <v>49</v>
      </c>
      <c r="R6" s="9" t="s">
        <v>305</v>
      </c>
      <c r="S6" s="9" t="s">
        <v>66</v>
      </c>
      <c r="T6" s="9" t="s">
        <v>221</v>
      </c>
      <c r="U6" s="9" t="s">
        <v>306</v>
      </c>
      <c r="V6" s="11">
        <v>26.135999999999999</v>
      </c>
      <c r="W6" s="9" t="str">
        <f t="shared" si="4"/>
        <v>Fast Delivery</v>
      </c>
      <c r="X6" s="12"/>
    </row>
    <row r="7" spans="1:27" x14ac:dyDescent="0.25">
      <c r="A7" s="9">
        <v>5631</v>
      </c>
      <c r="B7" s="10" t="s">
        <v>1478</v>
      </c>
      <c r="C7" s="10">
        <v>42046</v>
      </c>
      <c r="D7" s="10">
        <v>42050</v>
      </c>
      <c r="E7" s="9">
        <f t="shared" si="1"/>
        <v>2015</v>
      </c>
      <c r="F7" s="10" t="str">
        <f t="shared" si="2"/>
        <v>Feb</v>
      </c>
      <c r="G7" s="9">
        <f t="shared" si="3"/>
        <v>2</v>
      </c>
      <c r="H7" s="9">
        <f t="shared" si="0"/>
        <v>4</v>
      </c>
      <c r="I7" s="9" t="s">
        <v>43</v>
      </c>
      <c r="J7" s="9" t="s">
        <v>1479</v>
      </c>
      <c r="K7" s="9" t="s">
        <v>1480</v>
      </c>
      <c r="L7" s="9" t="s">
        <v>22</v>
      </c>
      <c r="M7" s="9" t="s">
        <v>23</v>
      </c>
      <c r="N7" s="9" t="s">
        <v>932</v>
      </c>
      <c r="O7" s="9" t="s">
        <v>298</v>
      </c>
      <c r="P7" s="9">
        <v>23320</v>
      </c>
      <c r="Q7" s="9" t="s">
        <v>110</v>
      </c>
      <c r="R7" s="9" t="s">
        <v>27</v>
      </c>
      <c r="S7" s="9" t="s">
        <v>28</v>
      </c>
      <c r="T7" s="9" t="s">
        <v>29</v>
      </c>
      <c r="U7" s="9" t="s">
        <v>30</v>
      </c>
      <c r="V7" s="11">
        <v>234.45</v>
      </c>
      <c r="W7" s="9" t="str">
        <f t="shared" si="4"/>
        <v>Slow Delivery</v>
      </c>
    </row>
    <row r="8" spans="1:27" x14ac:dyDescent="0.25">
      <c r="A8" s="9">
        <v>9255</v>
      </c>
      <c r="B8" s="10" t="s">
        <v>1481</v>
      </c>
      <c r="C8" s="10">
        <v>42046</v>
      </c>
      <c r="D8" s="10">
        <v>42050</v>
      </c>
      <c r="E8" s="9">
        <f t="shared" si="1"/>
        <v>2015</v>
      </c>
      <c r="F8" s="10" t="str">
        <f t="shared" si="2"/>
        <v>Feb</v>
      </c>
      <c r="G8" s="9">
        <f t="shared" si="3"/>
        <v>2</v>
      </c>
      <c r="H8" s="9">
        <f t="shared" si="0"/>
        <v>4</v>
      </c>
      <c r="I8" s="9" t="s">
        <v>32</v>
      </c>
      <c r="J8" s="9" t="s">
        <v>1482</v>
      </c>
      <c r="K8" s="9" t="s">
        <v>1483</v>
      </c>
      <c r="L8" s="9" t="s">
        <v>22</v>
      </c>
      <c r="M8" s="9" t="s">
        <v>23</v>
      </c>
      <c r="N8" s="9" t="s">
        <v>1003</v>
      </c>
      <c r="O8" s="9" t="s">
        <v>336</v>
      </c>
      <c r="P8" s="9">
        <v>65203</v>
      </c>
      <c r="Q8" s="9" t="s">
        <v>26</v>
      </c>
      <c r="R8" s="9" t="s">
        <v>785</v>
      </c>
      <c r="S8" s="9" t="s">
        <v>39</v>
      </c>
      <c r="T8" s="9" t="s">
        <v>40</v>
      </c>
      <c r="U8" s="9" t="s">
        <v>786</v>
      </c>
      <c r="V8" s="11">
        <v>60.89</v>
      </c>
      <c r="W8" s="9" t="str">
        <f t="shared" si="4"/>
        <v>Slow Delivery</v>
      </c>
    </row>
    <row r="9" spans="1:27" x14ac:dyDescent="0.25">
      <c r="A9" s="9">
        <v>6082</v>
      </c>
      <c r="B9" s="10" t="s">
        <v>3882</v>
      </c>
      <c r="C9" s="10">
        <v>42053</v>
      </c>
      <c r="D9" s="10">
        <v>42053</v>
      </c>
      <c r="E9" s="9">
        <f t="shared" si="1"/>
        <v>2015</v>
      </c>
      <c r="F9" s="10" t="str">
        <f t="shared" si="2"/>
        <v>Feb</v>
      </c>
      <c r="G9" s="9">
        <f t="shared" si="3"/>
        <v>2</v>
      </c>
      <c r="H9" s="9">
        <f t="shared" si="0"/>
        <v>0</v>
      </c>
      <c r="I9" s="9" t="s">
        <v>302</v>
      </c>
      <c r="J9" s="9" t="s">
        <v>3883</v>
      </c>
      <c r="K9" s="9" t="s">
        <v>3884</v>
      </c>
      <c r="L9" s="9" t="s">
        <v>22</v>
      </c>
      <c r="M9" s="9" t="s">
        <v>23</v>
      </c>
      <c r="N9" s="9" t="s">
        <v>3885</v>
      </c>
      <c r="O9" s="9" t="s">
        <v>64</v>
      </c>
      <c r="P9" s="9">
        <v>79424</v>
      </c>
      <c r="Q9" s="9" t="s">
        <v>26</v>
      </c>
      <c r="R9" s="9" t="s">
        <v>3886</v>
      </c>
      <c r="S9" s="9" t="s">
        <v>39</v>
      </c>
      <c r="T9" s="9" t="s">
        <v>112</v>
      </c>
      <c r="U9" s="9" t="s">
        <v>3887</v>
      </c>
      <c r="V9" s="11">
        <v>25.16</v>
      </c>
      <c r="W9" s="9" t="str">
        <f t="shared" si="4"/>
        <v>Fast Delivery</v>
      </c>
      <c r="X9" s="12"/>
      <c r="AA9" s="12"/>
    </row>
    <row r="10" spans="1:27" x14ac:dyDescent="0.25">
      <c r="A10" s="9">
        <v>541</v>
      </c>
      <c r="B10" s="10" t="s">
        <v>18</v>
      </c>
      <c r="C10" s="10">
        <v>42036</v>
      </c>
      <c r="D10" s="10">
        <v>42038</v>
      </c>
      <c r="E10" s="9">
        <f t="shared" si="1"/>
        <v>2015</v>
      </c>
      <c r="F10" s="10" t="str">
        <f t="shared" si="2"/>
        <v>Feb</v>
      </c>
      <c r="G10" s="9">
        <f t="shared" si="3"/>
        <v>2</v>
      </c>
      <c r="H10" s="9">
        <f t="shared" si="0"/>
        <v>2</v>
      </c>
      <c r="I10" s="9" t="s">
        <v>19</v>
      </c>
      <c r="J10" s="9" t="s">
        <v>20</v>
      </c>
      <c r="K10" s="9" t="s">
        <v>21</v>
      </c>
      <c r="L10" s="9" t="s">
        <v>22</v>
      </c>
      <c r="M10" s="9" t="s">
        <v>23</v>
      </c>
      <c r="N10" s="9" t="s">
        <v>24</v>
      </c>
      <c r="O10" s="9" t="s">
        <v>25</v>
      </c>
      <c r="P10" s="9">
        <v>54302</v>
      </c>
      <c r="Q10" s="9" t="s">
        <v>26</v>
      </c>
      <c r="R10" s="9" t="s">
        <v>27</v>
      </c>
      <c r="S10" s="9" t="s">
        <v>28</v>
      </c>
      <c r="T10" s="9" t="s">
        <v>29</v>
      </c>
      <c r="U10" s="9" t="s">
        <v>30</v>
      </c>
      <c r="V10" s="11">
        <v>468.9</v>
      </c>
      <c r="W10" s="9" t="str">
        <f t="shared" si="4"/>
        <v>Fast Delivery</v>
      </c>
    </row>
    <row r="11" spans="1:27" x14ac:dyDescent="0.25">
      <c r="A11" s="9">
        <v>2173</v>
      </c>
      <c r="B11" s="10" t="s">
        <v>140</v>
      </c>
      <c r="C11" s="10">
        <v>42217</v>
      </c>
      <c r="D11" s="10">
        <v>42219</v>
      </c>
      <c r="E11" s="9">
        <f t="shared" si="1"/>
        <v>2015</v>
      </c>
      <c r="F11" s="10" t="str">
        <f t="shared" si="2"/>
        <v>Aug</v>
      </c>
      <c r="G11" s="9">
        <f t="shared" si="3"/>
        <v>8</v>
      </c>
      <c r="H11" s="9">
        <f t="shared" si="0"/>
        <v>2</v>
      </c>
      <c r="I11" s="9" t="s">
        <v>19</v>
      </c>
      <c r="J11" s="9" t="s">
        <v>141</v>
      </c>
      <c r="K11" s="9" t="s">
        <v>142</v>
      </c>
      <c r="L11" s="9" t="s">
        <v>22</v>
      </c>
      <c r="M11" s="9" t="s">
        <v>23</v>
      </c>
      <c r="N11" s="9" t="s">
        <v>143</v>
      </c>
      <c r="O11" s="9" t="s">
        <v>80</v>
      </c>
      <c r="P11" s="9">
        <v>94122</v>
      </c>
      <c r="Q11" s="9" t="s">
        <v>37</v>
      </c>
      <c r="R11" s="9" t="s">
        <v>144</v>
      </c>
      <c r="S11" s="9" t="s">
        <v>66</v>
      </c>
      <c r="T11" s="9" t="s">
        <v>103</v>
      </c>
      <c r="U11" s="9" t="s">
        <v>145</v>
      </c>
      <c r="V11" s="11">
        <v>19.751999999999999</v>
      </c>
      <c r="W11" s="9" t="str">
        <f t="shared" si="4"/>
        <v>Fast Delivery</v>
      </c>
    </row>
    <row r="12" spans="1:27" x14ac:dyDescent="0.25">
      <c r="A12" s="9">
        <v>4930</v>
      </c>
      <c r="B12" s="10" t="s">
        <v>350</v>
      </c>
      <c r="C12" s="10">
        <v>42249</v>
      </c>
      <c r="D12" s="10">
        <v>42250</v>
      </c>
      <c r="E12" s="9">
        <f t="shared" si="1"/>
        <v>2015</v>
      </c>
      <c r="F12" s="10" t="str">
        <f t="shared" si="2"/>
        <v>Sep</v>
      </c>
      <c r="G12" s="9">
        <f t="shared" si="3"/>
        <v>9</v>
      </c>
      <c r="H12" s="9">
        <f t="shared" si="0"/>
        <v>1</v>
      </c>
      <c r="I12" s="9" t="s">
        <v>19</v>
      </c>
      <c r="J12" s="9" t="s">
        <v>351</v>
      </c>
      <c r="K12" s="9" t="s">
        <v>352</v>
      </c>
      <c r="L12" s="9" t="s">
        <v>22</v>
      </c>
      <c r="M12" s="9" t="s">
        <v>23</v>
      </c>
      <c r="N12" s="9" t="s">
        <v>47</v>
      </c>
      <c r="O12" s="9" t="s">
        <v>48</v>
      </c>
      <c r="P12" s="9">
        <v>10009</v>
      </c>
      <c r="Q12" s="9" t="s">
        <v>49</v>
      </c>
      <c r="R12" s="9" t="s">
        <v>353</v>
      </c>
      <c r="S12" s="9" t="s">
        <v>66</v>
      </c>
      <c r="T12" s="9" t="s">
        <v>158</v>
      </c>
      <c r="U12" s="9" t="s">
        <v>354</v>
      </c>
      <c r="V12" s="11">
        <v>57.75</v>
      </c>
      <c r="W12" s="9" t="str">
        <f t="shared" si="4"/>
        <v>Fast Delivery</v>
      </c>
    </row>
    <row r="13" spans="1:27" x14ac:dyDescent="0.25">
      <c r="A13" s="9">
        <v>4986</v>
      </c>
      <c r="B13" s="10" t="s">
        <v>521</v>
      </c>
      <c r="C13" s="10">
        <v>42250</v>
      </c>
      <c r="D13" s="10">
        <v>42250</v>
      </c>
      <c r="E13" s="9">
        <f t="shared" si="1"/>
        <v>2015</v>
      </c>
      <c r="F13" s="10" t="str">
        <f t="shared" si="2"/>
        <v>Sep</v>
      </c>
      <c r="G13" s="9">
        <f t="shared" si="3"/>
        <v>9</v>
      </c>
      <c r="H13" s="9">
        <f t="shared" si="0"/>
        <v>0</v>
      </c>
      <c r="I13" s="9" t="s">
        <v>302</v>
      </c>
      <c r="J13" s="9" t="s">
        <v>522</v>
      </c>
      <c r="K13" s="9" t="s">
        <v>523</v>
      </c>
      <c r="L13" s="9" t="s">
        <v>22</v>
      </c>
      <c r="M13" s="9" t="s">
        <v>23</v>
      </c>
      <c r="N13" s="9" t="s">
        <v>47</v>
      </c>
      <c r="O13" s="9" t="s">
        <v>48</v>
      </c>
      <c r="P13" s="9">
        <v>10009</v>
      </c>
      <c r="Q13" s="9" t="s">
        <v>49</v>
      </c>
      <c r="R13" s="9" t="s">
        <v>524</v>
      </c>
      <c r="S13" s="9" t="s">
        <v>66</v>
      </c>
      <c r="T13" s="9" t="s">
        <v>82</v>
      </c>
      <c r="U13" s="9" t="s">
        <v>525</v>
      </c>
      <c r="V13" s="11">
        <v>14.4</v>
      </c>
      <c r="W13" s="9" t="str">
        <f t="shared" si="4"/>
        <v>Fast Delivery</v>
      </c>
    </row>
    <row r="14" spans="1:27" x14ac:dyDescent="0.25">
      <c r="A14" s="9">
        <v>5600</v>
      </c>
      <c r="B14" s="10" t="s">
        <v>548</v>
      </c>
      <c r="C14" s="10">
        <v>42280</v>
      </c>
      <c r="D14" s="10">
        <v>42280</v>
      </c>
      <c r="E14" s="9">
        <f t="shared" si="1"/>
        <v>2015</v>
      </c>
      <c r="F14" s="10" t="str">
        <f t="shared" si="2"/>
        <v>Oct</v>
      </c>
      <c r="G14" s="9">
        <f t="shared" si="3"/>
        <v>10</v>
      </c>
      <c r="H14" s="9">
        <f t="shared" si="0"/>
        <v>0</v>
      </c>
      <c r="I14" s="9" t="s">
        <v>302</v>
      </c>
      <c r="J14" s="9" t="s">
        <v>549</v>
      </c>
      <c r="K14" s="9" t="s">
        <v>550</v>
      </c>
      <c r="L14" s="9" t="s">
        <v>22</v>
      </c>
      <c r="M14" s="9" t="s">
        <v>23</v>
      </c>
      <c r="N14" s="9" t="s">
        <v>249</v>
      </c>
      <c r="O14" s="9" t="s">
        <v>250</v>
      </c>
      <c r="P14" s="9">
        <v>43229</v>
      </c>
      <c r="Q14" s="9" t="s">
        <v>49</v>
      </c>
      <c r="R14" s="9" t="s">
        <v>551</v>
      </c>
      <c r="S14" s="9" t="s">
        <v>66</v>
      </c>
      <c r="T14" s="9" t="s">
        <v>158</v>
      </c>
      <c r="U14" s="9" t="s">
        <v>552</v>
      </c>
      <c r="V14" s="11">
        <v>55.984000000000002</v>
      </c>
      <c r="W14" s="9" t="str">
        <f t="shared" si="4"/>
        <v>Fast Delivery</v>
      </c>
    </row>
    <row r="15" spans="1:27" x14ac:dyDescent="0.25">
      <c r="A15" s="9">
        <v>9229</v>
      </c>
      <c r="B15" s="10" t="s">
        <v>590</v>
      </c>
      <c r="C15" s="10">
        <v>42311</v>
      </c>
      <c r="D15" s="10">
        <v>42311</v>
      </c>
      <c r="E15" s="9">
        <f t="shared" si="1"/>
        <v>2015</v>
      </c>
      <c r="F15" s="10" t="str">
        <f t="shared" si="2"/>
        <v>Nov</v>
      </c>
      <c r="G15" s="9">
        <f t="shared" si="3"/>
        <v>11</v>
      </c>
      <c r="H15" s="9">
        <f t="shared" si="0"/>
        <v>0</v>
      </c>
      <c r="I15" s="9" t="s">
        <v>302</v>
      </c>
      <c r="J15" s="9" t="s">
        <v>591</v>
      </c>
      <c r="K15" s="9" t="s">
        <v>592</v>
      </c>
      <c r="L15" s="9" t="s">
        <v>46</v>
      </c>
      <c r="M15" s="9" t="s">
        <v>23</v>
      </c>
      <c r="N15" s="9" t="s">
        <v>213</v>
      </c>
      <c r="O15" s="9" t="s">
        <v>80</v>
      </c>
      <c r="P15" s="9">
        <v>90049</v>
      </c>
      <c r="Q15" s="9" t="s">
        <v>37</v>
      </c>
      <c r="R15" s="9" t="s">
        <v>593</v>
      </c>
      <c r="S15" s="9" t="s">
        <v>66</v>
      </c>
      <c r="T15" s="9" t="s">
        <v>158</v>
      </c>
      <c r="U15" s="9" t="s">
        <v>594</v>
      </c>
      <c r="V15" s="11">
        <v>6.72</v>
      </c>
      <c r="W15" s="9" t="str">
        <f t="shared" si="4"/>
        <v>Fast Delivery</v>
      </c>
    </row>
    <row r="16" spans="1:27" x14ac:dyDescent="0.25">
      <c r="A16" s="9">
        <v>1792</v>
      </c>
      <c r="B16" s="10" t="s">
        <v>229</v>
      </c>
      <c r="C16" s="10">
        <v>42339</v>
      </c>
      <c r="D16" s="10">
        <v>42341</v>
      </c>
      <c r="E16" s="9">
        <f t="shared" si="1"/>
        <v>2015</v>
      </c>
      <c r="F16" s="10" t="str">
        <f t="shared" si="2"/>
        <v>Dec</v>
      </c>
      <c r="G16" s="9">
        <f t="shared" si="3"/>
        <v>12</v>
      </c>
      <c r="H16" s="9">
        <f t="shared" si="0"/>
        <v>2</v>
      </c>
      <c r="I16" s="9" t="s">
        <v>19</v>
      </c>
      <c r="J16" s="9" t="s">
        <v>230</v>
      </c>
      <c r="K16" s="9" t="s">
        <v>231</v>
      </c>
      <c r="L16" s="9" t="s">
        <v>22</v>
      </c>
      <c r="M16" s="9" t="s">
        <v>23</v>
      </c>
      <c r="N16" s="9" t="s">
        <v>232</v>
      </c>
      <c r="O16" s="9" t="s">
        <v>25</v>
      </c>
      <c r="P16" s="9">
        <v>53711</v>
      </c>
      <c r="Q16" s="9" t="s">
        <v>26</v>
      </c>
      <c r="R16" s="9" t="s">
        <v>233</v>
      </c>
      <c r="S16" s="9" t="s">
        <v>39</v>
      </c>
      <c r="T16" s="9" t="s">
        <v>40</v>
      </c>
      <c r="U16" s="9" t="s">
        <v>234</v>
      </c>
      <c r="V16" s="11">
        <v>2807.84</v>
      </c>
      <c r="W16" s="9" t="str">
        <f t="shared" si="4"/>
        <v>Fast Delivery</v>
      </c>
    </row>
    <row r="17" spans="1:23" x14ac:dyDescent="0.25">
      <c r="A17" s="9">
        <v>4492</v>
      </c>
      <c r="B17" s="10" t="s">
        <v>246</v>
      </c>
      <c r="C17" s="10">
        <v>42339</v>
      </c>
      <c r="D17" s="10">
        <v>42341</v>
      </c>
      <c r="E17" s="9">
        <f t="shared" si="1"/>
        <v>2015</v>
      </c>
      <c r="F17" s="10" t="str">
        <f t="shared" si="2"/>
        <v>Dec</v>
      </c>
      <c r="G17" s="9">
        <f t="shared" si="3"/>
        <v>12</v>
      </c>
      <c r="H17" s="9">
        <f t="shared" si="0"/>
        <v>2</v>
      </c>
      <c r="I17" s="9" t="s">
        <v>32</v>
      </c>
      <c r="J17" s="9" t="s">
        <v>247</v>
      </c>
      <c r="K17" s="9" t="s">
        <v>248</v>
      </c>
      <c r="L17" s="9" t="s">
        <v>22</v>
      </c>
      <c r="M17" s="9" t="s">
        <v>23</v>
      </c>
      <c r="N17" s="9" t="s">
        <v>249</v>
      </c>
      <c r="O17" s="9" t="s">
        <v>250</v>
      </c>
      <c r="P17" s="9">
        <v>43229</v>
      </c>
      <c r="Q17" s="9" t="s">
        <v>49</v>
      </c>
      <c r="R17" s="9" t="s">
        <v>251</v>
      </c>
      <c r="S17" s="9" t="s">
        <v>28</v>
      </c>
      <c r="T17" s="9" t="s">
        <v>252</v>
      </c>
      <c r="U17" s="9" t="s">
        <v>253</v>
      </c>
      <c r="V17" s="11">
        <v>659.98800000000006</v>
      </c>
      <c r="W17" s="9" t="str">
        <f t="shared" si="4"/>
        <v>Fast Delivery</v>
      </c>
    </row>
    <row r="18" spans="1:23" x14ac:dyDescent="0.25">
      <c r="A18" s="9">
        <v>4905</v>
      </c>
      <c r="B18" s="10" t="s">
        <v>254</v>
      </c>
      <c r="C18" s="10">
        <v>42339</v>
      </c>
      <c r="D18" s="10">
        <v>42341</v>
      </c>
      <c r="E18" s="9">
        <f t="shared" si="1"/>
        <v>2015</v>
      </c>
      <c r="F18" s="10" t="str">
        <f t="shared" si="2"/>
        <v>Dec</v>
      </c>
      <c r="G18" s="9">
        <f t="shared" si="3"/>
        <v>12</v>
      </c>
      <c r="H18" s="9">
        <f t="shared" si="0"/>
        <v>2</v>
      </c>
      <c r="I18" s="9" t="s">
        <v>32</v>
      </c>
      <c r="J18" s="9" t="s">
        <v>255</v>
      </c>
      <c r="K18" s="9" t="s">
        <v>256</v>
      </c>
      <c r="L18" s="9" t="s">
        <v>87</v>
      </c>
      <c r="M18" s="9" t="s">
        <v>23</v>
      </c>
      <c r="N18" s="9" t="s">
        <v>72</v>
      </c>
      <c r="O18" s="9" t="s">
        <v>64</v>
      </c>
      <c r="P18" s="9">
        <v>77070</v>
      </c>
      <c r="Q18" s="9" t="s">
        <v>26</v>
      </c>
      <c r="R18" s="9" t="s">
        <v>257</v>
      </c>
      <c r="S18" s="9" t="s">
        <v>39</v>
      </c>
      <c r="T18" s="9" t="s">
        <v>40</v>
      </c>
      <c r="U18" s="9" t="s">
        <v>258</v>
      </c>
      <c r="V18" s="11">
        <v>674.05799999999999</v>
      </c>
      <c r="W18" s="9" t="str">
        <f t="shared" si="4"/>
        <v>Fast Delivery</v>
      </c>
    </row>
    <row r="19" spans="1:23" x14ac:dyDescent="0.25">
      <c r="A19" s="9">
        <v>8004</v>
      </c>
      <c r="B19" s="10" t="s">
        <v>259</v>
      </c>
      <c r="C19" s="10">
        <v>42339</v>
      </c>
      <c r="D19" s="10">
        <v>42341</v>
      </c>
      <c r="E19" s="9">
        <f t="shared" si="1"/>
        <v>2015</v>
      </c>
      <c r="F19" s="10" t="str">
        <f t="shared" si="2"/>
        <v>Dec</v>
      </c>
      <c r="G19" s="9">
        <f t="shared" si="3"/>
        <v>12</v>
      </c>
      <c r="H19" s="9">
        <f t="shared" si="0"/>
        <v>2</v>
      </c>
      <c r="I19" s="9" t="s">
        <v>19</v>
      </c>
      <c r="J19" s="9" t="s">
        <v>260</v>
      </c>
      <c r="K19" s="9" t="s">
        <v>261</v>
      </c>
      <c r="L19" s="9" t="s">
        <v>22</v>
      </c>
      <c r="M19" s="9" t="s">
        <v>23</v>
      </c>
      <c r="N19" s="9" t="s">
        <v>262</v>
      </c>
      <c r="O19" s="9" t="s">
        <v>89</v>
      </c>
      <c r="P19" s="9">
        <v>1852</v>
      </c>
      <c r="Q19" s="9" t="s">
        <v>49</v>
      </c>
      <c r="R19" s="9" t="s">
        <v>263</v>
      </c>
      <c r="S19" s="9" t="s">
        <v>28</v>
      </c>
      <c r="T19" s="9" t="s">
        <v>51</v>
      </c>
      <c r="U19" s="9" t="s">
        <v>264</v>
      </c>
      <c r="V19" s="11">
        <v>271.89999999999998</v>
      </c>
      <c r="W19" s="9" t="str">
        <f t="shared" si="4"/>
        <v>Fast Delivery</v>
      </c>
    </row>
    <row r="20" spans="1:23" x14ac:dyDescent="0.25">
      <c r="A20" s="9">
        <v>7015</v>
      </c>
      <c r="B20" s="10" t="s">
        <v>1494</v>
      </c>
      <c r="C20" s="10">
        <v>42074</v>
      </c>
      <c r="D20" s="10">
        <v>42076</v>
      </c>
      <c r="E20" s="9">
        <f t="shared" si="1"/>
        <v>2015</v>
      </c>
      <c r="F20" s="10" t="str">
        <f t="shared" si="2"/>
        <v>Mar</v>
      </c>
      <c r="G20" s="9">
        <f t="shared" si="3"/>
        <v>3</v>
      </c>
      <c r="H20" s="9">
        <f t="shared" si="0"/>
        <v>2</v>
      </c>
      <c r="I20" s="9" t="s">
        <v>32</v>
      </c>
      <c r="J20" s="9" t="s">
        <v>1495</v>
      </c>
      <c r="K20" s="9" t="s">
        <v>1496</v>
      </c>
      <c r="L20" s="9" t="s">
        <v>87</v>
      </c>
      <c r="M20" s="9" t="s">
        <v>23</v>
      </c>
      <c r="N20" s="9" t="s">
        <v>206</v>
      </c>
      <c r="O20" s="9" t="s">
        <v>207</v>
      </c>
      <c r="P20" s="9">
        <v>40475</v>
      </c>
      <c r="Q20" s="9" t="s">
        <v>110</v>
      </c>
      <c r="R20" s="9" t="s">
        <v>1497</v>
      </c>
      <c r="S20" s="9" t="s">
        <v>66</v>
      </c>
      <c r="T20" s="9" t="s">
        <v>221</v>
      </c>
      <c r="U20" s="9" t="s">
        <v>1498</v>
      </c>
      <c r="V20" s="11">
        <v>146.76</v>
      </c>
      <c r="W20" s="9" t="str">
        <f t="shared" si="4"/>
        <v>Fast Delivery</v>
      </c>
    </row>
    <row r="21" spans="1:23" x14ac:dyDescent="0.25">
      <c r="A21" s="9">
        <v>1172</v>
      </c>
      <c r="B21" s="10" t="s">
        <v>1404</v>
      </c>
      <c r="C21" s="10">
        <v>42073</v>
      </c>
      <c r="D21" s="10">
        <v>42077</v>
      </c>
      <c r="E21" s="9">
        <f t="shared" si="1"/>
        <v>2015</v>
      </c>
      <c r="F21" s="10" t="str">
        <f t="shared" si="2"/>
        <v>Mar</v>
      </c>
      <c r="G21" s="9">
        <f t="shared" si="3"/>
        <v>3</v>
      </c>
      <c r="H21" s="9">
        <f t="shared" si="0"/>
        <v>4</v>
      </c>
      <c r="I21" s="9" t="s">
        <v>43</v>
      </c>
      <c r="J21" s="9" t="s">
        <v>1405</v>
      </c>
      <c r="K21" s="9" t="s">
        <v>1406</v>
      </c>
      <c r="L21" s="9" t="s">
        <v>22</v>
      </c>
      <c r="M21" s="9" t="s">
        <v>23</v>
      </c>
      <c r="N21" s="9" t="s">
        <v>1407</v>
      </c>
      <c r="O21" s="9" t="s">
        <v>118</v>
      </c>
      <c r="P21" s="9">
        <v>48073</v>
      </c>
      <c r="Q21" s="9" t="s">
        <v>26</v>
      </c>
      <c r="R21" s="9" t="s">
        <v>1254</v>
      </c>
      <c r="S21" s="9" t="s">
        <v>66</v>
      </c>
      <c r="T21" s="9" t="s">
        <v>201</v>
      </c>
      <c r="U21" s="9" t="s">
        <v>1255</v>
      </c>
      <c r="V21" s="11">
        <v>22.38</v>
      </c>
      <c r="W21" s="9" t="str">
        <f t="shared" si="4"/>
        <v>Slow Delivery</v>
      </c>
    </row>
    <row r="22" spans="1:23" x14ac:dyDescent="0.25">
      <c r="A22" s="9">
        <v>3442</v>
      </c>
      <c r="B22" s="10" t="s">
        <v>1489</v>
      </c>
      <c r="C22" s="10">
        <v>42074</v>
      </c>
      <c r="D22" s="10">
        <v>42077</v>
      </c>
      <c r="E22" s="9">
        <f t="shared" si="1"/>
        <v>2015</v>
      </c>
      <c r="F22" s="10" t="str">
        <f t="shared" si="2"/>
        <v>Mar</v>
      </c>
      <c r="G22" s="9">
        <f t="shared" si="3"/>
        <v>3</v>
      </c>
      <c r="H22" s="9">
        <f t="shared" si="0"/>
        <v>3</v>
      </c>
      <c r="I22" s="9" t="s">
        <v>32</v>
      </c>
      <c r="J22" s="9" t="s">
        <v>1490</v>
      </c>
      <c r="K22" s="9" t="s">
        <v>1491</v>
      </c>
      <c r="L22" s="9" t="s">
        <v>22</v>
      </c>
      <c r="M22" s="9" t="s">
        <v>23</v>
      </c>
      <c r="N22" s="9" t="s">
        <v>47</v>
      </c>
      <c r="O22" s="9" t="s">
        <v>48</v>
      </c>
      <c r="P22" s="9">
        <v>10024</v>
      </c>
      <c r="Q22" s="9" t="s">
        <v>49</v>
      </c>
      <c r="R22" s="9" t="s">
        <v>1492</v>
      </c>
      <c r="S22" s="9" t="s">
        <v>66</v>
      </c>
      <c r="T22" s="9" t="s">
        <v>201</v>
      </c>
      <c r="U22" s="9" t="s">
        <v>1493</v>
      </c>
      <c r="V22" s="11">
        <v>108.92</v>
      </c>
      <c r="W22" s="9" t="str">
        <f t="shared" si="4"/>
        <v>Fast Delivery</v>
      </c>
    </row>
    <row r="23" spans="1:23" x14ac:dyDescent="0.25">
      <c r="A23" s="9">
        <v>1542</v>
      </c>
      <c r="B23" s="10" t="s">
        <v>1484</v>
      </c>
      <c r="C23" s="10">
        <v>42074</v>
      </c>
      <c r="D23" s="10">
        <v>42079</v>
      </c>
      <c r="E23" s="9">
        <f t="shared" si="1"/>
        <v>2015</v>
      </c>
      <c r="F23" s="10" t="str">
        <f t="shared" si="2"/>
        <v>Mar</v>
      </c>
      <c r="G23" s="9">
        <f t="shared" si="3"/>
        <v>3</v>
      </c>
      <c r="H23" s="9">
        <f t="shared" si="0"/>
        <v>5</v>
      </c>
      <c r="I23" s="9" t="s">
        <v>32</v>
      </c>
      <c r="J23" s="9" t="s">
        <v>1485</v>
      </c>
      <c r="K23" s="9" t="s">
        <v>1486</v>
      </c>
      <c r="L23" s="9" t="s">
        <v>22</v>
      </c>
      <c r="M23" s="9" t="s">
        <v>23</v>
      </c>
      <c r="N23" s="9" t="s">
        <v>249</v>
      </c>
      <c r="O23" s="9" t="s">
        <v>250</v>
      </c>
      <c r="P23" s="9">
        <v>43229</v>
      </c>
      <c r="Q23" s="9" t="s">
        <v>49</v>
      </c>
      <c r="R23" s="9" t="s">
        <v>1487</v>
      </c>
      <c r="S23" s="9" t="s">
        <v>39</v>
      </c>
      <c r="T23" s="9" t="s">
        <v>112</v>
      </c>
      <c r="U23" s="9" t="s">
        <v>1488</v>
      </c>
      <c r="V23" s="11">
        <v>8.32</v>
      </c>
      <c r="W23" s="9" t="str">
        <f t="shared" si="4"/>
        <v>Slow Delivery</v>
      </c>
    </row>
    <row r="24" spans="1:23" x14ac:dyDescent="0.25">
      <c r="A24" s="9">
        <v>7037</v>
      </c>
      <c r="B24" s="10" t="s">
        <v>307</v>
      </c>
      <c r="C24" s="10">
        <v>42126</v>
      </c>
      <c r="D24" s="10">
        <v>42128</v>
      </c>
      <c r="E24" s="9">
        <f t="shared" si="1"/>
        <v>2015</v>
      </c>
      <c r="F24" s="10" t="str">
        <f t="shared" si="2"/>
        <v>May</v>
      </c>
      <c r="G24" s="9">
        <f t="shared" si="3"/>
        <v>5</v>
      </c>
      <c r="H24" s="9">
        <f t="shared" si="0"/>
        <v>2</v>
      </c>
      <c r="I24" s="9" t="s">
        <v>32</v>
      </c>
      <c r="J24" s="9" t="s">
        <v>308</v>
      </c>
      <c r="K24" s="9" t="s">
        <v>309</v>
      </c>
      <c r="L24" s="9" t="s">
        <v>22</v>
      </c>
      <c r="M24" s="9" t="s">
        <v>23</v>
      </c>
      <c r="N24" s="9" t="s">
        <v>310</v>
      </c>
      <c r="O24" s="9" t="s">
        <v>130</v>
      </c>
      <c r="P24" s="9">
        <v>33801</v>
      </c>
      <c r="Q24" s="9" t="s">
        <v>110</v>
      </c>
      <c r="R24" s="9" t="s">
        <v>311</v>
      </c>
      <c r="S24" s="9" t="s">
        <v>28</v>
      </c>
      <c r="T24" s="9" t="s">
        <v>252</v>
      </c>
      <c r="U24" s="9" t="s">
        <v>312</v>
      </c>
      <c r="V24" s="11">
        <v>479.98399999999998</v>
      </c>
      <c r="W24" s="9" t="str">
        <f t="shared" si="4"/>
        <v>Fast Delivery</v>
      </c>
    </row>
    <row r="25" spans="1:23" x14ac:dyDescent="0.25">
      <c r="A25" s="9">
        <v>1460</v>
      </c>
      <c r="B25" s="10" t="s">
        <v>652</v>
      </c>
      <c r="C25" s="10">
        <v>42128</v>
      </c>
      <c r="D25" s="10">
        <v>42128</v>
      </c>
      <c r="E25" s="9">
        <f t="shared" si="1"/>
        <v>2015</v>
      </c>
      <c r="F25" s="10" t="str">
        <f t="shared" si="2"/>
        <v>May</v>
      </c>
      <c r="G25" s="9">
        <f t="shared" si="3"/>
        <v>5</v>
      </c>
      <c r="H25" s="9">
        <f t="shared" si="0"/>
        <v>0</v>
      </c>
      <c r="I25" s="9" t="s">
        <v>302</v>
      </c>
      <c r="J25" s="9" t="s">
        <v>653</v>
      </c>
      <c r="K25" s="9" t="s">
        <v>654</v>
      </c>
      <c r="L25" s="9" t="s">
        <v>22</v>
      </c>
      <c r="M25" s="9" t="s">
        <v>23</v>
      </c>
      <c r="N25" s="9" t="s">
        <v>655</v>
      </c>
      <c r="O25" s="9" t="s">
        <v>656</v>
      </c>
      <c r="P25" s="9">
        <v>6457</v>
      </c>
      <c r="Q25" s="9" t="s">
        <v>49</v>
      </c>
      <c r="R25" s="9" t="s">
        <v>657</v>
      </c>
      <c r="S25" s="9" t="s">
        <v>39</v>
      </c>
      <c r="T25" s="9" t="s">
        <v>112</v>
      </c>
      <c r="U25" s="9" t="s">
        <v>658</v>
      </c>
      <c r="V25" s="11">
        <v>27.46</v>
      </c>
      <c r="W25" s="9" t="str">
        <f t="shared" si="4"/>
        <v>Fast Delivery</v>
      </c>
    </row>
    <row r="26" spans="1:23" x14ac:dyDescent="0.25">
      <c r="A26" s="9">
        <v>3194</v>
      </c>
      <c r="B26" s="10" t="s">
        <v>160</v>
      </c>
      <c r="C26" s="10">
        <v>42248</v>
      </c>
      <c r="D26" s="10">
        <v>42251</v>
      </c>
      <c r="E26" s="9">
        <f t="shared" si="1"/>
        <v>2015</v>
      </c>
      <c r="F26" s="10" t="str">
        <f t="shared" si="2"/>
        <v>Sep</v>
      </c>
      <c r="G26" s="9">
        <f t="shared" si="3"/>
        <v>9</v>
      </c>
      <c r="H26" s="9">
        <f t="shared" si="0"/>
        <v>3</v>
      </c>
      <c r="I26" s="9" t="s">
        <v>19</v>
      </c>
      <c r="J26" s="9" t="s">
        <v>161</v>
      </c>
      <c r="K26" s="9" t="s">
        <v>162</v>
      </c>
      <c r="L26" s="9" t="s">
        <v>22</v>
      </c>
      <c r="M26" s="9" t="s">
        <v>23</v>
      </c>
      <c r="N26" s="9" t="s">
        <v>72</v>
      </c>
      <c r="O26" s="9" t="s">
        <v>64</v>
      </c>
      <c r="P26" s="9">
        <v>77036</v>
      </c>
      <c r="Q26" s="9" t="s">
        <v>26</v>
      </c>
      <c r="R26" s="9" t="s">
        <v>163</v>
      </c>
      <c r="S26" s="9" t="s">
        <v>66</v>
      </c>
      <c r="T26" s="9" t="s">
        <v>103</v>
      </c>
      <c r="U26" s="9" t="s">
        <v>164</v>
      </c>
      <c r="V26" s="11">
        <v>3.6480000000000001</v>
      </c>
      <c r="W26" s="9" t="str">
        <f t="shared" si="4"/>
        <v>Fast Delivery</v>
      </c>
    </row>
    <row r="27" spans="1:23" x14ac:dyDescent="0.25">
      <c r="A27" s="9">
        <v>4404</v>
      </c>
      <c r="B27" s="10" t="s">
        <v>345</v>
      </c>
      <c r="C27" s="10">
        <v>42249</v>
      </c>
      <c r="D27" s="10">
        <v>42251</v>
      </c>
      <c r="E27" s="9">
        <f t="shared" si="1"/>
        <v>2015</v>
      </c>
      <c r="F27" s="10" t="str">
        <f t="shared" si="2"/>
        <v>Sep</v>
      </c>
      <c r="G27" s="9">
        <f t="shared" si="3"/>
        <v>9</v>
      </c>
      <c r="H27" s="9">
        <f t="shared" si="0"/>
        <v>2</v>
      </c>
      <c r="I27" s="9" t="s">
        <v>19</v>
      </c>
      <c r="J27" s="9" t="s">
        <v>346</v>
      </c>
      <c r="K27" s="9" t="s">
        <v>347</v>
      </c>
      <c r="L27" s="9" t="s">
        <v>22</v>
      </c>
      <c r="M27" s="9" t="s">
        <v>23</v>
      </c>
      <c r="N27" s="9" t="s">
        <v>47</v>
      </c>
      <c r="O27" s="9" t="s">
        <v>48</v>
      </c>
      <c r="P27" s="9">
        <v>10009</v>
      </c>
      <c r="Q27" s="9" t="s">
        <v>49</v>
      </c>
      <c r="R27" s="9" t="s">
        <v>348</v>
      </c>
      <c r="S27" s="9" t="s">
        <v>66</v>
      </c>
      <c r="T27" s="9" t="s">
        <v>158</v>
      </c>
      <c r="U27" s="9" t="s">
        <v>349</v>
      </c>
      <c r="V27" s="11">
        <v>21.24</v>
      </c>
      <c r="W27" s="9" t="str">
        <f t="shared" si="4"/>
        <v>Fast Delivery</v>
      </c>
    </row>
    <row r="28" spans="1:23" x14ac:dyDescent="0.25">
      <c r="A28" s="9">
        <v>8398</v>
      </c>
      <c r="B28" s="10" t="s">
        <v>526</v>
      </c>
      <c r="C28" s="10">
        <v>42250</v>
      </c>
      <c r="D28" s="10">
        <v>42251</v>
      </c>
      <c r="E28" s="9">
        <f t="shared" si="1"/>
        <v>2015</v>
      </c>
      <c r="F28" s="10" t="str">
        <f t="shared" si="2"/>
        <v>Sep</v>
      </c>
      <c r="G28" s="9">
        <f t="shared" si="3"/>
        <v>9</v>
      </c>
      <c r="H28" s="9">
        <f t="shared" si="0"/>
        <v>1</v>
      </c>
      <c r="I28" s="9" t="s">
        <v>19</v>
      </c>
      <c r="J28" s="9" t="s">
        <v>527</v>
      </c>
      <c r="K28" s="9" t="s">
        <v>528</v>
      </c>
      <c r="L28" s="9" t="s">
        <v>46</v>
      </c>
      <c r="M28" s="9" t="s">
        <v>23</v>
      </c>
      <c r="N28" s="9" t="s">
        <v>72</v>
      </c>
      <c r="O28" s="9" t="s">
        <v>64</v>
      </c>
      <c r="P28" s="9">
        <v>77095</v>
      </c>
      <c r="Q28" s="9" t="s">
        <v>26</v>
      </c>
      <c r="R28" s="9" t="s">
        <v>529</v>
      </c>
      <c r="S28" s="9" t="s">
        <v>66</v>
      </c>
      <c r="T28" s="9" t="s">
        <v>103</v>
      </c>
      <c r="U28" s="9" t="s">
        <v>530</v>
      </c>
      <c r="V28" s="11">
        <v>7.68</v>
      </c>
      <c r="W28" s="9" t="str">
        <f t="shared" si="4"/>
        <v>Fast Delivery</v>
      </c>
    </row>
    <row r="29" spans="1:23" x14ac:dyDescent="0.25">
      <c r="A29" s="9">
        <v>708</v>
      </c>
      <c r="B29" s="10" t="s">
        <v>416</v>
      </c>
      <c r="C29" s="10">
        <v>42340</v>
      </c>
      <c r="D29" s="10">
        <v>42342</v>
      </c>
      <c r="E29" s="9">
        <f t="shared" si="1"/>
        <v>2015</v>
      </c>
      <c r="F29" s="10" t="str">
        <f t="shared" si="2"/>
        <v>Dec</v>
      </c>
      <c r="G29" s="9">
        <f t="shared" si="3"/>
        <v>12</v>
      </c>
      <c r="H29" s="9">
        <f t="shared" si="0"/>
        <v>2</v>
      </c>
      <c r="I29" s="9" t="s">
        <v>19</v>
      </c>
      <c r="J29" s="9" t="s">
        <v>417</v>
      </c>
      <c r="K29" s="9" t="s">
        <v>418</v>
      </c>
      <c r="L29" s="9" t="s">
        <v>22</v>
      </c>
      <c r="M29" s="9" t="s">
        <v>23</v>
      </c>
      <c r="N29" s="9" t="s">
        <v>47</v>
      </c>
      <c r="O29" s="9" t="s">
        <v>48</v>
      </c>
      <c r="P29" s="9">
        <v>10035</v>
      </c>
      <c r="Q29" s="9" t="s">
        <v>49</v>
      </c>
      <c r="R29" s="9" t="s">
        <v>419</v>
      </c>
      <c r="S29" s="9" t="s">
        <v>28</v>
      </c>
      <c r="T29" s="9" t="s">
        <v>29</v>
      </c>
      <c r="U29" s="9" t="s">
        <v>420</v>
      </c>
      <c r="V29" s="11">
        <v>119.96</v>
      </c>
      <c r="W29" s="9" t="str">
        <f t="shared" si="4"/>
        <v>Fast Delivery</v>
      </c>
    </row>
    <row r="30" spans="1:23" x14ac:dyDescent="0.25">
      <c r="A30" s="9">
        <v>6252</v>
      </c>
      <c r="B30" s="10" t="s">
        <v>432</v>
      </c>
      <c r="C30" s="10">
        <v>42340</v>
      </c>
      <c r="D30" s="10">
        <v>42342</v>
      </c>
      <c r="E30" s="9">
        <f t="shared" si="1"/>
        <v>2015</v>
      </c>
      <c r="F30" s="10" t="str">
        <f t="shared" si="2"/>
        <v>Dec</v>
      </c>
      <c r="G30" s="9">
        <f t="shared" si="3"/>
        <v>12</v>
      </c>
      <c r="H30" s="9">
        <f t="shared" si="0"/>
        <v>2</v>
      </c>
      <c r="I30" s="9" t="s">
        <v>19</v>
      </c>
      <c r="J30" s="9" t="s">
        <v>433</v>
      </c>
      <c r="K30" s="9" t="s">
        <v>434</v>
      </c>
      <c r="L30" s="9" t="s">
        <v>22</v>
      </c>
      <c r="M30" s="9" t="s">
        <v>23</v>
      </c>
      <c r="N30" s="9" t="s">
        <v>199</v>
      </c>
      <c r="O30" s="9" t="s">
        <v>57</v>
      </c>
      <c r="P30" s="9">
        <v>60623</v>
      </c>
      <c r="Q30" s="9" t="s">
        <v>26</v>
      </c>
      <c r="R30" s="9" t="s">
        <v>435</v>
      </c>
      <c r="S30" s="9" t="s">
        <v>66</v>
      </c>
      <c r="T30" s="9" t="s">
        <v>221</v>
      </c>
      <c r="U30" s="9" t="s">
        <v>436</v>
      </c>
      <c r="V30" s="11">
        <v>2.3940000000000001</v>
      </c>
      <c r="W30" s="9" t="str">
        <f t="shared" si="4"/>
        <v>Fast Delivery</v>
      </c>
    </row>
    <row r="31" spans="1:23" x14ac:dyDescent="0.25">
      <c r="A31" s="9">
        <v>6381</v>
      </c>
      <c r="B31" s="10" t="s">
        <v>1160</v>
      </c>
      <c r="C31" s="10">
        <v>42102</v>
      </c>
      <c r="D31" s="10">
        <v>42107</v>
      </c>
      <c r="E31" s="9">
        <f t="shared" si="1"/>
        <v>2015</v>
      </c>
      <c r="F31" s="10" t="str">
        <f t="shared" si="2"/>
        <v>Apr</v>
      </c>
      <c r="G31" s="9">
        <f t="shared" si="3"/>
        <v>4</v>
      </c>
      <c r="H31" s="9">
        <f t="shared" si="0"/>
        <v>5</v>
      </c>
      <c r="I31" s="9" t="s">
        <v>43</v>
      </c>
      <c r="J31" s="9" t="s">
        <v>1161</v>
      </c>
      <c r="K31" s="9" t="s">
        <v>1162</v>
      </c>
      <c r="L31" s="9" t="s">
        <v>46</v>
      </c>
      <c r="M31" s="9" t="s">
        <v>23</v>
      </c>
      <c r="N31" s="9" t="s">
        <v>1163</v>
      </c>
      <c r="O31" s="9" t="s">
        <v>382</v>
      </c>
      <c r="P31" s="9">
        <v>85224</v>
      </c>
      <c r="Q31" s="9" t="s">
        <v>37</v>
      </c>
      <c r="R31" s="9" t="s">
        <v>1164</v>
      </c>
      <c r="S31" s="9" t="s">
        <v>66</v>
      </c>
      <c r="T31" s="9" t="s">
        <v>67</v>
      </c>
      <c r="U31" s="9" t="s">
        <v>1165</v>
      </c>
      <c r="V31" s="11">
        <v>49.792000000000002</v>
      </c>
      <c r="W31" s="9" t="str">
        <f t="shared" si="4"/>
        <v>Slow Delivery</v>
      </c>
    </row>
    <row r="32" spans="1:23" x14ac:dyDescent="0.25">
      <c r="A32" s="9">
        <v>3774</v>
      </c>
      <c r="B32" s="10" t="s">
        <v>1499</v>
      </c>
      <c r="C32" s="10">
        <v>42105</v>
      </c>
      <c r="D32" s="10">
        <v>42107</v>
      </c>
      <c r="E32" s="9">
        <f t="shared" si="1"/>
        <v>2015</v>
      </c>
      <c r="F32" s="10" t="str">
        <f t="shared" si="2"/>
        <v>Apr</v>
      </c>
      <c r="G32" s="9">
        <f t="shared" si="3"/>
        <v>4</v>
      </c>
      <c r="H32" s="9">
        <f t="shared" si="0"/>
        <v>2</v>
      </c>
      <c r="I32" s="9" t="s">
        <v>32</v>
      </c>
      <c r="J32" s="9" t="s">
        <v>1500</v>
      </c>
      <c r="K32" s="9" t="s">
        <v>1501</v>
      </c>
      <c r="L32" s="9" t="s">
        <v>22</v>
      </c>
      <c r="M32" s="9" t="s">
        <v>23</v>
      </c>
      <c r="N32" s="9" t="s">
        <v>1502</v>
      </c>
      <c r="O32" s="9" t="s">
        <v>130</v>
      </c>
      <c r="P32" s="9">
        <v>33180</v>
      </c>
      <c r="Q32" s="9" t="s">
        <v>110</v>
      </c>
      <c r="R32" s="9" t="s">
        <v>1503</v>
      </c>
      <c r="S32" s="9" t="s">
        <v>66</v>
      </c>
      <c r="T32" s="9" t="s">
        <v>67</v>
      </c>
      <c r="U32" s="9" t="s">
        <v>1504</v>
      </c>
      <c r="V32" s="11">
        <v>6.9119999999999999</v>
      </c>
      <c r="W32" s="9" t="str">
        <f t="shared" si="4"/>
        <v>Fast Delivery</v>
      </c>
    </row>
    <row r="33" spans="1:23" x14ac:dyDescent="0.25">
      <c r="A33" s="9">
        <v>3836</v>
      </c>
      <c r="B33" s="10" t="s">
        <v>1150</v>
      </c>
      <c r="C33" s="10">
        <v>42102</v>
      </c>
      <c r="D33" s="10">
        <v>42109</v>
      </c>
      <c r="E33" s="9">
        <f t="shared" si="1"/>
        <v>2015</v>
      </c>
      <c r="F33" s="10" t="str">
        <f t="shared" si="2"/>
        <v>Apr</v>
      </c>
      <c r="G33" s="9">
        <f t="shared" si="3"/>
        <v>4</v>
      </c>
      <c r="H33" s="9">
        <f t="shared" si="0"/>
        <v>7</v>
      </c>
      <c r="I33" s="9" t="s">
        <v>43</v>
      </c>
      <c r="J33" s="9" t="s">
        <v>1151</v>
      </c>
      <c r="K33" s="9" t="s">
        <v>1152</v>
      </c>
      <c r="L33" s="9" t="s">
        <v>87</v>
      </c>
      <c r="M33" s="9" t="s">
        <v>23</v>
      </c>
      <c r="N33" s="9" t="s">
        <v>518</v>
      </c>
      <c r="O33" s="9" t="s">
        <v>382</v>
      </c>
      <c r="P33" s="9">
        <v>85301</v>
      </c>
      <c r="Q33" s="9" t="s">
        <v>37</v>
      </c>
      <c r="R33" s="9" t="s">
        <v>1153</v>
      </c>
      <c r="S33" s="9" t="s">
        <v>66</v>
      </c>
      <c r="T33" s="9" t="s">
        <v>67</v>
      </c>
      <c r="U33" s="9" t="s">
        <v>1154</v>
      </c>
      <c r="V33" s="11">
        <v>2.3679999999999999</v>
      </c>
      <c r="W33" s="9" t="str">
        <f t="shared" si="4"/>
        <v>Slow Delivery</v>
      </c>
    </row>
    <row r="34" spans="1:23" x14ac:dyDescent="0.25">
      <c r="A34" s="9">
        <v>4578</v>
      </c>
      <c r="B34" s="10" t="s">
        <v>1505</v>
      </c>
      <c r="C34" s="10">
        <v>42105</v>
      </c>
      <c r="D34" s="10">
        <v>42110</v>
      </c>
      <c r="E34" s="9">
        <f t="shared" si="1"/>
        <v>2015</v>
      </c>
      <c r="F34" s="10" t="str">
        <f t="shared" si="2"/>
        <v>Apr</v>
      </c>
      <c r="G34" s="9">
        <f t="shared" si="3"/>
        <v>4</v>
      </c>
      <c r="H34" s="9">
        <f t="shared" si="0"/>
        <v>5</v>
      </c>
      <c r="I34" s="9" t="s">
        <v>43</v>
      </c>
      <c r="J34" s="9" t="s">
        <v>1506</v>
      </c>
      <c r="K34" s="9" t="s">
        <v>1507</v>
      </c>
      <c r="L34" s="9" t="s">
        <v>22</v>
      </c>
      <c r="M34" s="9" t="s">
        <v>23</v>
      </c>
      <c r="N34" s="9" t="s">
        <v>1508</v>
      </c>
      <c r="O34" s="9" t="s">
        <v>1468</v>
      </c>
      <c r="P34" s="9">
        <v>83501</v>
      </c>
      <c r="Q34" s="9" t="s">
        <v>37</v>
      </c>
      <c r="R34" s="9" t="s">
        <v>1509</v>
      </c>
      <c r="S34" s="9" t="s">
        <v>66</v>
      </c>
      <c r="T34" s="9" t="s">
        <v>103</v>
      </c>
      <c r="U34" s="9" t="s">
        <v>1510</v>
      </c>
      <c r="V34" s="11">
        <v>9.5839999999999996</v>
      </c>
      <c r="W34" s="9" t="str">
        <f t="shared" si="4"/>
        <v>Slow Delivery</v>
      </c>
    </row>
    <row r="35" spans="1:23" x14ac:dyDescent="0.25">
      <c r="A35" s="9">
        <v>4862</v>
      </c>
      <c r="B35" s="10" t="s">
        <v>1511</v>
      </c>
      <c r="C35" s="10">
        <v>42105</v>
      </c>
      <c r="D35" s="10">
        <v>42110</v>
      </c>
      <c r="E35" s="9">
        <f t="shared" si="1"/>
        <v>2015</v>
      </c>
      <c r="F35" s="10" t="str">
        <f t="shared" si="2"/>
        <v>Apr</v>
      </c>
      <c r="G35" s="9">
        <f t="shared" si="3"/>
        <v>4</v>
      </c>
      <c r="H35" s="9">
        <f t="shared" si="0"/>
        <v>5</v>
      </c>
      <c r="I35" s="9" t="s">
        <v>32</v>
      </c>
      <c r="J35" s="9" t="s">
        <v>1512</v>
      </c>
      <c r="K35" s="9" t="s">
        <v>1513</v>
      </c>
      <c r="L35" s="9" t="s">
        <v>46</v>
      </c>
      <c r="M35" s="9" t="s">
        <v>23</v>
      </c>
      <c r="N35" s="9" t="s">
        <v>1514</v>
      </c>
      <c r="O35" s="9" t="s">
        <v>64</v>
      </c>
      <c r="P35" s="9">
        <v>78745</v>
      </c>
      <c r="Q35" s="9" t="s">
        <v>26</v>
      </c>
      <c r="R35" s="9" t="s">
        <v>1515</v>
      </c>
      <c r="S35" s="9" t="s">
        <v>28</v>
      </c>
      <c r="T35" s="9" t="s">
        <v>51</v>
      </c>
      <c r="U35" s="9" t="s">
        <v>1516</v>
      </c>
      <c r="V35" s="11">
        <v>758.35199999999998</v>
      </c>
      <c r="W35" s="9" t="str">
        <f t="shared" si="4"/>
        <v>Slow Delivery</v>
      </c>
    </row>
    <row r="36" spans="1:23" x14ac:dyDescent="0.25">
      <c r="A36" s="9">
        <v>2794</v>
      </c>
      <c r="B36" s="10" t="s">
        <v>1624</v>
      </c>
      <c r="C36" s="10">
        <v>42106</v>
      </c>
      <c r="D36" s="10">
        <v>42111</v>
      </c>
      <c r="E36" s="9">
        <f t="shared" si="1"/>
        <v>2015</v>
      </c>
      <c r="F36" s="10" t="str">
        <f t="shared" si="2"/>
        <v>Apr</v>
      </c>
      <c r="G36" s="9">
        <f t="shared" si="3"/>
        <v>4</v>
      </c>
      <c r="H36" s="9">
        <f t="shared" si="0"/>
        <v>5</v>
      </c>
      <c r="I36" s="9" t="s">
        <v>43</v>
      </c>
      <c r="J36" s="9" t="s">
        <v>1625</v>
      </c>
      <c r="K36" s="9" t="s">
        <v>1626</v>
      </c>
      <c r="L36" s="9" t="s">
        <v>87</v>
      </c>
      <c r="M36" s="9" t="s">
        <v>23</v>
      </c>
      <c r="N36" s="9" t="s">
        <v>1596</v>
      </c>
      <c r="O36" s="9" t="s">
        <v>80</v>
      </c>
      <c r="P36" s="9">
        <v>90278</v>
      </c>
      <c r="Q36" s="9" t="s">
        <v>37</v>
      </c>
      <c r="R36" s="9" t="s">
        <v>1627</v>
      </c>
      <c r="S36" s="9" t="s">
        <v>28</v>
      </c>
      <c r="T36" s="9" t="s">
        <v>51</v>
      </c>
      <c r="U36" s="9" t="s">
        <v>1628</v>
      </c>
      <c r="V36" s="11">
        <v>1075.088</v>
      </c>
      <c r="W36" s="9" t="str">
        <f t="shared" si="4"/>
        <v>Slow Delivery</v>
      </c>
    </row>
    <row r="37" spans="1:23" x14ac:dyDescent="0.25">
      <c r="A37" s="9">
        <v>8358</v>
      </c>
      <c r="B37" s="10" t="s">
        <v>1517</v>
      </c>
      <c r="C37" s="10">
        <v>42105</v>
      </c>
      <c r="D37" s="10">
        <v>42112</v>
      </c>
      <c r="E37" s="9">
        <f t="shared" si="1"/>
        <v>2015</v>
      </c>
      <c r="F37" s="10" t="str">
        <f t="shared" si="2"/>
        <v>Apr</v>
      </c>
      <c r="G37" s="9">
        <f t="shared" si="3"/>
        <v>4</v>
      </c>
      <c r="H37" s="9">
        <f t="shared" si="0"/>
        <v>7</v>
      </c>
      <c r="I37" s="9" t="s">
        <v>43</v>
      </c>
      <c r="J37" s="9" t="s">
        <v>1518</v>
      </c>
      <c r="K37" s="9" t="s">
        <v>1519</v>
      </c>
      <c r="L37" s="9" t="s">
        <v>22</v>
      </c>
      <c r="M37" s="9" t="s">
        <v>23</v>
      </c>
      <c r="N37" s="9" t="s">
        <v>1520</v>
      </c>
      <c r="O37" s="9" t="s">
        <v>1521</v>
      </c>
      <c r="P37" s="9">
        <v>59405</v>
      </c>
      <c r="Q37" s="9" t="s">
        <v>37</v>
      </c>
      <c r="R37" s="9" t="s">
        <v>1522</v>
      </c>
      <c r="S37" s="9" t="s">
        <v>66</v>
      </c>
      <c r="T37" s="9" t="s">
        <v>74</v>
      </c>
      <c r="U37" s="9" t="s">
        <v>1523</v>
      </c>
      <c r="V37" s="11">
        <v>87.08</v>
      </c>
      <c r="W37" s="9" t="str">
        <f t="shared" si="4"/>
        <v>Slow Delivery</v>
      </c>
    </row>
    <row r="38" spans="1:23" x14ac:dyDescent="0.25">
      <c r="A38" s="9">
        <v>5714</v>
      </c>
      <c r="B38" s="10" t="s">
        <v>42</v>
      </c>
      <c r="C38" s="10">
        <v>42064</v>
      </c>
      <c r="D38" s="10">
        <v>42068</v>
      </c>
      <c r="E38" s="9">
        <f t="shared" si="1"/>
        <v>2015</v>
      </c>
      <c r="F38" s="10" t="str">
        <f t="shared" si="2"/>
        <v>Mar</v>
      </c>
      <c r="G38" s="9">
        <f t="shared" si="3"/>
        <v>3</v>
      </c>
      <c r="H38" s="9">
        <f t="shared" si="0"/>
        <v>4</v>
      </c>
      <c r="I38" s="9" t="s">
        <v>43</v>
      </c>
      <c r="J38" s="9" t="s">
        <v>44</v>
      </c>
      <c r="K38" s="9" t="s">
        <v>45</v>
      </c>
      <c r="L38" s="9" t="s">
        <v>46</v>
      </c>
      <c r="M38" s="9" t="s">
        <v>23</v>
      </c>
      <c r="N38" s="9" t="s">
        <v>47</v>
      </c>
      <c r="O38" s="9" t="s">
        <v>48</v>
      </c>
      <c r="P38" s="9">
        <v>10035</v>
      </c>
      <c r="Q38" s="9" t="s">
        <v>49</v>
      </c>
      <c r="R38" s="9" t="s">
        <v>50</v>
      </c>
      <c r="S38" s="9" t="s">
        <v>28</v>
      </c>
      <c r="T38" s="9" t="s">
        <v>51</v>
      </c>
      <c r="U38" s="9" t="s">
        <v>52</v>
      </c>
      <c r="V38" s="11">
        <v>5.94</v>
      </c>
      <c r="W38" s="9" t="str">
        <f t="shared" si="4"/>
        <v>Slow Delivery</v>
      </c>
    </row>
    <row r="39" spans="1:23" x14ac:dyDescent="0.25">
      <c r="A39" s="9">
        <v>6548</v>
      </c>
      <c r="B39" s="10" t="s">
        <v>53</v>
      </c>
      <c r="C39" s="10">
        <v>42064</v>
      </c>
      <c r="D39" s="10">
        <v>42068</v>
      </c>
      <c r="E39" s="9">
        <f t="shared" si="1"/>
        <v>2015</v>
      </c>
      <c r="F39" s="10" t="str">
        <f t="shared" si="2"/>
        <v>Mar</v>
      </c>
      <c r="G39" s="9">
        <f t="shared" si="3"/>
        <v>3</v>
      </c>
      <c r="H39" s="9">
        <f t="shared" si="0"/>
        <v>4</v>
      </c>
      <c r="I39" s="9" t="s">
        <v>43</v>
      </c>
      <c r="J39" s="9" t="s">
        <v>54</v>
      </c>
      <c r="K39" s="9" t="s">
        <v>55</v>
      </c>
      <c r="L39" s="9" t="s">
        <v>46</v>
      </c>
      <c r="M39" s="9" t="s">
        <v>23</v>
      </c>
      <c r="N39" s="9" t="s">
        <v>56</v>
      </c>
      <c r="O39" s="9" t="s">
        <v>57</v>
      </c>
      <c r="P39" s="9">
        <v>60126</v>
      </c>
      <c r="Q39" s="9" t="s">
        <v>26</v>
      </c>
      <c r="R39" s="9" t="s">
        <v>58</v>
      </c>
      <c r="S39" s="9" t="s">
        <v>39</v>
      </c>
      <c r="T39" s="9" t="s">
        <v>40</v>
      </c>
      <c r="U39" s="9" t="s">
        <v>59</v>
      </c>
      <c r="V39" s="11">
        <v>634.11599999999999</v>
      </c>
      <c r="W39" s="9" t="str">
        <f t="shared" si="4"/>
        <v>Slow Delivery</v>
      </c>
    </row>
    <row r="40" spans="1:23" x14ac:dyDescent="0.25">
      <c r="A40" s="9">
        <v>7948</v>
      </c>
      <c r="B40" s="10" t="s">
        <v>60</v>
      </c>
      <c r="C40" s="10">
        <v>42064</v>
      </c>
      <c r="D40" s="10">
        <v>42068</v>
      </c>
      <c r="E40" s="9">
        <f t="shared" si="1"/>
        <v>2015</v>
      </c>
      <c r="F40" s="10" t="str">
        <f t="shared" si="2"/>
        <v>Mar</v>
      </c>
      <c r="G40" s="9">
        <f t="shared" si="3"/>
        <v>3</v>
      </c>
      <c r="H40" s="9">
        <f t="shared" si="0"/>
        <v>4</v>
      </c>
      <c r="I40" s="9" t="s">
        <v>43</v>
      </c>
      <c r="J40" s="9" t="s">
        <v>61</v>
      </c>
      <c r="K40" s="9" t="s">
        <v>62</v>
      </c>
      <c r="L40" s="9" t="s">
        <v>22</v>
      </c>
      <c r="M40" s="9" t="s">
        <v>23</v>
      </c>
      <c r="N40" s="9" t="s">
        <v>63</v>
      </c>
      <c r="O40" s="9" t="s">
        <v>64</v>
      </c>
      <c r="P40" s="9">
        <v>79907</v>
      </c>
      <c r="Q40" s="9" t="s">
        <v>26</v>
      </c>
      <c r="R40" s="9" t="s">
        <v>65</v>
      </c>
      <c r="S40" s="9" t="s">
        <v>66</v>
      </c>
      <c r="T40" s="9" t="s">
        <v>67</v>
      </c>
      <c r="U40" s="9" t="s">
        <v>68</v>
      </c>
      <c r="V40" s="11">
        <v>18.84</v>
      </c>
      <c r="W40" s="9" t="str">
        <f t="shared" si="4"/>
        <v>Slow Delivery</v>
      </c>
    </row>
    <row r="41" spans="1:23" x14ac:dyDescent="0.25">
      <c r="A41" s="9">
        <v>4845</v>
      </c>
      <c r="B41" s="10" t="s">
        <v>634</v>
      </c>
      <c r="C41" s="10">
        <v>42098</v>
      </c>
      <c r="D41" s="10">
        <v>42099</v>
      </c>
      <c r="E41" s="9">
        <f t="shared" si="1"/>
        <v>2015</v>
      </c>
      <c r="F41" s="10" t="str">
        <f t="shared" si="2"/>
        <v>Apr</v>
      </c>
      <c r="G41" s="9">
        <f t="shared" si="3"/>
        <v>4</v>
      </c>
      <c r="H41" s="9">
        <f t="shared" si="0"/>
        <v>1</v>
      </c>
      <c r="I41" s="9" t="s">
        <v>19</v>
      </c>
      <c r="J41" s="9" t="s">
        <v>635</v>
      </c>
      <c r="K41" s="9" t="s">
        <v>636</v>
      </c>
      <c r="L41" s="9" t="s">
        <v>87</v>
      </c>
      <c r="M41" s="9" t="s">
        <v>23</v>
      </c>
      <c r="N41" s="9" t="s">
        <v>213</v>
      </c>
      <c r="O41" s="9" t="s">
        <v>80</v>
      </c>
      <c r="P41" s="9">
        <v>90008</v>
      </c>
      <c r="Q41" s="9" t="s">
        <v>37</v>
      </c>
      <c r="R41" s="9" t="s">
        <v>637</v>
      </c>
      <c r="S41" s="9" t="s">
        <v>66</v>
      </c>
      <c r="T41" s="9" t="s">
        <v>103</v>
      </c>
      <c r="U41" s="9" t="s">
        <v>638</v>
      </c>
      <c r="V41" s="11">
        <v>7.1840000000000002</v>
      </c>
      <c r="W41" s="9" t="str">
        <f t="shared" si="4"/>
        <v>Fast Delivery</v>
      </c>
    </row>
    <row r="42" spans="1:23" x14ac:dyDescent="0.25">
      <c r="A42" s="9">
        <v>1553</v>
      </c>
      <c r="B42" s="10" t="s">
        <v>482</v>
      </c>
      <c r="C42" s="10">
        <v>42127</v>
      </c>
      <c r="D42" s="10">
        <v>42129</v>
      </c>
      <c r="E42" s="9">
        <f t="shared" si="1"/>
        <v>2015</v>
      </c>
      <c r="F42" s="10" t="str">
        <f t="shared" si="2"/>
        <v>May</v>
      </c>
      <c r="G42" s="9">
        <f t="shared" si="3"/>
        <v>5</v>
      </c>
      <c r="H42" s="9">
        <f t="shared" si="0"/>
        <v>2</v>
      </c>
      <c r="I42" s="9" t="s">
        <v>19</v>
      </c>
      <c r="J42" s="9" t="s">
        <v>483</v>
      </c>
      <c r="K42" s="9" t="s">
        <v>484</v>
      </c>
      <c r="L42" s="9" t="s">
        <v>46</v>
      </c>
      <c r="M42" s="9" t="s">
        <v>23</v>
      </c>
      <c r="N42" s="9" t="s">
        <v>485</v>
      </c>
      <c r="O42" s="9" t="s">
        <v>25</v>
      </c>
      <c r="P42" s="9">
        <v>54915</v>
      </c>
      <c r="Q42" s="9" t="s">
        <v>26</v>
      </c>
      <c r="R42" s="9" t="s">
        <v>486</v>
      </c>
      <c r="S42" s="9" t="s">
        <v>66</v>
      </c>
      <c r="T42" s="9" t="s">
        <v>82</v>
      </c>
      <c r="U42" s="9" t="s">
        <v>487</v>
      </c>
      <c r="V42" s="11">
        <v>21.56</v>
      </c>
      <c r="W42" s="9" t="str">
        <f t="shared" si="4"/>
        <v>Fast Delivery</v>
      </c>
    </row>
    <row r="43" spans="1:23" x14ac:dyDescent="0.25">
      <c r="A43" s="9">
        <v>7296</v>
      </c>
      <c r="B43" s="10" t="s">
        <v>659</v>
      </c>
      <c r="C43" s="10">
        <v>42128</v>
      </c>
      <c r="D43" s="10">
        <v>42129</v>
      </c>
      <c r="E43" s="9">
        <f t="shared" si="1"/>
        <v>2015</v>
      </c>
      <c r="F43" s="10" t="str">
        <f t="shared" si="2"/>
        <v>May</v>
      </c>
      <c r="G43" s="9">
        <f t="shared" si="3"/>
        <v>5</v>
      </c>
      <c r="H43" s="9">
        <f t="shared" si="0"/>
        <v>1</v>
      </c>
      <c r="I43" s="9" t="s">
        <v>19</v>
      </c>
      <c r="J43" s="9" t="s">
        <v>660</v>
      </c>
      <c r="K43" s="9" t="s">
        <v>661</v>
      </c>
      <c r="L43" s="9" t="s">
        <v>22</v>
      </c>
      <c r="M43" s="9" t="s">
        <v>23</v>
      </c>
      <c r="N43" s="9" t="s">
        <v>72</v>
      </c>
      <c r="O43" s="9" t="s">
        <v>64</v>
      </c>
      <c r="P43" s="9">
        <v>77036</v>
      </c>
      <c r="Q43" s="9" t="s">
        <v>26</v>
      </c>
      <c r="R43" s="9" t="s">
        <v>662</v>
      </c>
      <c r="S43" s="9" t="s">
        <v>66</v>
      </c>
      <c r="T43" s="9" t="s">
        <v>158</v>
      </c>
      <c r="U43" s="9" t="s">
        <v>663</v>
      </c>
      <c r="V43" s="11">
        <v>37.840000000000003</v>
      </c>
      <c r="W43" s="9" t="str">
        <f t="shared" si="4"/>
        <v>Fast Delivery</v>
      </c>
    </row>
    <row r="44" spans="1:23" x14ac:dyDescent="0.25">
      <c r="A44" s="9">
        <v>1319</v>
      </c>
      <c r="B44" s="10" t="s">
        <v>126</v>
      </c>
      <c r="C44" s="10">
        <v>42186</v>
      </c>
      <c r="D44" s="10">
        <v>42190</v>
      </c>
      <c r="E44" s="9">
        <f t="shared" si="1"/>
        <v>2015</v>
      </c>
      <c r="F44" s="10" t="str">
        <f t="shared" si="2"/>
        <v>Jul</v>
      </c>
      <c r="G44" s="9">
        <f t="shared" si="3"/>
        <v>7</v>
      </c>
      <c r="H44" s="9">
        <f t="shared" si="0"/>
        <v>4</v>
      </c>
      <c r="I44" s="9" t="s">
        <v>43</v>
      </c>
      <c r="J44" s="9" t="s">
        <v>127</v>
      </c>
      <c r="K44" s="9" t="s">
        <v>128</v>
      </c>
      <c r="L44" s="9" t="s">
        <v>87</v>
      </c>
      <c r="M44" s="9" t="s">
        <v>23</v>
      </c>
      <c r="N44" s="9" t="s">
        <v>129</v>
      </c>
      <c r="O44" s="9" t="s">
        <v>130</v>
      </c>
      <c r="P44" s="9">
        <v>32725</v>
      </c>
      <c r="Q44" s="9" t="s">
        <v>110</v>
      </c>
      <c r="R44" s="9" t="s">
        <v>131</v>
      </c>
      <c r="S44" s="9" t="s">
        <v>28</v>
      </c>
      <c r="T44" s="9" t="s">
        <v>51</v>
      </c>
      <c r="U44" s="9" t="s">
        <v>132</v>
      </c>
      <c r="V44" s="11">
        <v>575.91999999999996</v>
      </c>
      <c r="W44" s="9" t="str">
        <f t="shared" si="4"/>
        <v>Slow Delivery</v>
      </c>
    </row>
    <row r="45" spans="1:23" x14ac:dyDescent="0.25">
      <c r="A45" s="9">
        <v>1356</v>
      </c>
      <c r="B45" s="10" t="s">
        <v>799</v>
      </c>
      <c r="C45" s="10">
        <v>42190</v>
      </c>
      <c r="D45" s="10">
        <v>42190</v>
      </c>
      <c r="E45" s="9">
        <f t="shared" si="1"/>
        <v>2015</v>
      </c>
      <c r="F45" s="10" t="str">
        <f t="shared" si="2"/>
        <v>Jul</v>
      </c>
      <c r="G45" s="9">
        <f t="shared" si="3"/>
        <v>7</v>
      </c>
      <c r="H45" s="9">
        <f t="shared" si="0"/>
        <v>0</v>
      </c>
      <c r="I45" s="9" t="s">
        <v>302</v>
      </c>
      <c r="J45" s="9" t="s">
        <v>800</v>
      </c>
      <c r="K45" s="9" t="s">
        <v>801</v>
      </c>
      <c r="L45" s="9" t="s">
        <v>22</v>
      </c>
      <c r="M45" s="9" t="s">
        <v>23</v>
      </c>
      <c r="N45" s="9" t="s">
        <v>72</v>
      </c>
      <c r="O45" s="9" t="s">
        <v>64</v>
      </c>
      <c r="P45" s="9">
        <v>77036</v>
      </c>
      <c r="Q45" s="9" t="s">
        <v>26</v>
      </c>
      <c r="R45" s="9" t="s">
        <v>802</v>
      </c>
      <c r="S45" s="9" t="s">
        <v>66</v>
      </c>
      <c r="T45" s="9" t="s">
        <v>74</v>
      </c>
      <c r="U45" s="9" t="s">
        <v>803</v>
      </c>
      <c r="V45" s="11">
        <v>220.77600000000001</v>
      </c>
      <c r="W45" s="9" t="str">
        <f t="shared" si="4"/>
        <v>Fast Delivery</v>
      </c>
    </row>
    <row r="46" spans="1:23" x14ac:dyDescent="0.25">
      <c r="A46" s="9">
        <v>1838</v>
      </c>
      <c r="B46" s="10" t="s">
        <v>133</v>
      </c>
      <c r="C46" s="10">
        <v>42217</v>
      </c>
      <c r="D46" s="10">
        <v>42221</v>
      </c>
      <c r="E46" s="9">
        <f t="shared" si="1"/>
        <v>2015</v>
      </c>
      <c r="F46" s="10" t="str">
        <f t="shared" si="2"/>
        <v>Aug</v>
      </c>
      <c r="G46" s="9">
        <f t="shared" si="3"/>
        <v>8</v>
      </c>
      <c r="H46" s="9">
        <f t="shared" si="0"/>
        <v>4</v>
      </c>
      <c r="I46" s="9" t="s">
        <v>43</v>
      </c>
      <c r="J46" s="9" t="s">
        <v>134</v>
      </c>
      <c r="K46" s="9" t="s">
        <v>135</v>
      </c>
      <c r="L46" s="9" t="s">
        <v>87</v>
      </c>
      <c r="M46" s="9" t="s">
        <v>23</v>
      </c>
      <c r="N46" s="9" t="s">
        <v>136</v>
      </c>
      <c r="O46" s="9" t="s">
        <v>137</v>
      </c>
      <c r="P46" s="9">
        <v>28205</v>
      </c>
      <c r="Q46" s="9" t="s">
        <v>110</v>
      </c>
      <c r="R46" s="9" t="s">
        <v>138</v>
      </c>
      <c r="S46" s="9" t="s">
        <v>66</v>
      </c>
      <c r="T46" s="9" t="s">
        <v>82</v>
      </c>
      <c r="U46" s="9" t="s">
        <v>139</v>
      </c>
      <c r="V46" s="11">
        <v>17.544</v>
      </c>
      <c r="W46" s="9" t="str">
        <f t="shared" si="4"/>
        <v>Slow Delivery</v>
      </c>
    </row>
    <row r="47" spans="1:23" x14ac:dyDescent="0.25">
      <c r="A47" s="9">
        <v>202</v>
      </c>
      <c r="B47" s="10" t="s">
        <v>505</v>
      </c>
      <c r="C47" s="10">
        <v>42219</v>
      </c>
      <c r="D47" s="10">
        <v>42221</v>
      </c>
      <c r="E47" s="9">
        <f t="shared" si="1"/>
        <v>2015</v>
      </c>
      <c r="F47" s="10" t="str">
        <f t="shared" si="2"/>
        <v>Aug</v>
      </c>
      <c r="G47" s="9">
        <f t="shared" si="3"/>
        <v>8</v>
      </c>
      <c r="H47" s="9">
        <f t="shared" si="0"/>
        <v>2</v>
      </c>
      <c r="I47" s="9" t="s">
        <v>19</v>
      </c>
      <c r="J47" s="9" t="s">
        <v>506</v>
      </c>
      <c r="K47" s="9" t="s">
        <v>507</v>
      </c>
      <c r="L47" s="9" t="s">
        <v>22</v>
      </c>
      <c r="M47" s="9" t="s">
        <v>23</v>
      </c>
      <c r="N47" s="9" t="s">
        <v>180</v>
      </c>
      <c r="O47" s="9" t="s">
        <v>181</v>
      </c>
      <c r="P47" s="9">
        <v>80219</v>
      </c>
      <c r="Q47" s="9" t="s">
        <v>37</v>
      </c>
      <c r="R47" s="9" t="s">
        <v>508</v>
      </c>
      <c r="S47" s="9" t="s">
        <v>39</v>
      </c>
      <c r="T47" s="9" t="s">
        <v>480</v>
      </c>
      <c r="U47" s="9" t="s">
        <v>509</v>
      </c>
      <c r="V47" s="11">
        <v>218.75</v>
      </c>
      <c r="W47" s="9" t="str">
        <f t="shared" si="4"/>
        <v>Fast Delivery</v>
      </c>
    </row>
    <row r="48" spans="1:23" x14ac:dyDescent="0.25">
      <c r="A48" s="9">
        <v>3156</v>
      </c>
      <c r="B48" s="10" t="s">
        <v>515</v>
      </c>
      <c r="C48" s="10">
        <v>42219</v>
      </c>
      <c r="D48" s="10">
        <v>42221</v>
      </c>
      <c r="E48" s="9">
        <f t="shared" si="1"/>
        <v>2015</v>
      </c>
      <c r="F48" s="10" t="str">
        <f t="shared" si="2"/>
        <v>Aug</v>
      </c>
      <c r="G48" s="9">
        <f t="shared" si="3"/>
        <v>8</v>
      </c>
      <c r="H48" s="9">
        <f t="shared" si="0"/>
        <v>2</v>
      </c>
      <c r="I48" s="9" t="s">
        <v>32</v>
      </c>
      <c r="J48" s="9" t="s">
        <v>516</v>
      </c>
      <c r="K48" s="9" t="s">
        <v>517</v>
      </c>
      <c r="L48" s="9" t="s">
        <v>46</v>
      </c>
      <c r="M48" s="9" t="s">
        <v>23</v>
      </c>
      <c r="N48" s="9" t="s">
        <v>518</v>
      </c>
      <c r="O48" s="9" t="s">
        <v>382</v>
      </c>
      <c r="P48" s="9">
        <v>85301</v>
      </c>
      <c r="Q48" s="9" t="s">
        <v>37</v>
      </c>
      <c r="R48" s="9" t="s">
        <v>519</v>
      </c>
      <c r="S48" s="9" t="s">
        <v>66</v>
      </c>
      <c r="T48" s="9" t="s">
        <v>201</v>
      </c>
      <c r="U48" s="9" t="s">
        <v>520</v>
      </c>
      <c r="V48" s="11">
        <v>93.024000000000001</v>
      </c>
      <c r="W48" s="9" t="str">
        <f t="shared" si="4"/>
        <v>Fast Delivery</v>
      </c>
    </row>
    <row r="49" spans="1:23" x14ac:dyDescent="0.25">
      <c r="A49" s="9">
        <v>1162</v>
      </c>
      <c r="B49" s="10" t="s">
        <v>153</v>
      </c>
      <c r="C49" s="10">
        <v>42248</v>
      </c>
      <c r="D49" s="10">
        <v>42252</v>
      </c>
      <c r="E49" s="9">
        <f t="shared" si="1"/>
        <v>2015</v>
      </c>
      <c r="F49" s="10" t="str">
        <f t="shared" si="2"/>
        <v>Sep</v>
      </c>
      <c r="G49" s="9">
        <f t="shared" si="3"/>
        <v>9</v>
      </c>
      <c r="H49" s="9">
        <f t="shared" si="0"/>
        <v>4</v>
      </c>
      <c r="I49" s="9" t="s">
        <v>32</v>
      </c>
      <c r="J49" s="9" t="s">
        <v>154</v>
      </c>
      <c r="K49" s="9" t="s">
        <v>155</v>
      </c>
      <c r="L49" s="9" t="s">
        <v>22</v>
      </c>
      <c r="M49" s="9" t="s">
        <v>23</v>
      </c>
      <c r="N49" s="9" t="s">
        <v>156</v>
      </c>
      <c r="O49" s="9" t="s">
        <v>80</v>
      </c>
      <c r="P49" s="9">
        <v>92025</v>
      </c>
      <c r="Q49" s="9" t="s">
        <v>37</v>
      </c>
      <c r="R49" s="9" t="s">
        <v>157</v>
      </c>
      <c r="S49" s="9" t="s">
        <v>66</v>
      </c>
      <c r="T49" s="9" t="s">
        <v>158</v>
      </c>
      <c r="U49" s="9" t="s">
        <v>159</v>
      </c>
      <c r="V49" s="11">
        <v>53.94</v>
      </c>
      <c r="W49" s="9" t="str">
        <f t="shared" si="4"/>
        <v>Slow Delivery</v>
      </c>
    </row>
    <row r="50" spans="1:23" x14ac:dyDescent="0.25">
      <c r="A50" s="9">
        <v>8242</v>
      </c>
      <c r="B50" s="10" t="s">
        <v>165</v>
      </c>
      <c r="C50" s="10">
        <v>42248</v>
      </c>
      <c r="D50" s="10">
        <v>42252</v>
      </c>
      <c r="E50" s="9">
        <f t="shared" si="1"/>
        <v>2015</v>
      </c>
      <c r="F50" s="10" t="str">
        <f t="shared" si="2"/>
        <v>Sep</v>
      </c>
      <c r="G50" s="9">
        <f t="shared" si="3"/>
        <v>9</v>
      </c>
      <c r="H50" s="9">
        <f t="shared" si="0"/>
        <v>4</v>
      </c>
      <c r="I50" s="9" t="s">
        <v>43</v>
      </c>
      <c r="J50" s="9" t="s">
        <v>166</v>
      </c>
      <c r="K50" s="9" t="s">
        <v>167</v>
      </c>
      <c r="L50" s="9" t="s">
        <v>22</v>
      </c>
      <c r="M50" s="9" t="s">
        <v>23</v>
      </c>
      <c r="N50" s="9" t="s">
        <v>47</v>
      </c>
      <c r="O50" s="9" t="s">
        <v>48</v>
      </c>
      <c r="P50" s="9">
        <v>10009</v>
      </c>
      <c r="Q50" s="9" t="s">
        <v>49</v>
      </c>
      <c r="R50" s="9" t="s">
        <v>168</v>
      </c>
      <c r="S50" s="9" t="s">
        <v>66</v>
      </c>
      <c r="T50" s="9" t="s">
        <v>103</v>
      </c>
      <c r="U50" s="9" t="s">
        <v>169</v>
      </c>
      <c r="V50" s="11">
        <v>23.744</v>
      </c>
      <c r="W50" s="9" t="str">
        <f t="shared" si="4"/>
        <v>Slow Delivery</v>
      </c>
    </row>
    <row r="51" spans="1:23" x14ac:dyDescent="0.25">
      <c r="A51" s="9">
        <v>2925</v>
      </c>
      <c r="B51" s="10" t="s">
        <v>339</v>
      </c>
      <c r="C51" s="10">
        <v>42249</v>
      </c>
      <c r="D51" s="10">
        <v>42252</v>
      </c>
      <c r="E51" s="9">
        <f t="shared" si="1"/>
        <v>2015</v>
      </c>
      <c r="F51" s="10" t="str">
        <f t="shared" si="2"/>
        <v>Sep</v>
      </c>
      <c r="G51" s="9">
        <f t="shared" si="3"/>
        <v>9</v>
      </c>
      <c r="H51" s="9">
        <f t="shared" si="0"/>
        <v>3</v>
      </c>
      <c r="I51" s="9" t="s">
        <v>19</v>
      </c>
      <c r="J51" s="9" t="s">
        <v>340</v>
      </c>
      <c r="K51" s="9" t="s">
        <v>341</v>
      </c>
      <c r="L51" s="9" t="s">
        <v>22</v>
      </c>
      <c r="M51" s="9" t="s">
        <v>23</v>
      </c>
      <c r="N51" s="9" t="s">
        <v>342</v>
      </c>
      <c r="O51" s="9" t="s">
        <v>48</v>
      </c>
      <c r="P51" s="9">
        <v>13601</v>
      </c>
      <c r="Q51" s="9" t="s">
        <v>49</v>
      </c>
      <c r="R51" s="9" t="s">
        <v>343</v>
      </c>
      <c r="S51" s="9" t="s">
        <v>66</v>
      </c>
      <c r="T51" s="9" t="s">
        <v>221</v>
      </c>
      <c r="U51" s="9" t="s">
        <v>344</v>
      </c>
      <c r="V51" s="11">
        <v>19.899999999999999</v>
      </c>
      <c r="W51" s="9" t="str">
        <f t="shared" si="4"/>
        <v>Fast Delivery</v>
      </c>
    </row>
    <row r="52" spans="1:23" x14ac:dyDescent="0.25">
      <c r="A52" s="9">
        <v>8706</v>
      </c>
      <c r="B52" s="10" t="s">
        <v>170</v>
      </c>
      <c r="C52" s="10">
        <v>42278</v>
      </c>
      <c r="D52" s="10">
        <v>42282</v>
      </c>
      <c r="E52" s="9">
        <f t="shared" si="1"/>
        <v>2015</v>
      </c>
      <c r="F52" s="10" t="str">
        <f t="shared" si="2"/>
        <v>Oct</v>
      </c>
      <c r="G52" s="9">
        <f t="shared" si="3"/>
        <v>10</v>
      </c>
      <c r="H52" s="9">
        <f t="shared" si="0"/>
        <v>4</v>
      </c>
      <c r="I52" s="9" t="s">
        <v>43</v>
      </c>
      <c r="J52" s="9" t="s">
        <v>171</v>
      </c>
      <c r="K52" s="9" t="s">
        <v>172</v>
      </c>
      <c r="L52" s="9" t="s">
        <v>46</v>
      </c>
      <c r="M52" s="9" t="s">
        <v>23</v>
      </c>
      <c r="N52" s="9" t="s">
        <v>173</v>
      </c>
      <c r="O52" s="9" t="s">
        <v>174</v>
      </c>
      <c r="P52" s="9">
        <v>89502</v>
      </c>
      <c r="Q52" s="9" t="s">
        <v>37</v>
      </c>
      <c r="R52" s="9" t="s">
        <v>175</v>
      </c>
      <c r="S52" s="9" t="s">
        <v>66</v>
      </c>
      <c r="T52" s="9" t="s">
        <v>67</v>
      </c>
      <c r="U52" s="9" t="s">
        <v>176</v>
      </c>
      <c r="V52" s="11">
        <v>4.71</v>
      </c>
      <c r="W52" s="9" t="str">
        <f t="shared" si="4"/>
        <v>Slow Delivery</v>
      </c>
    </row>
    <row r="53" spans="1:23" x14ac:dyDescent="0.25">
      <c r="A53" s="9">
        <v>3223</v>
      </c>
      <c r="B53" s="10" t="s">
        <v>378</v>
      </c>
      <c r="C53" s="10">
        <v>42279</v>
      </c>
      <c r="D53" s="10">
        <v>42282</v>
      </c>
      <c r="E53" s="9">
        <f t="shared" si="1"/>
        <v>2015</v>
      </c>
      <c r="F53" s="10" t="str">
        <f t="shared" si="2"/>
        <v>Oct</v>
      </c>
      <c r="G53" s="9">
        <f t="shared" si="3"/>
        <v>10</v>
      </c>
      <c r="H53" s="9">
        <f t="shared" si="0"/>
        <v>3</v>
      </c>
      <c r="I53" s="9" t="s">
        <v>19</v>
      </c>
      <c r="J53" s="9" t="s">
        <v>379</v>
      </c>
      <c r="K53" s="9" t="s">
        <v>380</v>
      </c>
      <c r="L53" s="9" t="s">
        <v>87</v>
      </c>
      <c r="M53" s="9" t="s">
        <v>23</v>
      </c>
      <c r="N53" s="9" t="s">
        <v>381</v>
      </c>
      <c r="O53" s="9" t="s">
        <v>382</v>
      </c>
      <c r="P53" s="9">
        <v>85281</v>
      </c>
      <c r="Q53" s="9" t="s">
        <v>37</v>
      </c>
      <c r="R53" s="9" t="s">
        <v>383</v>
      </c>
      <c r="S53" s="9" t="s">
        <v>66</v>
      </c>
      <c r="T53" s="9" t="s">
        <v>201</v>
      </c>
      <c r="U53" s="9" t="s">
        <v>384</v>
      </c>
      <c r="V53" s="11">
        <v>9.4079999999999995</v>
      </c>
      <c r="W53" s="9" t="str">
        <f t="shared" si="4"/>
        <v>Fast Delivery</v>
      </c>
    </row>
    <row r="54" spans="1:23" x14ac:dyDescent="0.25">
      <c r="A54" s="9">
        <v>2832</v>
      </c>
      <c r="B54" s="10" t="s">
        <v>184</v>
      </c>
      <c r="C54" s="10">
        <v>42309</v>
      </c>
      <c r="D54" s="10">
        <v>42313</v>
      </c>
      <c r="E54" s="9">
        <f t="shared" si="1"/>
        <v>2015</v>
      </c>
      <c r="F54" s="10" t="str">
        <f t="shared" si="2"/>
        <v>Nov</v>
      </c>
      <c r="G54" s="9">
        <f t="shared" si="3"/>
        <v>11</v>
      </c>
      <c r="H54" s="9">
        <f t="shared" si="0"/>
        <v>4</v>
      </c>
      <c r="I54" s="9" t="s">
        <v>43</v>
      </c>
      <c r="J54" s="9" t="s">
        <v>185</v>
      </c>
      <c r="K54" s="9" t="s">
        <v>186</v>
      </c>
      <c r="L54" s="9" t="s">
        <v>22</v>
      </c>
      <c r="M54" s="9" t="s">
        <v>23</v>
      </c>
      <c r="N54" s="9" t="s">
        <v>187</v>
      </c>
      <c r="O54" s="9" t="s">
        <v>188</v>
      </c>
      <c r="P54" s="9">
        <v>97206</v>
      </c>
      <c r="Q54" s="9" t="s">
        <v>37</v>
      </c>
      <c r="R54" s="9" t="s">
        <v>189</v>
      </c>
      <c r="S54" s="9" t="s">
        <v>66</v>
      </c>
      <c r="T54" s="9" t="s">
        <v>74</v>
      </c>
      <c r="U54" s="9" t="s">
        <v>190</v>
      </c>
      <c r="V54" s="11">
        <v>443.92</v>
      </c>
      <c r="W54" s="9" t="str">
        <f t="shared" si="4"/>
        <v>Slow Delivery</v>
      </c>
    </row>
    <row r="55" spans="1:23" x14ac:dyDescent="0.25">
      <c r="A55" s="9">
        <v>4066</v>
      </c>
      <c r="B55" s="10" t="s">
        <v>191</v>
      </c>
      <c r="C55" s="10">
        <v>42309</v>
      </c>
      <c r="D55" s="10">
        <v>42313</v>
      </c>
      <c r="E55" s="9">
        <f t="shared" si="1"/>
        <v>2015</v>
      </c>
      <c r="F55" s="10" t="str">
        <f t="shared" si="2"/>
        <v>Nov</v>
      </c>
      <c r="G55" s="9">
        <f t="shared" si="3"/>
        <v>11</v>
      </c>
      <c r="H55" s="9">
        <f t="shared" si="0"/>
        <v>4</v>
      </c>
      <c r="I55" s="9" t="s">
        <v>43</v>
      </c>
      <c r="J55" s="9" t="s">
        <v>192</v>
      </c>
      <c r="K55" s="9" t="s">
        <v>193</v>
      </c>
      <c r="L55" s="9" t="s">
        <v>87</v>
      </c>
      <c r="M55" s="9" t="s">
        <v>23</v>
      </c>
      <c r="N55" s="9" t="s">
        <v>136</v>
      </c>
      <c r="O55" s="9" t="s">
        <v>137</v>
      </c>
      <c r="P55" s="9">
        <v>28205</v>
      </c>
      <c r="Q55" s="9" t="s">
        <v>110</v>
      </c>
      <c r="R55" s="9" t="s">
        <v>194</v>
      </c>
      <c r="S55" s="9" t="s">
        <v>66</v>
      </c>
      <c r="T55" s="9" t="s">
        <v>67</v>
      </c>
      <c r="U55" s="9" t="s">
        <v>195</v>
      </c>
      <c r="V55" s="11">
        <v>7.52</v>
      </c>
      <c r="W55" s="9" t="str">
        <f t="shared" si="4"/>
        <v>Slow Delivery</v>
      </c>
    </row>
    <row r="56" spans="1:23" x14ac:dyDescent="0.25">
      <c r="A56" s="9">
        <v>7559</v>
      </c>
      <c r="B56" s="10" t="s">
        <v>216</v>
      </c>
      <c r="C56" s="10">
        <v>42309</v>
      </c>
      <c r="D56" s="10">
        <v>42313</v>
      </c>
      <c r="E56" s="9">
        <f t="shared" si="1"/>
        <v>2015</v>
      </c>
      <c r="F56" s="10" t="str">
        <f t="shared" si="2"/>
        <v>Nov</v>
      </c>
      <c r="G56" s="9">
        <f t="shared" si="3"/>
        <v>11</v>
      </c>
      <c r="H56" s="9">
        <f t="shared" si="0"/>
        <v>4</v>
      </c>
      <c r="I56" s="9" t="s">
        <v>43</v>
      </c>
      <c r="J56" s="9" t="s">
        <v>217</v>
      </c>
      <c r="K56" s="9" t="s">
        <v>218</v>
      </c>
      <c r="L56" s="9" t="s">
        <v>22</v>
      </c>
      <c r="M56" s="9" t="s">
        <v>23</v>
      </c>
      <c r="N56" s="9" t="s">
        <v>219</v>
      </c>
      <c r="O56" s="9" t="s">
        <v>48</v>
      </c>
      <c r="P56" s="9">
        <v>11561</v>
      </c>
      <c r="Q56" s="9" t="s">
        <v>49</v>
      </c>
      <c r="R56" s="9" t="s">
        <v>220</v>
      </c>
      <c r="S56" s="9" t="s">
        <v>66</v>
      </c>
      <c r="T56" s="9" t="s">
        <v>221</v>
      </c>
      <c r="U56" s="9" t="s">
        <v>222</v>
      </c>
      <c r="V56" s="11">
        <v>533.94000000000005</v>
      </c>
      <c r="W56" s="9" t="str">
        <f t="shared" si="4"/>
        <v>Slow Delivery</v>
      </c>
    </row>
    <row r="57" spans="1:23" x14ac:dyDescent="0.25">
      <c r="A57" s="9">
        <v>8389</v>
      </c>
      <c r="B57" s="10" t="s">
        <v>223</v>
      </c>
      <c r="C57" s="10">
        <v>42309</v>
      </c>
      <c r="D57" s="10">
        <v>42313</v>
      </c>
      <c r="E57" s="9">
        <f t="shared" si="1"/>
        <v>2015</v>
      </c>
      <c r="F57" s="10" t="str">
        <f t="shared" si="2"/>
        <v>Nov</v>
      </c>
      <c r="G57" s="9">
        <f t="shared" si="3"/>
        <v>11</v>
      </c>
      <c r="H57" s="9">
        <f t="shared" si="0"/>
        <v>4</v>
      </c>
      <c r="I57" s="9" t="s">
        <v>43</v>
      </c>
      <c r="J57" s="9" t="s">
        <v>224</v>
      </c>
      <c r="K57" s="9" t="s">
        <v>225</v>
      </c>
      <c r="L57" s="9" t="s">
        <v>87</v>
      </c>
      <c r="M57" s="9" t="s">
        <v>23</v>
      </c>
      <c r="N57" s="9" t="s">
        <v>226</v>
      </c>
      <c r="O57" s="9" t="s">
        <v>101</v>
      </c>
      <c r="P57" s="9">
        <v>7050</v>
      </c>
      <c r="Q57" s="9" t="s">
        <v>49</v>
      </c>
      <c r="R57" s="9" t="s">
        <v>227</v>
      </c>
      <c r="S57" s="9" t="s">
        <v>66</v>
      </c>
      <c r="T57" s="9" t="s">
        <v>221</v>
      </c>
      <c r="U57" s="9" t="s">
        <v>228</v>
      </c>
      <c r="V57" s="11">
        <v>76.12</v>
      </c>
      <c r="W57" s="9" t="str">
        <f t="shared" si="4"/>
        <v>Slow Delivery</v>
      </c>
    </row>
    <row r="58" spans="1:23" x14ac:dyDescent="0.25">
      <c r="A58" s="9">
        <v>8979</v>
      </c>
      <c r="B58" s="10" t="s">
        <v>578</v>
      </c>
      <c r="C58" s="10">
        <v>42311</v>
      </c>
      <c r="D58" s="10">
        <v>42313</v>
      </c>
      <c r="E58" s="9">
        <f t="shared" si="1"/>
        <v>2015</v>
      </c>
      <c r="F58" s="10" t="str">
        <f t="shared" si="2"/>
        <v>Nov</v>
      </c>
      <c r="G58" s="9">
        <f t="shared" si="3"/>
        <v>11</v>
      </c>
      <c r="H58" s="9">
        <f t="shared" si="0"/>
        <v>2</v>
      </c>
      <c r="I58" s="9" t="s">
        <v>32</v>
      </c>
      <c r="J58" s="9" t="s">
        <v>579</v>
      </c>
      <c r="K58" s="9" t="s">
        <v>580</v>
      </c>
      <c r="L58" s="9" t="s">
        <v>87</v>
      </c>
      <c r="M58" s="9" t="s">
        <v>23</v>
      </c>
      <c r="N58" s="9" t="s">
        <v>226</v>
      </c>
      <c r="O58" s="9" t="s">
        <v>101</v>
      </c>
      <c r="P58" s="9">
        <v>7050</v>
      </c>
      <c r="Q58" s="9" t="s">
        <v>49</v>
      </c>
      <c r="R58" s="9" t="s">
        <v>581</v>
      </c>
      <c r="S58" s="9" t="s">
        <v>66</v>
      </c>
      <c r="T58" s="9" t="s">
        <v>103</v>
      </c>
      <c r="U58" s="9" t="s">
        <v>582</v>
      </c>
      <c r="V58" s="11">
        <v>5.76</v>
      </c>
      <c r="W58" s="9" t="str">
        <f t="shared" si="4"/>
        <v>Fast Delivery</v>
      </c>
    </row>
    <row r="59" spans="1:23" x14ac:dyDescent="0.25">
      <c r="A59" s="9">
        <v>9787</v>
      </c>
      <c r="B59" s="10" t="s">
        <v>880</v>
      </c>
      <c r="C59" s="10">
        <v>42313</v>
      </c>
      <c r="D59" s="10">
        <v>42313</v>
      </c>
      <c r="E59" s="9">
        <f t="shared" si="1"/>
        <v>2015</v>
      </c>
      <c r="F59" s="10" t="str">
        <f t="shared" si="2"/>
        <v>Nov</v>
      </c>
      <c r="G59" s="9">
        <f t="shared" si="3"/>
        <v>11</v>
      </c>
      <c r="H59" s="9">
        <f t="shared" si="0"/>
        <v>0</v>
      </c>
      <c r="I59" s="9" t="s">
        <v>302</v>
      </c>
      <c r="J59" s="9" t="s">
        <v>881</v>
      </c>
      <c r="K59" s="9" t="s">
        <v>882</v>
      </c>
      <c r="L59" s="9" t="s">
        <v>22</v>
      </c>
      <c r="M59" s="9" t="s">
        <v>23</v>
      </c>
      <c r="N59" s="9" t="s">
        <v>883</v>
      </c>
      <c r="O59" s="9" t="s">
        <v>298</v>
      </c>
      <c r="P59" s="9">
        <v>23666</v>
      </c>
      <c r="Q59" s="9" t="s">
        <v>110</v>
      </c>
      <c r="R59" s="9" t="s">
        <v>884</v>
      </c>
      <c r="S59" s="9" t="s">
        <v>39</v>
      </c>
      <c r="T59" s="9" t="s">
        <v>40</v>
      </c>
      <c r="U59" s="9" t="s">
        <v>885</v>
      </c>
      <c r="V59" s="11">
        <v>149.9</v>
      </c>
      <c r="W59" s="9" t="str">
        <f t="shared" si="4"/>
        <v>Fast Delivery</v>
      </c>
    </row>
    <row r="60" spans="1:23" x14ac:dyDescent="0.25">
      <c r="A60" s="9">
        <v>2076</v>
      </c>
      <c r="B60" s="10" t="s">
        <v>235</v>
      </c>
      <c r="C60" s="10">
        <v>42339</v>
      </c>
      <c r="D60" s="10">
        <v>42343</v>
      </c>
      <c r="E60" s="9">
        <f t="shared" si="1"/>
        <v>2015</v>
      </c>
      <c r="F60" s="10" t="str">
        <f t="shared" si="2"/>
        <v>Dec</v>
      </c>
      <c r="G60" s="9">
        <f t="shared" si="3"/>
        <v>12</v>
      </c>
      <c r="H60" s="9">
        <f t="shared" si="0"/>
        <v>4</v>
      </c>
      <c r="I60" s="9" t="s">
        <v>43</v>
      </c>
      <c r="J60" s="9" t="s">
        <v>236</v>
      </c>
      <c r="K60" s="9" t="s">
        <v>237</v>
      </c>
      <c r="L60" s="9" t="s">
        <v>22</v>
      </c>
      <c r="M60" s="9" t="s">
        <v>23</v>
      </c>
      <c r="N60" s="9" t="s">
        <v>143</v>
      </c>
      <c r="O60" s="9" t="s">
        <v>80</v>
      </c>
      <c r="P60" s="9">
        <v>94122</v>
      </c>
      <c r="Q60" s="9" t="s">
        <v>37</v>
      </c>
      <c r="R60" s="9" t="s">
        <v>238</v>
      </c>
      <c r="S60" s="9" t="s">
        <v>39</v>
      </c>
      <c r="T60" s="9" t="s">
        <v>112</v>
      </c>
      <c r="U60" s="9" t="s">
        <v>239</v>
      </c>
      <c r="V60" s="11">
        <v>58.2</v>
      </c>
      <c r="W60" s="9" t="str">
        <f t="shared" si="4"/>
        <v>Slow Delivery</v>
      </c>
    </row>
    <row r="61" spans="1:23" x14ac:dyDescent="0.25">
      <c r="A61" s="9">
        <v>7555</v>
      </c>
      <c r="B61" s="10" t="s">
        <v>1414</v>
      </c>
      <c r="C61" s="10">
        <v>42134</v>
      </c>
      <c r="D61" s="10">
        <v>42138</v>
      </c>
      <c r="E61" s="9">
        <f t="shared" si="1"/>
        <v>2015</v>
      </c>
      <c r="F61" s="10" t="str">
        <f t="shared" si="2"/>
        <v>May</v>
      </c>
      <c r="G61" s="9">
        <f t="shared" si="3"/>
        <v>5</v>
      </c>
      <c r="H61" s="9">
        <f t="shared" si="0"/>
        <v>4</v>
      </c>
      <c r="I61" s="9" t="s">
        <v>32</v>
      </c>
      <c r="J61" s="9" t="s">
        <v>1415</v>
      </c>
      <c r="K61" s="9" t="s">
        <v>1416</v>
      </c>
      <c r="L61" s="9" t="s">
        <v>22</v>
      </c>
      <c r="M61" s="9" t="s">
        <v>23</v>
      </c>
      <c r="N61" s="9" t="s">
        <v>149</v>
      </c>
      <c r="O61" s="9" t="s">
        <v>150</v>
      </c>
      <c r="P61" s="9">
        <v>19134</v>
      </c>
      <c r="Q61" s="9" t="s">
        <v>49</v>
      </c>
      <c r="R61" s="9" t="s">
        <v>1417</v>
      </c>
      <c r="S61" s="9" t="s">
        <v>39</v>
      </c>
      <c r="T61" s="9" t="s">
        <v>1218</v>
      </c>
      <c r="U61" s="9" t="s">
        <v>1418</v>
      </c>
      <c r="V61" s="11">
        <v>349.96499999999997</v>
      </c>
      <c r="W61" s="9" t="str">
        <f t="shared" si="4"/>
        <v>Slow Delivery</v>
      </c>
    </row>
    <row r="62" spans="1:23" x14ac:dyDescent="0.25">
      <c r="A62" s="9">
        <v>825</v>
      </c>
      <c r="B62" s="10" t="s">
        <v>1302</v>
      </c>
      <c r="C62" s="10">
        <v>42133</v>
      </c>
      <c r="D62" s="10">
        <v>42139</v>
      </c>
      <c r="E62" s="9">
        <f t="shared" si="1"/>
        <v>2015</v>
      </c>
      <c r="F62" s="10" t="str">
        <f t="shared" si="2"/>
        <v>May</v>
      </c>
      <c r="G62" s="9">
        <f t="shared" si="3"/>
        <v>5</v>
      </c>
      <c r="H62" s="9">
        <f t="shared" si="0"/>
        <v>6</v>
      </c>
      <c r="I62" s="9" t="s">
        <v>43</v>
      </c>
      <c r="J62" s="9" t="s">
        <v>1303</v>
      </c>
      <c r="K62" s="9" t="s">
        <v>1304</v>
      </c>
      <c r="L62" s="9" t="s">
        <v>22</v>
      </c>
      <c r="M62" s="9" t="s">
        <v>23</v>
      </c>
      <c r="N62" s="9" t="s">
        <v>143</v>
      </c>
      <c r="O62" s="9" t="s">
        <v>80</v>
      </c>
      <c r="P62" s="9">
        <v>94110</v>
      </c>
      <c r="Q62" s="9" t="s">
        <v>37</v>
      </c>
      <c r="R62" s="9" t="s">
        <v>1305</v>
      </c>
      <c r="S62" s="9" t="s">
        <v>28</v>
      </c>
      <c r="T62" s="9" t="s">
        <v>29</v>
      </c>
      <c r="U62" s="9" t="s">
        <v>1306</v>
      </c>
      <c r="V62" s="11">
        <v>67.8</v>
      </c>
      <c r="W62" s="9" t="str">
        <f t="shared" si="4"/>
        <v>Slow Delivery</v>
      </c>
    </row>
    <row r="63" spans="1:23" x14ac:dyDescent="0.25">
      <c r="A63" s="9">
        <v>5197</v>
      </c>
      <c r="B63" s="10" t="s">
        <v>1408</v>
      </c>
      <c r="C63" s="10">
        <v>42134</v>
      </c>
      <c r="D63" s="10">
        <v>42139</v>
      </c>
      <c r="E63" s="9">
        <f t="shared" si="1"/>
        <v>2015</v>
      </c>
      <c r="F63" s="10" t="str">
        <f t="shared" si="2"/>
        <v>May</v>
      </c>
      <c r="G63" s="9">
        <f t="shared" si="3"/>
        <v>5</v>
      </c>
      <c r="H63" s="9">
        <f t="shared" si="0"/>
        <v>5</v>
      </c>
      <c r="I63" s="9" t="s">
        <v>43</v>
      </c>
      <c r="J63" s="9" t="s">
        <v>1409</v>
      </c>
      <c r="K63" s="9" t="s">
        <v>1410</v>
      </c>
      <c r="L63" s="9" t="s">
        <v>22</v>
      </c>
      <c r="M63" s="9" t="s">
        <v>23</v>
      </c>
      <c r="N63" s="9" t="s">
        <v>1411</v>
      </c>
      <c r="O63" s="9" t="s">
        <v>36</v>
      </c>
      <c r="P63" s="9">
        <v>98031</v>
      </c>
      <c r="Q63" s="9" t="s">
        <v>37</v>
      </c>
      <c r="R63" s="9" t="s">
        <v>1412</v>
      </c>
      <c r="S63" s="9" t="s">
        <v>66</v>
      </c>
      <c r="T63" s="9" t="s">
        <v>280</v>
      </c>
      <c r="U63" s="9" t="s">
        <v>1413</v>
      </c>
      <c r="V63" s="11">
        <v>158.13</v>
      </c>
      <c r="W63" s="9" t="str">
        <f t="shared" si="4"/>
        <v>Slow Delivery</v>
      </c>
    </row>
    <row r="64" spans="1:23" x14ac:dyDescent="0.25">
      <c r="A64" s="9">
        <v>9197</v>
      </c>
      <c r="B64" s="10" t="s">
        <v>1419</v>
      </c>
      <c r="C64" s="10">
        <v>42134</v>
      </c>
      <c r="D64" s="10">
        <v>42139</v>
      </c>
      <c r="E64" s="9">
        <f t="shared" si="1"/>
        <v>2015</v>
      </c>
      <c r="F64" s="10" t="str">
        <f t="shared" si="2"/>
        <v>May</v>
      </c>
      <c r="G64" s="9">
        <f t="shared" si="3"/>
        <v>5</v>
      </c>
      <c r="H64" s="9">
        <f t="shared" si="0"/>
        <v>5</v>
      </c>
      <c r="I64" s="9" t="s">
        <v>43</v>
      </c>
      <c r="J64" s="9" t="s">
        <v>1420</v>
      </c>
      <c r="K64" s="9" t="s">
        <v>1421</v>
      </c>
      <c r="L64" s="9" t="s">
        <v>22</v>
      </c>
      <c r="M64" s="9" t="s">
        <v>23</v>
      </c>
      <c r="N64" s="9" t="s">
        <v>1422</v>
      </c>
      <c r="O64" s="9" t="s">
        <v>80</v>
      </c>
      <c r="P64" s="9">
        <v>95123</v>
      </c>
      <c r="Q64" s="9" t="s">
        <v>37</v>
      </c>
      <c r="R64" s="9" t="s">
        <v>1423</v>
      </c>
      <c r="S64" s="9" t="s">
        <v>66</v>
      </c>
      <c r="T64" s="9" t="s">
        <v>201</v>
      </c>
      <c r="U64" s="9" t="s">
        <v>1424</v>
      </c>
      <c r="V64" s="11">
        <v>39.96</v>
      </c>
      <c r="W64" s="9" t="str">
        <f t="shared" si="4"/>
        <v>Slow Delivery</v>
      </c>
    </row>
    <row r="65" spans="1:23" x14ac:dyDescent="0.25">
      <c r="A65" s="9">
        <v>9590</v>
      </c>
      <c r="B65" s="10" t="s">
        <v>1543</v>
      </c>
      <c r="C65" s="10">
        <v>42135</v>
      </c>
      <c r="D65" s="10">
        <v>42139</v>
      </c>
      <c r="E65" s="9">
        <f t="shared" si="1"/>
        <v>2015</v>
      </c>
      <c r="F65" s="10" t="str">
        <f t="shared" si="2"/>
        <v>May</v>
      </c>
      <c r="G65" s="9">
        <f t="shared" si="3"/>
        <v>5</v>
      </c>
      <c r="H65" s="9">
        <f t="shared" si="0"/>
        <v>4</v>
      </c>
      <c r="I65" s="9" t="s">
        <v>43</v>
      </c>
      <c r="J65" s="9" t="s">
        <v>1544</v>
      </c>
      <c r="K65" s="9" t="s">
        <v>1545</v>
      </c>
      <c r="L65" s="9" t="s">
        <v>46</v>
      </c>
      <c r="M65" s="9" t="s">
        <v>23</v>
      </c>
      <c r="N65" s="9" t="s">
        <v>199</v>
      </c>
      <c r="O65" s="9" t="s">
        <v>57</v>
      </c>
      <c r="P65" s="9">
        <v>60610</v>
      </c>
      <c r="Q65" s="9" t="s">
        <v>26</v>
      </c>
      <c r="R65" s="9" t="s">
        <v>1546</v>
      </c>
      <c r="S65" s="9" t="s">
        <v>66</v>
      </c>
      <c r="T65" s="9" t="s">
        <v>201</v>
      </c>
      <c r="U65" s="9" t="s">
        <v>1547</v>
      </c>
      <c r="V65" s="11">
        <v>17.472000000000001</v>
      </c>
      <c r="W65" s="9" t="str">
        <f t="shared" si="4"/>
        <v>Slow Delivery</v>
      </c>
    </row>
    <row r="66" spans="1:23" x14ac:dyDescent="0.25">
      <c r="A66" s="9">
        <v>1658</v>
      </c>
      <c r="B66" s="10" t="s">
        <v>1629</v>
      </c>
      <c r="C66" s="10">
        <v>42136</v>
      </c>
      <c r="D66" s="10">
        <v>42139</v>
      </c>
      <c r="E66" s="9">
        <f t="shared" si="1"/>
        <v>2015</v>
      </c>
      <c r="F66" s="10" t="str">
        <f t="shared" si="2"/>
        <v>May</v>
      </c>
      <c r="G66" s="9">
        <f t="shared" si="3"/>
        <v>5</v>
      </c>
      <c r="H66" s="9">
        <f t="shared" ref="H66:H129" si="5">D66-C66</f>
        <v>3</v>
      </c>
      <c r="I66" s="9" t="s">
        <v>19</v>
      </c>
      <c r="J66" s="9" t="s">
        <v>1630</v>
      </c>
      <c r="K66" s="9" t="s">
        <v>1631</v>
      </c>
      <c r="L66" s="9" t="s">
        <v>22</v>
      </c>
      <c r="M66" s="9" t="s">
        <v>23</v>
      </c>
      <c r="N66" s="9" t="s">
        <v>1632</v>
      </c>
      <c r="O66" s="9" t="s">
        <v>25</v>
      </c>
      <c r="P66" s="9">
        <v>53209</v>
      </c>
      <c r="Q66" s="9" t="s">
        <v>26</v>
      </c>
      <c r="R66" s="9" t="s">
        <v>1476</v>
      </c>
      <c r="S66" s="9" t="s">
        <v>39</v>
      </c>
      <c r="T66" s="9" t="s">
        <v>112</v>
      </c>
      <c r="U66" s="9" t="s">
        <v>1477</v>
      </c>
      <c r="V66" s="11">
        <v>34.79</v>
      </c>
      <c r="W66" s="9" t="str">
        <f t="shared" si="4"/>
        <v>Fast Delivery</v>
      </c>
    </row>
    <row r="67" spans="1:23" x14ac:dyDescent="0.25">
      <c r="A67" s="9">
        <v>18</v>
      </c>
      <c r="B67" s="10" t="s">
        <v>3735</v>
      </c>
      <c r="C67" s="10">
        <v>42137</v>
      </c>
      <c r="D67" s="10">
        <v>42139</v>
      </c>
      <c r="E67" s="9">
        <f t="shared" ref="E67:E130" si="6">YEAR(C67)</f>
        <v>2015</v>
      </c>
      <c r="F67" s="10" t="str">
        <f t="shared" ref="F67:F130" si="7">TEXT(C67,"mmm")</f>
        <v>May</v>
      </c>
      <c r="G67" s="9">
        <f t="shared" ref="G67:G130" si="8">MONTH(C67)</f>
        <v>5</v>
      </c>
      <c r="H67" s="9">
        <f t="shared" si="5"/>
        <v>2</v>
      </c>
      <c r="I67" s="9" t="s">
        <v>32</v>
      </c>
      <c r="J67" s="9" t="s">
        <v>3736</v>
      </c>
      <c r="K67" s="9" t="s">
        <v>3737</v>
      </c>
      <c r="L67" s="9" t="s">
        <v>22</v>
      </c>
      <c r="M67" s="9" t="s">
        <v>23</v>
      </c>
      <c r="N67" s="9" t="s">
        <v>3738</v>
      </c>
      <c r="O67" s="9" t="s">
        <v>317</v>
      </c>
      <c r="P67" s="9">
        <v>84084</v>
      </c>
      <c r="Q67" s="9" t="s">
        <v>37</v>
      </c>
      <c r="R67" s="9" t="s">
        <v>1639</v>
      </c>
      <c r="S67" s="9" t="s">
        <v>66</v>
      </c>
      <c r="T67" s="9" t="s">
        <v>74</v>
      </c>
      <c r="U67" s="9" t="s">
        <v>1640</v>
      </c>
      <c r="V67" s="11">
        <v>55.5</v>
      </c>
      <c r="W67" s="9" t="str">
        <f t="shared" ref="W67:W130" si="9">IF(H67&lt;=3,"Fast Delivery","Slow Delivery")</f>
        <v>Fast Delivery</v>
      </c>
    </row>
    <row r="68" spans="1:23" x14ac:dyDescent="0.25">
      <c r="A68" s="9">
        <v>544</v>
      </c>
      <c r="B68" s="10" t="s">
        <v>1524</v>
      </c>
      <c r="C68" s="10">
        <v>42135</v>
      </c>
      <c r="D68" s="10">
        <v>42140</v>
      </c>
      <c r="E68" s="9">
        <f t="shared" si="6"/>
        <v>2015</v>
      </c>
      <c r="F68" s="10" t="str">
        <f t="shared" si="7"/>
        <v>May</v>
      </c>
      <c r="G68" s="9">
        <f t="shared" si="8"/>
        <v>5</v>
      </c>
      <c r="H68" s="9">
        <f t="shared" si="5"/>
        <v>5</v>
      </c>
      <c r="I68" s="9" t="s">
        <v>43</v>
      </c>
      <c r="J68" s="9" t="s">
        <v>1525</v>
      </c>
      <c r="K68" s="9" t="s">
        <v>1526</v>
      </c>
      <c r="L68" s="9" t="s">
        <v>22</v>
      </c>
      <c r="M68" s="9" t="s">
        <v>23</v>
      </c>
      <c r="N68" s="9" t="s">
        <v>1527</v>
      </c>
      <c r="O68" s="9" t="s">
        <v>64</v>
      </c>
      <c r="P68" s="9">
        <v>76106</v>
      </c>
      <c r="Q68" s="9" t="s">
        <v>26</v>
      </c>
      <c r="R68" s="9" t="s">
        <v>1528</v>
      </c>
      <c r="S68" s="9" t="s">
        <v>28</v>
      </c>
      <c r="T68" s="9" t="s">
        <v>29</v>
      </c>
      <c r="U68" s="9" t="s">
        <v>1529</v>
      </c>
      <c r="V68" s="11">
        <v>58.112000000000002</v>
      </c>
      <c r="W68" s="9" t="str">
        <f t="shared" si="9"/>
        <v>Slow Delivery</v>
      </c>
    </row>
    <row r="69" spans="1:23" x14ac:dyDescent="0.25">
      <c r="A69" s="9">
        <v>9429</v>
      </c>
      <c r="B69" s="10" t="s">
        <v>1538</v>
      </c>
      <c r="C69" s="10">
        <v>42135</v>
      </c>
      <c r="D69" s="10">
        <v>42140</v>
      </c>
      <c r="E69" s="9">
        <f t="shared" si="6"/>
        <v>2015</v>
      </c>
      <c r="F69" s="10" t="str">
        <f t="shared" si="7"/>
        <v>May</v>
      </c>
      <c r="G69" s="9">
        <f t="shared" si="8"/>
        <v>5</v>
      </c>
      <c r="H69" s="9">
        <f t="shared" si="5"/>
        <v>5</v>
      </c>
      <c r="I69" s="9" t="s">
        <v>43</v>
      </c>
      <c r="J69" s="9" t="s">
        <v>1539</v>
      </c>
      <c r="K69" s="9" t="s">
        <v>1540</v>
      </c>
      <c r="L69" s="9" t="s">
        <v>87</v>
      </c>
      <c r="M69" s="9" t="s">
        <v>23</v>
      </c>
      <c r="N69" s="9" t="s">
        <v>1041</v>
      </c>
      <c r="O69" s="9" t="s">
        <v>64</v>
      </c>
      <c r="P69" s="9">
        <v>77340</v>
      </c>
      <c r="Q69" s="9" t="s">
        <v>26</v>
      </c>
      <c r="R69" s="9" t="s">
        <v>1541</v>
      </c>
      <c r="S69" s="9" t="s">
        <v>39</v>
      </c>
      <c r="T69" s="9" t="s">
        <v>40</v>
      </c>
      <c r="U69" s="9" t="s">
        <v>1542</v>
      </c>
      <c r="V69" s="11">
        <v>1212.96</v>
      </c>
      <c r="W69" s="9" t="str">
        <f t="shared" si="9"/>
        <v>Slow Delivery</v>
      </c>
    </row>
    <row r="70" spans="1:23" x14ac:dyDescent="0.25">
      <c r="A70" s="9">
        <v>1759</v>
      </c>
      <c r="B70" s="10" t="s">
        <v>1530</v>
      </c>
      <c r="C70" s="10">
        <v>42135</v>
      </c>
      <c r="D70" s="10">
        <v>42141</v>
      </c>
      <c r="E70" s="9">
        <f t="shared" si="6"/>
        <v>2015</v>
      </c>
      <c r="F70" s="10" t="str">
        <f t="shared" si="7"/>
        <v>May</v>
      </c>
      <c r="G70" s="9">
        <f t="shared" si="8"/>
        <v>5</v>
      </c>
      <c r="H70" s="9">
        <f t="shared" si="5"/>
        <v>6</v>
      </c>
      <c r="I70" s="9" t="s">
        <v>43</v>
      </c>
      <c r="J70" s="9" t="s">
        <v>1531</v>
      </c>
      <c r="K70" s="9" t="s">
        <v>1532</v>
      </c>
      <c r="L70" s="9" t="s">
        <v>22</v>
      </c>
      <c r="M70" s="9" t="s">
        <v>23</v>
      </c>
      <c r="N70" s="9" t="s">
        <v>72</v>
      </c>
      <c r="O70" s="9" t="s">
        <v>64</v>
      </c>
      <c r="P70" s="9">
        <v>77095</v>
      </c>
      <c r="Q70" s="9" t="s">
        <v>26</v>
      </c>
      <c r="R70" s="9" t="s">
        <v>1533</v>
      </c>
      <c r="S70" s="9" t="s">
        <v>28</v>
      </c>
      <c r="T70" s="9" t="s">
        <v>29</v>
      </c>
      <c r="U70" s="9" t="s">
        <v>1534</v>
      </c>
      <c r="V70" s="11">
        <v>46.863999999999997</v>
      </c>
      <c r="W70" s="9" t="str">
        <f t="shared" si="9"/>
        <v>Slow Delivery</v>
      </c>
    </row>
    <row r="71" spans="1:23" x14ac:dyDescent="0.25">
      <c r="A71" s="9">
        <v>4125</v>
      </c>
      <c r="B71" s="10" t="s">
        <v>1535</v>
      </c>
      <c r="C71" s="10">
        <v>42135</v>
      </c>
      <c r="D71" s="10">
        <v>42142</v>
      </c>
      <c r="E71" s="9">
        <f t="shared" si="6"/>
        <v>2015</v>
      </c>
      <c r="F71" s="10" t="str">
        <f t="shared" si="7"/>
        <v>May</v>
      </c>
      <c r="G71" s="9">
        <f t="shared" si="8"/>
        <v>5</v>
      </c>
      <c r="H71" s="9">
        <f t="shared" si="5"/>
        <v>7</v>
      </c>
      <c r="I71" s="9" t="s">
        <v>43</v>
      </c>
      <c r="J71" s="9" t="s">
        <v>1536</v>
      </c>
      <c r="K71" s="9" t="s">
        <v>1537</v>
      </c>
      <c r="L71" s="9" t="s">
        <v>87</v>
      </c>
      <c r="M71" s="9" t="s">
        <v>23</v>
      </c>
      <c r="N71" s="9" t="s">
        <v>342</v>
      </c>
      <c r="O71" s="9" t="s">
        <v>48</v>
      </c>
      <c r="P71" s="9">
        <v>13601</v>
      </c>
      <c r="Q71" s="9" t="s">
        <v>49</v>
      </c>
      <c r="R71" s="9" t="s">
        <v>435</v>
      </c>
      <c r="S71" s="9" t="s">
        <v>66</v>
      </c>
      <c r="T71" s="9" t="s">
        <v>221</v>
      </c>
      <c r="U71" s="9" t="s">
        <v>436</v>
      </c>
      <c r="V71" s="11">
        <v>35.909999999999997</v>
      </c>
      <c r="W71" s="9" t="str">
        <f t="shared" si="9"/>
        <v>Slow Delivery</v>
      </c>
    </row>
    <row r="72" spans="1:23" x14ac:dyDescent="0.25">
      <c r="A72" s="9">
        <v>5355</v>
      </c>
      <c r="B72" s="10" t="s">
        <v>3739</v>
      </c>
      <c r="C72" s="10">
        <v>42137</v>
      </c>
      <c r="D72" s="10">
        <v>42143</v>
      </c>
      <c r="E72" s="9">
        <f t="shared" si="6"/>
        <v>2015</v>
      </c>
      <c r="F72" s="10" t="str">
        <f t="shared" si="7"/>
        <v>May</v>
      </c>
      <c r="G72" s="9">
        <f t="shared" si="8"/>
        <v>5</v>
      </c>
      <c r="H72" s="9">
        <f t="shared" si="5"/>
        <v>6</v>
      </c>
      <c r="I72" s="9" t="s">
        <v>43</v>
      </c>
      <c r="J72" s="9" t="s">
        <v>3740</v>
      </c>
      <c r="K72" s="9" t="s">
        <v>3741</v>
      </c>
      <c r="L72" s="9" t="s">
        <v>87</v>
      </c>
      <c r="M72" s="9" t="s">
        <v>23</v>
      </c>
      <c r="N72" s="9" t="s">
        <v>213</v>
      </c>
      <c r="O72" s="9" t="s">
        <v>80</v>
      </c>
      <c r="P72" s="9">
        <v>90004</v>
      </c>
      <c r="Q72" s="9" t="s">
        <v>37</v>
      </c>
      <c r="R72" s="9" t="s">
        <v>3742</v>
      </c>
      <c r="S72" s="9" t="s">
        <v>39</v>
      </c>
      <c r="T72" s="9" t="s">
        <v>40</v>
      </c>
      <c r="U72" s="9" t="s">
        <v>3743</v>
      </c>
      <c r="V72" s="11">
        <v>279.45600000000002</v>
      </c>
      <c r="W72" s="9" t="str">
        <f t="shared" si="9"/>
        <v>Slow Delivery</v>
      </c>
    </row>
    <row r="73" spans="1:23" x14ac:dyDescent="0.25">
      <c r="A73" s="9">
        <v>3079</v>
      </c>
      <c r="B73" s="10" t="s">
        <v>3925</v>
      </c>
      <c r="C73" s="10">
        <v>42145</v>
      </c>
      <c r="D73" s="10">
        <v>42149</v>
      </c>
      <c r="E73" s="9">
        <f t="shared" si="6"/>
        <v>2015</v>
      </c>
      <c r="F73" s="10" t="str">
        <f t="shared" si="7"/>
        <v>May</v>
      </c>
      <c r="G73" s="9">
        <f t="shared" si="8"/>
        <v>5</v>
      </c>
      <c r="H73" s="9">
        <f t="shared" si="5"/>
        <v>4</v>
      </c>
      <c r="I73" s="9" t="s">
        <v>43</v>
      </c>
      <c r="J73" s="9" t="s">
        <v>3926</v>
      </c>
      <c r="K73" s="9" t="s">
        <v>3927</v>
      </c>
      <c r="L73" s="9" t="s">
        <v>46</v>
      </c>
      <c r="M73" s="9" t="s">
        <v>23</v>
      </c>
      <c r="N73" s="9" t="s">
        <v>268</v>
      </c>
      <c r="O73" s="9" t="s">
        <v>80</v>
      </c>
      <c r="P73" s="9">
        <v>92037</v>
      </c>
      <c r="Q73" s="9" t="s">
        <v>37</v>
      </c>
      <c r="R73" s="9" t="s">
        <v>3147</v>
      </c>
      <c r="S73" s="9" t="s">
        <v>66</v>
      </c>
      <c r="T73" s="9" t="s">
        <v>158</v>
      </c>
      <c r="U73" s="9" t="s">
        <v>3148</v>
      </c>
      <c r="V73" s="11">
        <v>31.84</v>
      </c>
      <c r="W73" s="9" t="str">
        <f t="shared" si="9"/>
        <v>Slow Delivery</v>
      </c>
    </row>
    <row r="74" spans="1:23" x14ac:dyDescent="0.25">
      <c r="A74" s="9">
        <v>1704</v>
      </c>
      <c r="B74" s="10" t="s">
        <v>265</v>
      </c>
      <c r="C74" s="10">
        <v>42037</v>
      </c>
      <c r="D74" s="10">
        <v>42041</v>
      </c>
      <c r="E74" s="9">
        <f t="shared" si="6"/>
        <v>2015</v>
      </c>
      <c r="F74" s="10" t="str">
        <f t="shared" si="7"/>
        <v>Feb</v>
      </c>
      <c r="G74" s="9">
        <f t="shared" si="8"/>
        <v>2</v>
      </c>
      <c r="H74" s="9">
        <f t="shared" si="5"/>
        <v>4</v>
      </c>
      <c r="I74" s="9" t="s">
        <v>43</v>
      </c>
      <c r="J74" s="9" t="s">
        <v>266</v>
      </c>
      <c r="K74" s="9" t="s">
        <v>267</v>
      </c>
      <c r="L74" s="9" t="s">
        <v>46</v>
      </c>
      <c r="M74" s="9" t="s">
        <v>23</v>
      </c>
      <c r="N74" s="9" t="s">
        <v>268</v>
      </c>
      <c r="O74" s="9" t="s">
        <v>80</v>
      </c>
      <c r="P74" s="9">
        <v>92037</v>
      </c>
      <c r="Q74" s="9" t="s">
        <v>37</v>
      </c>
      <c r="R74" s="9" t="s">
        <v>269</v>
      </c>
      <c r="S74" s="9" t="s">
        <v>66</v>
      </c>
      <c r="T74" s="9" t="s">
        <v>67</v>
      </c>
      <c r="U74" s="9" t="s">
        <v>195</v>
      </c>
      <c r="V74" s="11">
        <v>12.35</v>
      </c>
      <c r="W74" s="9" t="str">
        <f t="shared" si="9"/>
        <v>Slow Delivery</v>
      </c>
    </row>
    <row r="75" spans="1:23" x14ac:dyDescent="0.25">
      <c r="A75" s="9">
        <v>1518</v>
      </c>
      <c r="B75" s="10" t="s">
        <v>455</v>
      </c>
      <c r="C75" s="10">
        <v>42038</v>
      </c>
      <c r="D75" s="10">
        <v>42041</v>
      </c>
      <c r="E75" s="9">
        <f t="shared" si="6"/>
        <v>2015</v>
      </c>
      <c r="F75" s="10" t="str">
        <f t="shared" si="7"/>
        <v>Feb</v>
      </c>
      <c r="G75" s="9">
        <f t="shared" si="8"/>
        <v>2</v>
      </c>
      <c r="H75" s="9">
        <f t="shared" si="5"/>
        <v>3</v>
      </c>
      <c r="I75" s="9" t="s">
        <v>32</v>
      </c>
      <c r="J75" s="9" t="s">
        <v>456</v>
      </c>
      <c r="K75" s="9" t="s">
        <v>457</v>
      </c>
      <c r="L75" s="9" t="s">
        <v>22</v>
      </c>
      <c r="M75" s="9" t="s">
        <v>23</v>
      </c>
      <c r="N75" s="9" t="s">
        <v>35</v>
      </c>
      <c r="O75" s="9" t="s">
        <v>36</v>
      </c>
      <c r="P75" s="9">
        <v>98105</v>
      </c>
      <c r="Q75" s="9" t="s">
        <v>37</v>
      </c>
      <c r="R75" s="9" t="s">
        <v>458</v>
      </c>
      <c r="S75" s="9" t="s">
        <v>66</v>
      </c>
      <c r="T75" s="9" t="s">
        <v>103</v>
      </c>
      <c r="U75" s="9" t="s">
        <v>459</v>
      </c>
      <c r="V75" s="11">
        <v>83.84</v>
      </c>
      <c r="W75" s="9" t="str">
        <f t="shared" si="9"/>
        <v>Fast Delivery</v>
      </c>
    </row>
    <row r="76" spans="1:23" x14ac:dyDescent="0.25">
      <c r="A76" s="9">
        <v>158</v>
      </c>
      <c r="B76" s="10" t="s">
        <v>31</v>
      </c>
      <c r="C76" s="10">
        <v>42064</v>
      </c>
      <c r="D76" s="10">
        <v>42069</v>
      </c>
      <c r="E76" s="9">
        <f t="shared" si="6"/>
        <v>2015</v>
      </c>
      <c r="F76" s="10" t="str">
        <f t="shared" si="7"/>
        <v>Mar</v>
      </c>
      <c r="G76" s="9">
        <f t="shared" si="8"/>
        <v>3</v>
      </c>
      <c r="H76" s="9">
        <f t="shared" si="5"/>
        <v>5</v>
      </c>
      <c r="I76" s="9" t="s">
        <v>32</v>
      </c>
      <c r="J76" s="9" t="s">
        <v>33</v>
      </c>
      <c r="K76" s="9" t="s">
        <v>34</v>
      </c>
      <c r="L76" s="9" t="s">
        <v>22</v>
      </c>
      <c r="M76" s="9" t="s">
        <v>23</v>
      </c>
      <c r="N76" s="9" t="s">
        <v>35</v>
      </c>
      <c r="O76" s="9" t="s">
        <v>36</v>
      </c>
      <c r="P76" s="9">
        <v>98115</v>
      </c>
      <c r="Q76" s="9" t="s">
        <v>37</v>
      </c>
      <c r="R76" s="9" t="s">
        <v>38</v>
      </c>
      <c r="S76" s="9" t="s">
        <v>39</v>
      </c>
      <c r="T76" s="9" t="s">
        <v>40</v>
      </c>
      <c r="U76" s="9" t="s">
        <v>41</v>
      </c>
      <c r="V76" s="11">
        <v>457.56799999999998</v>
      </c>
      <c r="W76" s="9" t="str">
        <f t="shared" si="9"/>
        <v>Slow Delivery</v>
      </c>
    </row>
    <row r="77" spans="1:23" x14ac:dyDescent="0.25">
      <c r="A77" s="9">
        <v>1373</v>
      </c>
      <c r="B77" s="10" t="s">
        <v>76</v>
      </c>
      <c r="C77" s="10">
        <v>42095</v>
      </c>
      <c r="D77" s="10">
        <v>42100</v>
      </c>
      <c r="E77" s="9">
        <f t="shared" si="6"/>
        <v>2015</v>
      </c>
      <c r="F77" s="10" t="str">
        <f t="shared" si="7"/>
        <v>Apr</v>
      </c>
      <c r="G77" s="9">
        <f t="shared" si="8"/>
        <v>4</v>
      </c>
      <c r="H77" s="9">
        <f t="shared" si="5"/>
        <v>5</v>
      </c>
      <c r="I77" s="9" t="s">
        <v>32</v>
      </c>
      <c r="J77" s="9" t="s">
        <v>77</v>
      </c>
      <c r="K77" s="9" t="s">
        <v>78</v>
      </c>
      <c r="L77" s="9" t="s">
        <v>22</v>
      </c>
      <c r="M77" s="9" t="s">
        <v>23</v>
      </c>
      <c r="N77" s="9" t="s">
        <v>79</v>
      </c>
      <c r="O77" s="9" t="s">
        <v>80</v>
      </c>
      <c r="P77" s="9">
        <v>94591</v>
      </c>
      <c r="Q77" s="9" t="s">
        <v>37</v>
      </c>
      <c r="R77" s="9" t="s">
        <v>81</v>
      </c>
      <c r="S77" s="9" t="s">
        <v>66</v>
      </c>
      <c r="T77" s="9" t="s">
        <v>82</v>
      </c>
      <c r="U77" s="9" t="s">
        <v>83</v>
      </c>
      <c r="V77" s="11">
        <v>29.6</v>
      </c>
      <c r="W77" s="9" t="str">
        <f t="shared" si="9"/>
        <v>Slow Delivery</v>
      </c>
    </row>
    <row r="78" spans="1:23" x14ac:dyDescent="0.25">
      <c r="A78" s="9">
        <v>7954</v>
      </c>
      <c r="B78" s="10" t="s">
        <v>84</v>
      </c>
      <c r="C78" s="10">
        <v>42095</v>
      </c>
      <c r="D78" s="10">
        <v>42100</v>
      </c>
      <c r="E78" s="9">
        <f t="shared" si="6"/>
        <v>2015</v>
      </c>
      <c r="F78" s="10" t="str">
        <f t="shared" si="7"/>
        <v>Apr</v>
      </c>
      <c r="G78" s="9">
        <f t="shared" si="8"/>
        <v>4</v>
      </c>
      <c r="H78" s="9">
        <f t="shared" si="5"/>
        <v>5</v>
      </c>
      <c r="I78" s="9" t="s">
        <v>43</v>
      </c>
      <c r="J78" s="9" t="s">
        <v>85</v>
      </c>
      <c r="K78" s="9" t="s">
        <v>86</v>
      </c>
      <c r="L78" s="9" t="s">
        <v>87</v>
      </c>
      <c r="M78" s="9" t="s">
        <v>23</v>
      </c>
      <c r="N78" s="9" t="s">
        <v>88</v>
      </c>
      <c r="O78" s="9" t="s">
        <v>89</v>
      </c>
      <c r="P78" s="9">
        <v>2151</v>
      </c>
      <c r="Q78" s="9" t="s">
        <v>49</v>
      </c>
      <c r="R78" s="9" t="s">
        <v>90</v>
      </c>
      <c r="S78" s="9" t="s">
        <v>66</v>
      </c>
      <c r="T78" s="9" t="s">
        <v>74</v>
      </c>
      <c r="U78" s="9" t="s">
        <v>91</v>
      </c>
      <c r="V78" s="11">
        <v>66.959999999999994</v>
      </c>
      <c r="W78" s="9" t="str">
        <f t="shared" si="9"/>
        <v>Slow Delivery</v>
      </c>
    </row>
    <row r="79" spans="1:23" x14ac:dyDescent="0.25">
      <c r="A79" s="9">
        <v>8827</v>
      </c>
      <c r="B79" s="10" t="s">
        <v>289</v>
      </c>
      <c r="C79" s="10">
        <v>42096</v>
      </c>
      <c r="D79" s="10">
        <v>42100</v>
      </c>
      <c r="E79" s="9">
        <f t="shared" si="6"/>
        <v>2015</v>
      </c>
      <c r="F79" s="10" t="str">
        <f t="shared" si="7"/>
        <v>Apr</v>
      </c>
      <c r="G79" s="9">
        <f t="shared" si="8"/>
        <v>4</v>
      </c>
      <c r="H79" s="9">
        <f t="shared" si="5"/>
        <v>4</v>
      </c>
      <c r="I79" s="9" t="s">
        <v>32</v>
      </c>
      <c r="J79" s="9" t="s">
        <v>290</v>
      </c>
      <c r="K79" s="9" t="s">
        <v>291</v>
      </c>
      <c r="L79" s="9" t="s">
        <v>22</v>
      </c>
      <c r="M79" s="9" t="s">
        <v>23</v>
      </c>
      <c r="N79" s="9" t="s">
        <v>72</v>
      </c>
      <c r="O79" s="9" t="s">
        <v>64</v>
      </c>
      <c r="P79" s="9">
        <v>77095</v>
      </c>
      <c r="Q79" s="9" t="s">
        <v>26</v>
      </c>
      <c r="R79" s="9" t="s">
        <v>292</v>
      </c>
      <c r="S79" s="9" t="s">
        <v>66</v>
      </c>
      <c r="T79" s="9" t="s">
        <v>201</v>
      </c>
      <c r="U79" s="9" t="s">
        <v>293</v>
      </c>
      <c r="V79" s="11">
        <v>26.72</v>
      </c>
      <c r="W79" s="9" t="str">
        <f t="shared" si="9"/>
        <v>Slow Delivery</v>
      </c>
    </row>
    <row r="80" spans="1:23" x14ac:dyDescent="0.25">
      <c r="A80" s="9">
        <v>245</v>
      </c>
      <c r="B80" s="10" t="s">
        <v>92</v>
      </c>
      <c r="C80" s="10">
        <v>42156</v>
      </c>
      <c r="D80" s="10">
        <v>42161</v>
      </c>
      <c r="E80" s="9">
        <f t="shared" si="6"/>
        <v>2015</v>
      </c>
      <c r="F80" s="10" t="str">
        <f t="shared" si="7"/>
        <v>Jun</v>
      </c>
      <c r="G80" s="9">
        <f t="shared" si="8"/>
        <v>6</v>
      </c>
      <c r="H80" s="9">
        <f t="shared" si="5"/>
        <v>5</v>
      </c>
      <c r="I80" s="9" t="s">
        <v>32</v>
      </c>
      <c r="J80" s="9" t="s">
        <v>93</v>
      </c>
      <c r="K80" s="9" t="s">
        <v>94</v>
      </c>
      <c r="L80" s="9" t="s">
        <v>46</v>
      </c>
      <c r="M80" s="9" t="s">
        <v>23</v>
      </c>
      <c r="N80" s="9" t="s">
        <v>95</v>
      </c>
      <c r="O80" s="9" t="s">
        <v>96</v>
      </c>
      <c r="P80" s="9">
        <v>55044</v>
      </c>
      <c r="Q80" s="9" t="s">
        <v>26</v>
      </c>
      <c r="R80" s="9" t="s">
        <v>38</v>
      </c>
      <c r="S80" s="9" t="s">
        <v>39</v>
      </c>
      <c r="T80" s="9" t="s">
        <v>40</v>
      </c>
      <c r="U80" s="9" t="s">
        <v>41</v>
      </c>
      <c r="V80" s="11">
        <v>2001.86</v>
      </c>
      <c r="W80" s="9" t="str">
        <f t="shared" si="9"/>
        <v>Slow Delivery</v>
      </c>
    </row>
    <row r="81" spans="1:23" x14ac:dyDescent="0.25">
      <c r="A81" s="9">
        <v>307</v>
      </c>
      <c r="B81" s="10" t="s">
        <v>97</v>
      </c>
      <c r="C81" s="10">
        <v>42156</v>
      </c>
      <c r="D81" s="10">
        <v>42161</v>
      </c>
      <c r="E81" s="9">
        <f t="shared" si="6"/>
        <v>2015</v>
      </c>
      <c r="F81" s="10" t="str">
        <f t="shared" si="7"/>
        <v>Jun</v>
      </c>
      <c r="G81" s="9">
        <f t="shared" si="8"/>
        <v>6</v>
      </c>
      <c r="H81" s="9">
        <f t="shared" si="5"/>
        <v>5</v>
      </c>
      <c r="I81" s="9" t="s">
        <v>43</v>
      </c>
      <c r="J81" s="9" t="s">
        <v>98</v>
      </c>
      <c r="K81" s="9" t="s">
        <v>99</v>
      </c>
      <c r="L81" s="9" t="s">
        <v>46</v>
      </c>
      <c r="M81" s="9" t="s">
        <v>23</v>
      </c>
      <c r="N81" s="9" t="s">
        <v>100</v>
      </c>
      <c r="O81" s="9" t="s">
        <v>101</v>
      </c>
      <c r="P81" s="9">
        <v>8701</v>
      </c>
      <c r="Q81" s="9" t="s">
        <v>49</v>
      </c>
      <c r="R81" s="9" t="s">
        <v>102</v>
      </c>
      <c r="S81" s="9" t="s">
        <v>66</v>
      </c>
      <c r="T81" s="9" t="s">
        <v>103</v>
      </c>
      <c r="U81" s="9" t="s">
        <v>104</v>
      </c>
      <c r="V81" s="11">
        <v>45.48</v>
      </c>
      <c r="W81" s="9" t="str">
        <f t="shared" si="9"/>
        <v>Slow Delivery</v>
      </c>
    </row>
    <row r="82" spans="1:23" x14ac:dyDescent="0.25">
      <c r="A82" s="9">
        <v>2201</v>
      </c>
      <c r="B82" s="10" t="s">
        <v>105</v>
      </c>
      <c r="C82" s="10">
        <v>42156</v>
      </c>
      <c r="D82" s="10">
        <v>42161</v>
      </c>
      <c r="E82" s="9">
        <f t="shared" si="6"/>
        <v>2015</v>
      </c>
      <c r="F82" s="10" t="str">
        <f t="shared" si="7"/>
        <v>Jun</v>
      </c>
      <c r="G82" s="9">
        <f t="shared" si="8"/>
        <v>6</v>
      </c>
      <c r="H82" s="9">
        <f t="shared" si="5"/>
        <v>5</v>
      </c>
      <c r="I82" s="9" t="s">
        <v>43</v>
      </c>
      <c r="J82" s="9" t="s">
        <v>106</v>
      </c>
      <c r="K82" s="9" t="s">
        <v>107</v>
      </c>
      <c r="L82" s="9" t="s">
        <v>22</v>
      </c>
      <c r="M82" s="9" t="s">
        <v>23</v>
      </c>
      <c r="N82" s="9" t="s">
        <v>108</v>
      </c>
      <c r="O82" s="9" t="s">
        <v>109</v>
      </c>
      <c r="P82" s="9">
        <v>72209</v>
      </c>
      <c r="Q82" s="9" t="s">
        <v>110</v>
      </c>
      <c r="R82" s="9" t="s">
        <v>111</v>
      </c>
      <c r="S82" s="9" t="s">
        <v>39</v>
      </c>
      <c r="T82" s="9" t="s">
        <v>112</v>
      </c>
      <c r="U82" s="9" t="s">
        <v>113</v>
      </c>
      <c r="V82" s="11">
        <v>22.2</v>
      </c>
      <c r="W82" s="9" t="str">
        <f t="shared" si="9"/>
        <v>Slow Delivery</v>
      </c>
    </row>
    <row r="83" spans="1:23" x14ac:dyDescent="0.25">
      <c r="A83" s="9">
        <v>9150</v>
      </c>
      <c r="B83" s="10" t="s">
        <v>114</v>
      </c>
      <c r="C83" s="10">
        <v>42156</v>
      </c>
      <c r="D83" s="10">
        <v>42161</v>
      </c>
      <c r="E83" s="9">
        <f t="shared" si="6"/>
        <v>2015</v>
      </c>
      <c r="F83" s="10" t="str">
        <f t="shared" si="7"/>
        <v>Jun</v>
      </c>
      <c r="G83" s="9">
        <f t="shared" si="8"/>
        <v>6</v>
      </c>
      <c r="H83" s="9">
        <f t="shared" si="5"/>
        <v>5</v>
      </c>
      <c r="I83" s="9" t="s">
        <v>43</v>
      </c>
      <c r="J83" s="9" t="s">
        <v>115</v>
      </c>
      <c r="K83" s="9" t="s">
        <v>116</v>
      </c>
      <c r="L83" s="9" t="s">
        <v>87</v>
      </c>
      <c r="M83" s="9" t="s">
        <v>23</v>
      </c>
      <c r="N83" s="9" t="s">
        <v>117</v>
      </c>
      <c r="O83" s="9" t="s">
        <v>118</v>
      </c>
      <c r="P83" s="9">
        <v>48234</v>
      </c>
      <c r="Q83" s="9" t="s">
        <v>26</v>
      </c>
      <c r="R83" s="9" t="s">
        <v>119</v>
      </c>
      <c r="S83" s="9" t="s">
        <v>66</v>
      </c>
      <c r="T83" s="9" t="s">
        <v>103</v>
      </c>
      <c r="U83" s="9" t="s">
        <v>120</v>
      </c>
      <c r="V83" s="11">
        <v>138.56</v>
      </c>
      <c r="W83" s="9" t="str">
        <f t="shared" si="9"/>
        <v>Slow Delivery</v>
      </c>
    </row>
    <row r="84" spans="1:23" x14ac:dyDescent="0.25">
      <c r="A84" s="9">
        <v>3888</v>
      </c>
      <c r="B84" s="10" t="s">
        <v>320</v>
      </c>
      <c r="C84" s="10">
        <v>42157</v>
      </c>
      <c r="D84" s="10">
        <v>42161</v>
      </c>
      <c r="E84" s="9">
        <f t="shared" si="6"/>
        <v>2015</v>
      </c>
      <c r="F84" s="10" t="str">
        <f t="shared" si="7"/>
        <v>Jun</v>
      </c>
      <c r="G84" s="9">
        <f t="shared" si="8"/>
        <v>6</v>
      </c>
      <c r="H84" s="9">
        <f t="shared" si="5"/>
        <v>4</v>
      </c>
      <c r="I84" s="9" t="s">
        <v>43</v>
      </c>
      <c r="J84" s="9" t="s">
        <v>321</v>
      </c>
      <c r="K84" s="9" t="s">
        <v>322</v>
      </c>
      <c r="L84" s="9" t="s">
        <v>22</v>
      </c>
      <c r="M84" s="9" t="s">
        <v>23</v>
      </c>
      <c r="N84" s="9" t="s">
        <v>323</v>
      </c>
      <c r="O84" s="9" t="s">
        <v>286</v>
      </c>
      <c r="P84" s="9">
        <v>30076</v>
      </c>
      <c r="Q84" s="9" t="s">
        <v>110</v>
      </c>
      <c r="R84" s="9" t="s">
        <v>324</v>
      </c>
      <c r="S84" s="9" t="s">
        <v>66</v>
      </c>
      <c r="T84" s="9" t="s">
        <v>158</v>
      </c>
      <c r="U84" s="9" t="s">
        <v>325</v>
      </c>
      <c r="V84" s="11">
        <v>8.56</v>
      </c>
      <c r="W84" s="9" t="str">
        <f t="shared" si="9"/>
        <v>Slow Delivery</v>
      </c>
    </row>
    <row r="85" spans="1:23" x14ac:dyDescent="0.25">
      <c r="A85" s="9">
        <v>716</v>
      </c>
      <c r="B85" s="10" t="s">
        <v>121</v>
      </c>
      <c r="C85" s="10">
        <v>42186</v>
      </c>
      <c r="D85" s="10">
        <v>42191</v>
      </c>
      <c r="E85" s="9">
        <f t="shared" si="6"/>
        <v>2015</v>
      </c>
      <c r="F85" s="10" t="str">
        <f t="shared" si="7"/>
        <v>Jul</v>
      </c>
      <c r="G85" s="9">
        <f t="shared" si="8"/>
        <v>7</v>
      </c>
      <c r="H85" s="9">
        <f t="shared" si="5"/>
        <v>5</v>
      </c>
      <c r="I85" s="9" t="s">
        <v>32</v>
      </c>
      <c r="J85" s="9" t="s">
        <v>122</v>
      </c>
      <c r="K85" s="9" t="s">
        <v>123</v>
      </c>
      <c r="L85" s="9" t="s">
        <v>87</v>
      </c>
      <c r="M85" s="9" t="s">
        <v>23</v>
      </c>
      <c r="N85" s="9" t="s">
        <v>35</v>
      </c>
      <c r="O85" s="9" t="s">
        <v>36</v>
      </c>
      <c r="P85" s="9">
        <v>98105</v>
      </c>
      <c r="Q85" s="9" t="s">
        <v>37</v>
      </c>
      <c r="R85" s="9" t="s">
        <v>124</v>
      </c>
      <c r="S85" s="9" t="s">
        <v>66</v>
      </c>
      <c r="T85" s="9" t="s">
        <v>103</v>
      </c>
      <c r="U85" s="9" t="s">
        <v>125</v>
      </c>
      <c r="V85" s="11">
        <v>19.920000000000002</v>
      </c>
      <c r="W85" s="9" t="str">
        <f t="shared" si="9"/>
        <v>Slow Delivery</v>
      </c>
    </row>
    <row r="86" spans="1:23" x14ac:dyDescent="0.25">
      <c r="A86" s="9">
        <v>2733</v>
      </c>
      <c r="B86" s="10" t="s">
        <v>326</v>
      </c>
      <c r="C86" s="10">
        <v>42187</v>
      </c>
      <c r="D86" s="10">
        <v>42191</v>
      </c>
      <c r="E86" s="9">
        <f t="shared" si="6"/>
        <v>2015</v>
      </c>
      <c r="F86" s="10" t="str">
        <f t="shared" si="7"/>
        <v>Jul</v>
      </c>
      <c r="G86" s="9">
        <f t="shared" si="8"/>
        <v>7</v>
      </c>
      <c r="H86" s="9">
        <f t="shared" si="5"/>
        <v>4</v>
      </c>
      <c r="I86" s="9" t="s">
        <v>43</v>
      </c>
      <c r="J86" s="9" t="s">
        <v>327</v>
      </c>
      <c r="K86" s="9" t="s">
        <v>328</v>
      </c>
      <c r="L86" s="9" t="s">
        <v>22</v>
      </c>
      <c r="M86" s="9" t="s">
        <v>23</v>
      </c>
      <c r="N86" s="9" t="s">
        <v>329</v>
      </c>
      <c r="O86" s="9" t="s">
        <v>101</v>
      </c>
      <c r="P86" s="9">
        <v>7060</v>
      </c>
      <c r="Q86" s="9" t="s">
        <v>49</v>
      </c>
      <c r="R86" s="9" t="s">
        <v>330</v>
      </c>
      <c r="S86" s="9" t="s">
        <v>28</v>
      </c>
      <c r="T86" s="9" t="s">
        <v>51</v>
      </c>
      <c r="U86" s="9" t="s">
        <v>331</v>
      </c>
      <c r="V86" s="11">
        <v>73.98</v>
      </c>
      <c r="W86" s="9" t="str">
        <f t="shared" si="9"/>
        <v>Slow Delivery</v>
      </c>
    </row>
    <row r="87" spans="1:23" x14ac:dyDescent="0.25">
      <c r="A87" s="9">
        <v>2411</v>
      </c>
      <c r="B87" s="10" t="s">
        <v>146</v>
      </c>
      <c r="C87" s="10">
        <v>42217</v>
      </c>
      <c r="D87" s="10">
        <v>42222</v>
      </c>
      <c r="E87" s="9">
        <f t="shared" si="6"/>
        <v>2015</v>
      </c>
      <c r="F87" s="10" t="str">
        <f t="shared" si="7"/>
        <v>Aug</v>
      </c>
      <c r="G87" s="9">
        <f t="shared" si="8"/>
        <v>8</v>
      </c>
      <c r="H87" s="9">
        <f t="shared" si="5"/>
        <v>5</v>
      </c>
      <c r="I87" s="9" t="s">
        <v>43</v>
      </c>
      <c r="J87" s="9" t="s">
        <v>147</v>
      </c>
      <c r="K87" s="9" t="s">
        <v>148</v>
      </c>
      <c r="L87" s="9" t="s">
        <v>46</v>
      </c>
      <c r="M87" s="9" t="s">
        <v>23</v>
      </c>
      <c r="N87" s="9" t="s">
        <v>149</v>
      </c>
      <c r="O87" s="9" t="s">
        <v>150</v>
      </c>
      <c r="P87" s="9">
        <v>19120</v>
      </c>
      <c r="Q87" s="9" t="s">
        <v>49</v>
      </c>
      <c r="R87" s="9" t="s">
        <v>151</v>
      </c>
      <c r="S87" s="9" t="s">
        <v>66</v>
      </c>
      <c r="T87" s="9" t="s">
        <v>67</v>
      </c>
      <c r="U87" s="9" t="s">
        <v>152</v>
      </c>
      <c r="V87" s="11">
        <v>5.68</v>
      </c>
      <c r="W87" s="9" t="str">
        <f t="shared" si="9"/>
        <v>Slow Delivery</v>
      </c>
    </row>
    <row r="88" spans="1:23" x14ac:dyDescent="0.25">
      <c r="A88" s="9">
        <v>6440</v>
      </c>
      <c r="B88" s="10" t="s">
        <v>708</v>
      </c>
      <c r="C88" s="10">
        <v>42281</v>
      </c>
      <c r="D88" s="10">
        <v>42283</v>
      </c>
      <c r="E88" s="9">
        <f t="shared" si="6"/>
        <v>2015</v>
      </c>
      <c r="F88" s="10" t="str">
        <f t="shared" si="7"/>
        <v>Oct</v>
      </c>
      <c r="G88" s="9">
        <f t="shared" si="8"/>
        <v>10</v>
      </c>
      <c r="H88" s="9">
        <f t="shared" si="5"/>
        <v>2</v>
      </c>
      <c r="I88" s="9" t="s">
        <v>19</v>
      </c>
      <c r="J88" s="9" t="s">
        <v>709</v>
      </c>
      <c r="K88" s="9" t="s">
        <v>710</v>
      </c>
      <c r="L88" s="9" t="s">
        <v>22</v>
      </c>
      <c r="M88" s="9" t="s">
        <v>23</v>
      </c>
      <c r="N88" s="9" t="s">
        <v>47</v>
      </c>
      <c r="O88" s="9" t="s">
        <v>48</v>
      </c>
      <c r="P88" s="9">
        <v>10024</v>
      </c>
      <c r="Q88" s="9" t="s">
        <v>49</v>
      </c>
      <c r="R88" s="9" t="s">
        <v>711</v>
      </c>
      <c r="S88" s="9" t="s">
        <v>39</v>
      </c>
      <c r="T88" s="9" t="s">
        <v>40</v>
      </c>
      <c r="U88" s="9" t="s">
        <v>712</v>
      </c>
      <c r="V88" s="11">
        <v>589.41</v>
      </c>
      <c r="W88" s="9" t="str">
        <f t="shared" si="9"/>
        <v>Fast Delivery</v>
      </c>
    </row>
    <row r="89" spans="1:23" x14ac:dyDescent="0.25">
      <c r="A89" s="9">
        <v>6805</v>
      </c>
      <c r="B89" s="10" t="s">
        <v>859</v>
      </c>
      <c r="C89" s="10">
        <v>42282</v>
      </c>
      <c r="D89" s="10">
        <v>42283</v>
      </c>
      <c r="E89" s="9">
        <f t="shared" si="6"/>
        <v>2015</v>
      </c>
      <c r="F89" s="10" t="str">
        <f t="shared" si="7"/>
        <v>Oct</v>
      </c>
      <c r="G89" s="9">
        <f t="shared" si="8"/>
        <v>10</v>
      </c>
      <c r="H89" s="9">
        <f t="shared" si="5"/>
        <v>1</v>
      </c>
      <c r="I89" s="9" t="s">
        <v>19</v>
      </c>
      <c r="J89" s="9" t="s">
        <v>860</v>
      </c>
      <c r="K89" s="9" t="s">
        <v>861</v>
      </c>
      <c r="L89" s="9" t="s">
        <v>22</v>
      </c>
      <c r="M89" s="9" t="s">
        <v>23</v>
      </c>
      <c r="N89" s="9" t="s">
        <v>862</v>
      </c>
      <c r="O89" s="9" t="s">
        <v>80</v>
      </c>
      <c r="P89" s="9">
        <v>91767</v>
      </c>
      <c r="Q89" s="9" t="s">
        <v>37</v>
      </c>
      <c r="R89" s="9" t="s">
        <v>863</v>
      </c>
      <c r="S89" s="9" t="s">
        <v>28</v>
      </c>
      <c r="T89" s="9" t="s">
        <v>29</v>
      </c>
      <c r="U89" s="9" t="s">
        <v>864</v>
      </c>
      <c r="V89" s="11">
        <v>99.98</v>
      </c>
      <c r="W89" s="9" t="str">
        <f t="shared" si="9"/>
        <v>Fast Delivery</v>
      </c>
    </row>
    <row r="90" spans="1:23" x14ac:dyDescent="0.25">
      <c r="A90" s="9">
        <v>4524</v>
      </c>
      <c r="B90" s="10" t="s">
        <v>385</v>
      </c>
      <c r="C90" s="10">
        <v>42310</v>
      </c>
      <c r="D90" s="10">
        <v>42314</v>
      </c>
      <c r="E90" s="9">
        <f t="shared" si="6"/>
        <v>2015</v>
      </c>
      <c r="F90" s="10" t="str">
        <f t="shared" si="7"/>
        <v>Nov</v>
      </c>
      <c r="G90" s="9">
        <f t="shared" si="8"/>
        <v>11</v>
      </c>
      <c r="H90" s="9">
        <f t="shared" si="5"/>
        <v>4</v>
      </c>
      <c r="I90" s="9" t="s">
        <v>43</v>
      </c>
      <c r="J90" s="9" t="s">
        <v>386</v>
      </c>
      <c r="K90" s="9" t="s">
        <v>387</v>
      </c>
      <c r="L90" s="9" t="s">
        <v>22</v>
      </c>
      <c r="M90" s="9" t="s">
        <v>23</v>
      </c>
      <c r="N90" s="9" t="s">
        <v>47</v>
      </c>
      <c r="O90" s="9" t="s">
        <v>48</v>
      </c>
      <c r="P90" s="9">
        <v>10024</v>
      </c>
      <c r="Q90" s="9" t="s">
        <v>49</v>
      </c>
      <c r="R90" s="9" t="s">
        <v>388</v>
      </c>
      <c r="S90" s="9" t="s">
        <v>66</v>
      </c>
      <c r="T90" s="9" t="s">
        <v>82</v>
      </c>
      <c r="U90" s="9" t="s">
        <v>389</v>
      </c>
      <c r="V90" s="11">
        <v>34.86</v>
      </c>
      <c r="W90" s="9" t="str">
        <f t="shared" si="9"/>
        <v>Slow Delivery</v>
      </c>
    </row>
    <row r="91" spans="1:23" x14ac:dyDescent="0.25">
      <c r="A91" s="9">
        <v>6502</v>
      </c>
      <c r="B91" s="10" t="s">
        <v>394</v>
      </c>
      <c r="C91" s="10">
        <v>42310</v>
      </c>
      <c r="D91" s="10">
        <v>42314</v>
      </c>
      <c r="E91" s="9">
        <f t="shared" si="6"/>
        <v>2015</v>
      </c>
      <c r="F91" s="10" t="str">
        <f t="shared" si="7"/>
        <v>Nov</v>
      </c>
      <c r="G91" s="9">
        <f t="shared" si="8"/>
        <v>11</v>
      </c>
      <c r="H91" s="9">
        <f t="shared" si="5"/>
        <v>4</v>
      </c>
      <c r="I91" s="9" t="s">
        <v>43</v>
      </c>
      <c r="J91" s="9" t="s">
        <v>395</v>
      </c>
      <c r="K91" s="9" t="s">
        <v>396</v>
      </c>
      <c r="L91" s="9" t="s">
        <v>22</v>
      </c>
      <c r="M91" s="9" t="s">
        <v>23</v>
      </c>
      <c r="N91" s="9" t="s">
        <v>397</v>
      </c>
      <c r="O91" s="9" t="s">
        <v>250</v>
      </c>
      <c r="P91" s="9">
        <v>44256</v>
      </c>
      <c r="Q91" s="9" t="s">
        <v>49</v>
      </c>
      <c r="R91" s="9" t="s">
        <v>398</v>
      </c>
      <c r="S91" s="9" t="s">
        <v>28</v>
      </c>
      <c r="T91" s="9" t="s">
        <v>51</v>
      </c>
      <c r="U91" s="9" t="s">
        <v>399</v>
      </c>
      <c r="V91" s="11">
        <v>539.96400000000006</v>
      </c>
      <c r="W91" s="9" t="str">
        <f t="shared" si="9"/>
        <v>Slow Delivery</v>
      </c>
    </row>
    <row r="92" spans="1:23" x14ac:dyDescent="0.25">
      <c r="A92" s="9">
        <v>7277</v>
      </c>
      <c r="B92" s="10" t="s">
        <v>400</v>
      </c>
      <c r="C92" s="10">
        <v>42310</v>
      </c>
      <c r="D92" s="10">
        <v>42314</v>
      </c>
      <c r="E92" s="9">
        <f t="shared" si="6"/>
        <v>2015</v>
      </c>
      <c r="F92" s="10" t="str">
        <f t="shared" si="7"/>
        <v>Nov</v>
      </c>
      <c r="G92" s="9">
        <f t="shared" si="8"/>
        <v>11</v>
      </c>
      <c r="H92" s="9">
        <f t="shared" si="5"/>
        <v>4</v>
      </c>
      <c r="I92" s="9" t="s">
        <v>43</v>
      </c>
      <c r="J92" s="9" t="s">
        <v>401</v>
      </c>
      <c r="K92" s="9" t="s">
        <v>402</v>
      </c>
      <c r="L92" s="9" t="s">
        <v>46</v>
      </c>
      <c r="M92" s="9" t="s">
        <v>23</v>
      </c>
      <c r="N92" s="9" t="s">
        <v>403</v>
      </c>
      <c r="O92" s="9" t="s">
        <v>130</v>
      </c>
      <c r="P92" s="9">
        <v>33311</v>
      </c>
      <c r="Q92" s="9" t="s">
        <v>110</v>
      </c>
      <c r="R92" s="9" t="s">
        <v>404</v>
      </c>
      <c r="S92" s="9" t="s">
        <v>28</v>
      </c>
      <c r="T92" s="9" t="s">
        <v>29</v>
      </c>
      <c r="U92" s="9" t="s">
        <v>405</v>
      </c>
      <c r="V92" s="11">
        <v>799.92</v>
      </c>
      <c r="W92" s="9" t="str">
        <f t="shared" si="9"/>
        <v>Slow Delivery</v>
      </c>
    </row>
    <row r="93" spans="1:23" x14ac:dyDescent="0.25">
      <c r="A93" s="9">
        <v>7507</v>
      </c>
      <c r="B93" s="10" t="s">
        <v>406</v>
      </c>
      <c r="C93" s="10">
        <v>42310</v>
      </c>
      <c r="D93" s="10">
        <v>42314</v>
      </c>
      <c r="E93" s="9">
        <f t="shared" si="6"/>
        <v>2015</v>
      </c>
      <c r="F93" s="10" t="str">
        <f t="shared" si="7"/>
        <v>Nov</v>
      </c>
      <c r="G93" s="9">
        <f t="shared" si="8"/>
        <v>11</v>
      </c>
      <c r="H93" s="9">
        <f t="shared" si="5"/>
        <v>4</v>
      </c>
      <c r="I93" s="9" t="s">
        <v>43</v>
      </c>
      <c r="J93" s="9" t="s">
        <v>407</v>
      </c>
      <c r="K93" s="9" t="s">
        <v>408</v>
      </c>
      <c r="L93" s="9" t="s">
        <v>22</v>
      </c>
      <c r="M93" s="9" t="s">
        <v>23</v>
      </c>
      <c r="N93" s="9" t="s">
        <v>143</v>
      </c>
      <c r="O93" s="9" t="s">
        <v>80</v>
      </c>
      <c r="P93" s="9">
        <v>94122</v>
      </c>
      <c r="Q93" s="9" t="s">
        <v>37</v>
      </c>
      <c r="R93" s="9" t="s">
        <v>409</v>
      </c>
      <c r="S93" s="9" t="s">
        <v>28</v>
      </c>
      <c r="T93" s="9" t="s">
        <v>51</v>
      </c>
      <c r="U93" s="9" t="s">
        <v>410</v>
      </c>
      <c r="V93" s="11">
        <v>46.384</v>
      </c>
      <c r="W93" s="9" t="str">
        <f t="shared" si="9"/>
        <v>Slow Delivery</v>
      </c>
    </row>
    <row r="94" spans="1:23" x14ac:dyDescent="0.25">
      <c r="A94" s="9">
        <v>2788</v>
      </c>
      <c r="B94" s="10" t="s">
        <v>421</v>
      </c>
      <c r="C94" s="10">
        <v>42340</v>
      </c>
      <c r="D94" s="10">
        <v>42344</v>
      </c>
      <c r="E94" s="9">
        <f t="shared" si="6"/>
        <v>2015</v>
      </c>
      <c r="F94" s="10" t="str">
        <f t="shared" si="7"/>
        <v>Dec</v>
      </c>
      <c r="G94" s="9">
        <f t="shared" si="8"/>
        <v>12</v>
      </c>
      <c r="H94" s="9">
        <f t="shared" si="5"/>
        <v>4</v>
      </c>
      <c r="I94" s="9" t="s">
        <v>43</v>
      </c>
      <c r="J94" s="9" t="s">
        <v>422</v>
      </c>
      <c r="K94" s="9" t="s">
        <v>423</v>
      </c>
      <c r="L94" s="9" t="s">
        <v>87</v>
      </c>
      <c r="M94" s="9" t="s">
        <v>23</v>
      </c>
      <c r="N94" s="9" t="s">
        <v>424</v>
      </c>
      <c r="O94" s="9" t="s">
        <v>64</v>
      </c>
      <c r="P94" s="9">
        <v>78415</v>
      </c>
      <c r="Q94" s="9" t="s">
        <v>26</v>
      </c>
      <c r="R94" s="9" t="s">
        <v>425</v>
      </c>
      <c r="S94" s="9" t="s">
        <v>39</v>
      </c>
      <c r="T94" s="9" t="s">
        <v>112</v>
      </c>
      <c r="U94" s="9" t="s">
        <v>426</v>
      </c>
      <c r="V94" s="11">
        <v>58.36</v>
      </c>
      <c r="W94" s="9" t="str">
        <f t="shared" si="9"/>
        <v>Slow Delivery</v>
      </c>
    </row>
    <row r="95" spans="1:23" x14ac:dyDescent="0.25">
      <c r="A95" s="9">
        <v>2623</v>
      </c>
      <c r="B95" s="10" t="s">
        <v>602</v>
      </c>
      <c r="C95" s="10">
        <v>42341</v>
      </c>
      <c r="D95" s="10">
        <v>42344</v>
      </c>
      <c r="E95" s="9">
        <f t="shared" si="6"/>
        <v>2015</v>
      </c>
      <c r="F95" s="10" t="str">
        <f t="shared" si="7"/>
        <v>Dec</v>
      </c>
      <c r="G95" s="9">
        <f t="shared" si="8"/>
        <v>12</v>
      </c>
      <c r="H95" s="9">
        <f t="shared" si="5"/>
        <v>3</v>
      </c>
      <c r="I95" s="9" t="s">
        <v>32</v>
      </c>
      <c r="J95" s="9" t="s">
        <v>603</v>
      </c>
      <c r="K95" s="9" t="s">
        <v>604</v>
      </c>
      <c r="L95" s="9" t="s">
        <v>87</v>
      </c>
      <c r="M95" s="9" t="s">
        <v>23</v>
      </c>
      <c r="N95" s="9" t="s">
        <v>605</v>
      </c>
      <c r="O95" s="9" t="s">
        <v>336</v>
      </c>
      <c r="P95" s="9">
        <v>63116</v>
      </c>
      <c r="Q95" s="9" t="s">
        <v>26</v>
      </c>
      <c r="R95" s="9" t="s">
        <v>606</v>
      </c>
      <c r="S95" s="9" t="s">
        <v>66</v>
      </c>
      <c r="T95" s="9" t="s">
        <v>201</v>
      </c>
      <c r="U95" s="9" t="s">
        <v>607</v>
      </c>
      <c r="V95" s="11">
        <v>25.92</v>
      </c>
      <c r="W95" s="9" t="str">
        <f t="shared" si="9"/>
        <v>Fast Delivery</v>
      </c>
    </row>
    <row r="96" spans="1:23" x14ac:dyDescent="0.25">
      <c r="A96" s="9">
        <v>9367</v>
      </c>
      <c r="B96" s="10" t="s">
        <v>1182</v>
      </c>
      <c r="C96" s="10">
        <v>42163</v>
      </c>
      <c r="D96" s="10">
        <v>42168</v>
      </c>
      <c r="E96" s="9">
        <f t="shared" si="6"/>
        <v>2015</v>
      </c>
      <c r="F96" s="10" t="str">
        <f t="shared" si="7"/>
        <v>Jun</v>
      </c>
      <c r="G96" s="9">
        <f t="shared" si="8"/>
        <v>6</v>
      </c>
      <c r="H96" s="9">
        <f t="shared" si="5"/>
        <v>5</v>
      </c>
      <c r="I96" s="9" t="s">
        <v>43</v>
      </c>
      <c r="J96" s="9" t="s">
        <v>1183</v>
      </c>
      <c r="K96" s="9" t="s">
        <v>1184</v>
      </c>
      <c r="L96" s="9" t="s">
        <v>22</v>
      </c>
      <c r="M96" s="9" t="s">
        <v>23</v>
      </c>
      <c r="N96" s="9" t="s">
        <v>219</v>
      </c>
      <c r="O96" s="9" t="s">
        <v>48</v>
      </c>
      <c r="P96" s="9">
        <v>11561</v>
      </c>
      <c r="Q96" s="9" t="s">
        <v>49</v>
      </c>
      <c r="R96" s="9" t="s">
        <v>1185</v>
      </c>
      <c r="S96" s="9" t="s">
        <v>66</v>
      </c>
      <c r="T96" s="9" t="s">
        <v>103</v>
      </c>
      <c r="U96" s="9" t="s">
        <v>1186</v>
      </c>
      <c r="V96" s="11">
        <v>68.48</v>
      </c>
      <c r="W96" s="9" t="str">
        <f t="shared" si="9"/>
        <v>Slow Delivery</v>
      </c>
    </row>
    <row r="97" spans="1:23" x14ac:dyDescent="0.25">
      <c r="A97" s="9">
        <v>489</v>
      </c>
      <c r="B97" s="10" t="s">
        <v>1310</v>
      </c>
      <c r="C97" s="10">
        <v>42164</v>
      </c>
      <c r="D97" s="10">
        <v>42168</v>
      </c>
      <c r="E97" s="9">
        <f t="shared" si="6"/>
        <v>2015</v>
      </c>
      <c r="F97" s="10" t="str">
        <f t="shared" si="7"/>
        <v>Jun</v>
      </c>
      <c r="G97" s="9">
        <f t="shared" si="8"/>
        <v>6</v>
      </c>
      <c r="H97" s="9">
        <f t="shared" si="5"/>
        <v>4</v>
      </c>
      <c r="I97" s="9" t="s">
        <v>32</v>
      </c>
      <c r="J97" s="9" t="s">
        <v>1311</v>
      </c>
      <c r="K97" s="9" t="s">
        <v>1312</v>
      </c>
      <c r="L97" s="9" t="s">
        <v>46</v>
      </c>
      <c r="M97" s="9" t="s">
        <v>23</v>
      </c>
      <c r="N97" s="9" t="s">
        <v>1041</v>
      </c>
      <c r="O97" s="9" t="s">
        <v>64</v>
      </c>
      <c r="P97" s="9">
        <v>77340</v>
      </c>
      <c r="Q97" s="9" t="s">
        <v>26</v>
      </c>
      <c r="R97" s="9" t="s">
        <v>1313</v>
      </c>
      <c r="S97" s="9" t="s">
        <v>28</v>
      </c>
      <c r="T97" s="9" t="s">
        <v>51</v>
      </c>
      <c r="U97" s="9" t="s">
        <v>1314</v>
      </c>
      <c r="V97" s="11">
        <v>7.992</v>
      </c>
      <c r="W97" s="9" t="str">
        <f t="shared" si="9"/>
        <v>Slow Delivery</v>
      </c>
    </row>
    <row r="98" spans="1:23" x14ac:dyDescent="0.25">
      <c r="A98" s="9">
        <v>4955</v>
      </c>
      <c r="B98" s="10" t="s">
        <v>1326</v>
      </c>
      <c r="C98" s="10">
        <v>42164</v>
      </c>
      <c r="D98" s="10">
        <v>42168</v>
      </c>
      <c r="E98" s="9">
        <f t="shared" si="6"/>
        <v>2015</v>
      </c>
      <c r="F98" s="10" t="str">
        <f t="shared" si="7"/>
        <v>Jun</v>
      </c>
      <c r="G98" s="9">
        <f t="shared" si="8"/>
        <v>6</v>
      </c>
      <c r="H98" s="9">
        <f t="shared" si="5"/>
        <v>4</v>
      </c>
      <c r="I98" s="9" t="s">
        <v>32</v>
      </c>
      <c r="J98" s="9" t="s">
        <v>1327</v>
      </c>
      <c r="K98" s="9" t="s">
        <v>1328</v>
      </c>
      <c r="L98" s="9" t="s">
        <v>87</v>
      </c>
      <c r="M98" s="9" t="s">
        <v>23</v>
      </c>
      <c r="N98" s="9" t="s">
        <v>1329</v>
      </c>
      <c r="O98" s="9" t="s">
        <v>174</v>
      </c>
      <c r="P98" s="9">
        <v>89031</v>
      </c>
      <c r="Q98" s="9" t="s">
        <v>37</v>
      </c>
      <c r="R98" s="9" t="s">
        <v>1330</v>
      </c>
      <c r="S98" s="9" t="s">
        <v>66</v>
      </c>
      <c r="T98" s="9" t="s">
        <v>158</v>
      </c>
      <c r="U98" s="9" t="s">
        <v>1331</v>
      </c>
      <c r="V98" s="11">
        <v>18.059999999999999</v>
      </c>
      <c r="W98" s="9" t="str">
        <f t="shared" si="9"/>
        <v>Slow Delivery</v>
      </c>
    </row>
    <row r="99" spans="1:23" x14ac:dyDescent="0.25">
      <c r="A99" s="9">
        <v>2750</v>
      </c>
      <c r="B99" s="10" t="s">
        <v>1177</v>
      </c>
      <c r="C99" s="10">
        <v>42163</v>
      </c>
      <c r="D99" s="10">
        <v>42169</v>
      </c>
      <c r="E99" s="9">
        <f t="shared" si="6"/>
        <v>2015</v>
      </c>
      <c r="F99" s="10" t="str">
        <f t="shared" si="7"/>
        <v>Jun</v>
      </c>
      <c r="G99" s="9">
        <f t="shared" si="8"/>
        <v>6</v>
      </c>
      <c r="H99" s="9">
        <f t="shared" si="5"/>
        <v>6</v>
      </c>
      <c r="I99" s="9" t="s">
        <v>43</v>
      </c>
      <c r="J99" s="9" t="s">
        <v>1178</v>
      </c>
      <c r="K99" s="9" t="s">
        <v>1179</v>
      </c>
      <c r="L99" s="9" t="s">
        <v>22</v>
      </c>
      <c r="M99" s="9" t="s">
        <v>23</v>
      </c>
      <c r="N99" s="9" t="s">
        <v>35</v>
      </c>
      <c r="O99" s="9" t="s">
        <v>36</v>
      </c>
      <c r="P99" s="9">
        <v>98115</v>
      </c>
      <c r="Q99" s="9" t="s">
        <v>37</v>
      </c>
      <c r="R99" s="9" t="s">
        <v>1180</v>
      </c>
      <c r="S99" s="9" t="s">
        <v>39</v>
      </c>
      <c r="T99" s="9" t="s">
        <v>40</v>
      </c>
      <c r="U99" s="9" t="s">
        <v>1181</v>
      </c>
      <c r="V99" s="11">
        <v>585.55200000000002</v>
      </c>
      <c r="W99" s="9" t="str">
        <f t="shared" si="9"/>
        <v>Slow Delivery</v>
      </c>
    </row>
    <row r="100" spans="1:23" x14ac:dyDescent="0.25">
      <c r="A100" s="9">
        <v>6</v>
      </c>
      <c r="B100" s="10" t="s">
        <v>1307</v>
      </c>
      <c r="C100" s="10">
        <v>42164</v>
      </c>
      <c r="D100" s="10">
        <v>42169</v>
      </c>
      <c r="E100" s="9">
        <f t="shared" si="6"/>
        <v>2015</v>
      </c>
      <c r="F100" s="10" t="str">
        <f t="shared" si="7"/>
        <v>Jun</v>
      </c>
      <c r="G100" s="9">
        <f t="shared" si="8"/>
        <v>6</v>
      </c>
      <c r="H100" s="9">
        <f t="shared" si="5"/>
        <v>5</v>
      </c>
      <c r="I100" s="9" t="s">
        <v>43</v>
      </c>
      <c r="J100" s="9" t="s">
        <v>1308</v>
      </c>
      <c r="K100" s="9" t="s">
        <v>1309</v>
      </c>
      <c r="L100" s="9" t="s">
        <v>22</v>
      </c>
      <c r="M100" s="9" t="s">
        <v>23</v>
      </c>
      <c r="N100" s="9" t="s">
        <v>213</v>
      </c>
      <c r="O100" s="9" t="s">
        <v>80</v>
      </c>
      <c r="P100" s="9">
        <v>90032</v>
      </c>
      <c r="Q100" s="9" t="s">
        <v>37</v>
      </c>
      <c r="R100" s="9" t="s">
        <v>1013</v>
      </c>
      <c r="S100" s="9" t="s">
        <v>39</v>
      </c>
      <c r="T100" s="9" t="s">
        <v>112</v>
      </c>
      <c r="U100" s="9" t="s">
        <v>1014</v>
      </c>
      <c r="V100" s="11">
        <v>48.86</v>
      </c>
      <c r="W100" s="9" t="str">
        <f t="shared" si="9"/>
        <v>Slow Delivery</v>
      </c>
    </row>
    <row r="101" spans="1:23" x14ac:dyDescent="0.25">
      <c r="A101" s="9">
        <v>9697</v>
      </c>
      <c r="B101" s="10" t="s">
        <v>1425</v>
      </c>
      <c r="C101" s="10">
        <v>42165</v>
      </c>
      <c r="D101" s="10">
        <v>42170</v>
      </c>
      <c r="E101" s="9">
        <f t="shared" si="6"/>
        <v>2015</v>
      </c>
      <c r="F101" s="10" t="str">
        <f t="shared" si="7"/>
        <v>Jun</v>
      </c>
      <c r="G101" s="9">
        <f t="shared" si="8"/>
        <v>6</v>
      </c>
      <c r="H101" s="9">
        <f t="shared" si="5"/>
        <v>5</v>
      </c>
      <c r="I101" s="9" t="s">
        <v>32</v>
      </c>
      <c r="J101" s="9" t="s">
        <v>1426</v>
      </c>
      <c r="K101" s="9" t="s">
        <v>1427</v>
      </c>
      <c r="L101" s="9" t="s">
        <v>87</v>
      </c>
      <c r="M101" s="9" t="s">
        <v>23</v>
      </c>
      <c r="N101" s="9" t="s">
        <v>117</v>
      </c>
      <c r="O101" s="9" t="s">
        <v>118</v>
      </c>
      <c r="P101" s="9">
        <v>48234</v>
      </c>
      <c r="Q101" s="9" t="s">
        <v>26</v>
      </c>
      <c r="R101" s="9" t="s">
        <v>1428</v>
      </c>
      <c r="S101" s="9" t="s">
        <v>66</v>
      </c>
      <c r="T101" s="9" t="s">
        <v>82</v>
      </c>
      <c r="U101" s="9" t="s">
        <v>1429</v>
      </c>
      <c r="V101" s="11">
        <v>491.55</v>
      </c>
      <c r="W101" s="9" t="str">
        <f t="shared" si="9"/>
        <v>Slow Delivery</v>
      </c>
    </row>
    <row r="102" spans="1:23" x14ac:dyDescent="0.25">
      <c r="A102" s="9">
        <v>861</v>
      </c>
      <c r="B102" s="10" t="s">
        <v>1315</v>
      </c>
      <c r="C102" s="10">
        <v>42164</v>
      </c>
      <c r="D102" s="10">
        <v>42171</v>
      </c>
      <c r="E102" s="9">
        <f t="shared" si="6"/>
        <v>2015</v>
      </c>
      <c r="F102" s="10" t="str">
        <f t="shared" si="7"/>
        <v>Jun</v>
      </c>
      <c r="G102" s="9">
        <f t="shared" si="8"/>
        <v>6</v>
      </c>
      <c r="H102" s="9">
        <f t="shared" si="5"/>
        <v>7</v>
      </c>
      <c r="I102" s="9" t="s">
        <v>43</v>
      </c>
      <c r="J102" s="9" t="s">
        <v>1316</v>
      </c>
      <c r="K102" s="9" t="s">
        <v>1317</v>
      </c>
      <c r="L102" s="9" t="s">
        <v>22</v>
      </c>
      <c r="M102" s="9" t="s">
        <v>23</v>
      </c>
      <c r="N102" s="9" t="s">
        <v>143</v>
      </c>
      <c r="O102" s="9" t="s">
        <v>80</v>
      </c>
      <c r="P102" s="9">
        <v>94122</v>
      </c>
      <c r="Q102" s="9" t="s">
        <v>37</v>
      </c>
      <c r="R102" s="9" t="s">
        <v>1318</v>
      </c>
      <c r="S102" s="9" t="s">
        <v>66</v>
      </c>
      <c r="T102" s="9" t="s">
        <v>564</v>
      </c>
      <c r="U102" s="9" t="s">
        <v>1319</v>
      </c>
      <c r="V102" s="11">
        <v>7.36</v>
      </c>
      <c r="W102" s="9" t="str">
        <f t="shared" si="9"/>
        <v>Slow Delivery</v>
      </c>
    </row>
    <row r="103" spans="1:23" x14ac:dyDescent="0.25">
      <c r="A103" s="9">
        <v>7981</v>
      </c>
      <c r="B103" s="10" t="s">
        <v>450</v>
      </c>
      <c r="C103" s="10">
        <v>42007</v>
      </c>
      <c r="D103" s="10">
        <v>42011</v>
      </c>
      <c r="E103" s="9">
        <f t="shared" si="6"/>
        <v>2015</v>
      </c>
      <c r="F103" s="10" t="str">
        <f t="shared" si="7"/>
        <v>Jan</v>
      </c>
      <c r="G103" s="9">
        <f t="shared" si="8"/>
        <v>1</v>
      </c>
      <c r="H103" s="9">
        <f t="shared" si="5"/>
        <v>4</v>
      </c>
      <c r="I103" s="9" t="s">
        <v>43</v>
      </c>
      <c r="J103" s="9" t="s">
        <v>451</v>
      </c>
      <c r="K103" s="9" t="s">
        <v>452</v>
      </c>
      <c r="L103" s="9" t="s">
        <v>22</v>
      </c>
      <c r="M103" s="9" t="s">
        <v>23</v>
      </c>
      <c r="N103" s="9" t="s">
        <v>72</v>
      </c>
      <c r="O103" s="9" t="s">
        <v>64</v>
      </c>
      <c r="P103" s="9">
        <v>77095</v>
      </c>
      <c r="Q103" s="9" t="s">
        <v>26</v>
      </c>
      <c r="R103" s="9" t="s">
        <v>453</v>
      </c>
      <c r="S103" s="9" t="s">
        <v>66</v>
      </c>
      <c r="T103" s="9" t="s">
        <v>201</v>
      </c>
      <c r="U103" s="9" t="s">
        <v>454</v>
      </c>
      <c r="V103" s="11">
        <v>16.448</v>
      </c>
      <c r="W103" s="9" t="str">
        <f t="shared" si="9"/>
        <v>Slow Delivery</v>
      </c>
    </row>
    <row r="104" spans="1:23" x14ac:dyDescent="0.25">
      <c r="A104" s="9">
        <v>8310</v>
      </c>
      <c r="B104" s="10" t="s">
        <v>69</v>
      </c>
      <c r="C104" s="10">
        <v>42064</v>
      </c>
      <c r="D104" s="10">
        <v>42070</v>
      </c>
      <c r="E104" s="9">
        <f t="shared" si="6"/>
        <v>2015</v>
      </c>
      <c r="F104" s="10" t="str">
        <f t="shared" si="7"/>
        <v>Mar</v>
      </c>
      <c r="G104" s="9">
        <f t="shared" si="8"/>
        <v>3</v>
      </c>
      <c r="H104" s="9">
        <f t="shared" si="5"/>
        <v>6</v>
      </c>
      <c r="I104" s="9" t="s">
        <v>43</v>
      </c>
      <c r="J104" s="9" t="s">
        <v>70</v>
      </c>
      <c r="K104" s="9" t="s">
        <v>71</v>
      </c>
      <c r="L104" s="9" t="s">
        <v>22</v>
      </c>
      <c r="M104" s="9" t="s">
        <v>23</v>
      </c>
      <c r="N104" s="9" t="s">
        <v>72</v>
      </c>
      <c r="O104" s="9" t="s">
        <v>64</v>
      </c>
      <c r="P104" s="9">
        <v>77036</v>
      </c>
      <c r="Q104" s="9" t="s">
        <v>26</v>
      </c>
      <c r="R104" s="9" t="s">
        <v>73</v>
      </c>
      <c r="S104" s="9" t="s">
        <v>66</v>
      </c>
      <c r="T104" s="9" t="s">
        <v>74</v>
      </c>
      <c r="U104" s="9" t="s">
        <v>75</v>
      </c>
      <c r="V104" s="11">
        <v>137.352</v>
      </c>
      <c r="W104" s="9" t="str">
        <f t="shared" si="9"/>
        <v>Slow Delivery</v>
      </c>
    </row>
    <row r="105" spans="1:23" x14ac:dyDescent="0.25">
      <c r="A105" s="9">
        <v>556</v>
      </c>
      <c r="B105" s="10" t="s">
        <v>460</v>
      </c>
      <c r="C105" s="10">
        <v>42066</v>
      </c>
      <c r="D105" s="10">
        <v>42070</v>
      </c>
      <c r="E105" s="9">
        <f t="shared" si="6"/>
        <v>2015</v>
      </c>
      <c r="F105" s="10" t="str">
        <f t="shared" si="7"/>
        <v>Mar</v>
      </c>
      <c r="G105" s="9">
        <f t="shared" si="8"/>
        <v>3</v>
      </c>
      <c r="H105" s="9">
        <f t="shared" si="5"/>
        <v>4</v>
      </c>
      <c r="I105" s="9" t="s">
        <v>32</v>
      </c>
      <c r="J105" s="9" t="s">
        <v>461</v>
      </c>
      <c r="K105" s="9" t="s">
        <v>462</v>
      </c>
      <c r="L105" s="9" t="s">
        <v>22</v>
      </c>
      <c r="M105" s="9" t="s">
        <v>23</v>
      </c>
      <c r="N105" s="9" t="s">
        <v>463</v>
      </c>
      <c r="O105" s="9" t="s">
        <v>137</v>
      </c>
      <c r="P105" s="9">
        <v>28403</v>
      </c>
      <c r="Q105" s="9" t="s">
        <v>110</v>
      </c>
      <c r="R105" s="9" t="s">
        <v>464</v>
      </c>
      <c r="S105" s="9" t="s">
        <v>66</v>
      </c>
      <c r="T105" s="9" t="s">
        <v>158</v>
      </c>
      <c r="U105" s="9" t="s">
        <v>465</v>
      </c>
      <c r="V105" s="11">
        <v>19.456</v>
      </c>
      <c r="W105" s="9" t="str">
        <f t="shared" si="9"/>
        <v>Slow Delivery</v>
      </c>
    </row>
    <row r="106" spans="1:23" x14ac:dyDescent="0.25">
      <c r="A106" s="9">
        <v>8712</v>
      </c>
      <c r="B106" s="10" t="s">
        <v>476</v>
      </c>
      <c r="C106" s="10">
        <v>42066</v>
      </c>
      <c r="D106" s="10">
        <v>42070</v>
      </c>
      <c r="E106" s="9">
        <f t="shared" si="6"/>
        <v>2015</v>
      </c>
      <c r="F106" s="10" t="str">
        <f t="shared" si="7"/>
        <v>Mar</v>
      </c>
      <c r="G106" s="9">
        <f t="shared" si="8"/>
        <v>3</v>
      </c>
      <c r="H106" s="9">
        <f t="shared" si="5"/>
        <v>4</v>
      </c>
      <c r="I106" s="9" t="s">
        <v>43</v>
      </c>
      <c r="J106" s="9" t="s">
        <v>477</v>
      </c>
      <c r="K106" s="9" t="s">
        <v>478</v>
      </c>
      <c r="L106" s="9" t="s">
        <v>22</v>
      </c>
      <c r="M106" s="9" t="s">
        <v>23</v>
      </c>
      <c r="N106" s="9" t="s">
        <v>268</v>
      </c>
      <c r="O106" s="9" t="s">
        <v>80</v>
      </c>
      <c r="P106" s="9">
        <v>92037</v>
      </c>
      <c r="Q106" s="9" t="s">
        <v>37</v>
      </c>
      <c r="R106" s="9" t="s">
        <v>479</v>
      </c>
      <c r="S106" s="9" t="s">
        <v>39</v>
      </c>
      <c r="T106" s="9" t="s">
        <v>480</v>
      </c>
      <c r="U106" s="9" t="s">
        <v>481</v>
      </c>
      <c r="V106" s="11">
        <v>626.35199999999998</v>
      </c>
      <c r="W106" s="9" t="str">
        <f t="shared" si="9"/>
        <v>Slow Delivery</v>
      </c>
    </row>
    <row r="107" spans="1:23" x14ac:dyDescent="0.25">
      <c r="A107" s="9">
        <v>711</v>
      </c>
      <c r="B107" s="10" t="s">
        <v>753</v>
      </c>
      <c r="C107" s="10">
        <v>42099</v>
      </c>
      <c r="D107" s="10">
        <v>42101</v>
      </c>
      <c r="E107" s="9">
        <f t="shared" si="6"/>
        <v>2015</v>
      </c>
      <c r="F107" s="10" t="str">
        <f t="shared" si="7"/>
        <v>Apr</v>
      </c>
      <c r="G107" s="9">
        <f t="shared" si="8"/>
        <v>4</v>
      </c>
      <c r="H107" s="9">
        <f t="shared" si="5"/>
        <v>2</v>
      </c>
      <c r="I107" s="9" t="s">
        <v>19</v>
      </c>
      <c r="J107" s="9" t="s">
        <v>754</v>
      </c>
      <c r="K107" s="9" t="s">
        <v>755</v>
      </c>
      <c r="L107" s="9" t="s">
        <v>46</v>
      </c>
      <c r="M107" s="9" t="s">
        <v>23</v>
      </c>
      <c r="N107" s="9" t="s">
        <v>47</v>
      </c>
      <c r="O107" s="9" t="s">
        <v>48</v>
      </c>
      <c r="P107" s="9">
        <v>10035</v>
      </c>
      <c r="Q107" s="9" t="s">
        <v>49</v>
      </c>
      <c r="R107" s="9" t="s">
        <v>756</v>
      </c>
      <c r="S107" s="9" t="s">
        <v>66</v>
      </c>
      <c r="T107" s="9" t="s">
        <v>201</v>
      </c>
      <c r="U107" s="9" t="s">
        <v>757</v>
      </c>
      <c r="V107" s="11">
        <v>55.48</v>
      </c>
      <c r="W107" s="9" t="str">
        <f t="shared" si="9"/>
        <v>Fast Delivery</v>
      </c>
    </row>
    <row r="108" spans="1:23" x14ac:dyDescent="0.25">
      <c r="A108" s="9">
        <v>3879</v>
      </c>
      <c r="B108" s="10" t="s">
        <v>764</v>
      </c>
      <c r="C108" s="10">
        <v>42099</v>
      </c>
      <c r="D108" s="10">
        <v>42101</v>
      </c>
      <c r="E108" s="9">
        <f t="shared" si="6"/>
        <v>2015</v>
      </c>
      <c r="F108" s="10" t="str">
        <f t="shared" si="7"/>
        <v>Apr</v>
      </c>
      <c r="G108" s="9">
        <f t="shared" si="8"/>
        <v>4</v>
      </c>
      <c r="H108" s="9">
        <f t="shared" si="5"/>
        <v>2</v>
      </c>
      <c r="I108" s="9" t="s">
        <v>19</v>
      </c>
      <c r="J108" s="9" t="s">
        <v>765</v>
      </c>
      <c r="K108" s="9" t="s">
        <v>766</v>
      </c>
      <c r="L108" s="9" t="s">
        <v>87</v>
      </c>
      <c r="M108" s="9" t="s">
        <v>23</v>
      </c>
      <c r="N108" s="9" t="s">
        <v>767</v>
      </c>
      <c r="O108" s="9" t="s">
        <v>57</v>
      </c>
      <c r="P108" s="9">
        <v>62521</v>
      </c>
      <c r="Q108" s="9" t="s">
        <v>26</v>
      </c>
      <c r="R108" s="9" t="s">
        <v>768</v>
      </c>
      <c r="S108" s="9" t="s">
        <v>66</v>
      </c>
      <c r="T108" s="9" t="s">
        <v>74</v>
      </c>
      <c r="U108" s="9" t="s">
        <v>769</v>
      </c>
      <c r="V108" s="11">
        <v>49.631999999999998</v>
      </c>
      <c r="W108" s="9" t="str">
        <f t="shared" si="9"/>
        <v>Fast Delivery</v>
      </c>
    </row>
    <row r="109" spans="1:23" x14ac:dyDescent="0.25">
      <c r="A109" s="9">
        <v>9507</v>
      </c>
      <c r="B109" s="10" t="s">
        <v>770</v>
      </c>
      <c r="C109" s="10">
        <v>42099</v>
      </c>
      <c r="D109" s="10">
        <v>42101</v>
      </c>
      <c r="E109" s="9">
        <f t="shared" si="6"/>
        <v>2015</v>
      </c>
      <c r="F109" s="10" t="str">
        <f t="shared" si="7"/>
        <v>Apr</v>
      </c>
      <c r="G109" s="9">
        <f t="shared" si="8"/>
        <v>4</v>
      </c>
      <c r="H109" s="9">
        <f t="shared" si="5"/>
        <v>2</v>
      </c>
      <c r="I109" s="9" t="s">
        <v>32</v>
      </c>
      <c r="J109" s="9" t="s">
        <v>771</v>
      </c>
      <c r="K109" s="9" t="s">
        <v>772</v>
      </c>
      <c r="L109" s="9" t="s">
        <v>22</v>
      </c>
      <c r="M109" s="9" t="s">
        <v>23</v>
      </c>
      <c r="N109" s="9" t="s">
        <v>773</v>
      </c>
      <c r="O109" s="9" t="s">
        <v>118</v>
      </c>
      <c r="P109" s="9">
        <v>48127</v>
      </c>
      <c r="Q109" s="9" t="s">
        <v>26</v>
      </c>
      <c r="R109" s="9" t="s">
        <v>774</v>
      </c>
      <c r="S109" s="9" t="s">
        <v>66</v>
      </c>
      <c r="T109" s="9" t="s">
        <v>158</v>
      </c>
      <c r="U109" s="9" t="s">
        <v>775</v>
      </c>
      <c r="V109" s="11">
        <v>26.7</v>
      </c>
      <c r="W109" s="9" t="str">
        <f t="shared" si="9"/>
        <v>Fast Delivery</v>
      </c>
    </row>
    <row r="110" spans="1:23" x14ac:dyDescent="0.25">
      <c r="A110" s="9">
        <v>6253</v>
      </c>
      <c r="B110" s="10" t="s">
        <v>1078</v>
      </c>
      <c r="C110" s="10">
        <v>42101</v>
      </c>
      <c r="D110" s="10">
        <v>42101</v>
      </c>
      <c r="E110" s="9">
        <f t="shared" si="6"/>
        <v>2015</v>
      </c>
      <c r="F110" s="10" t="str">
        <f t="shared" si="7"/>
        <v>Apr</v>
      </c>
      <c r="G110" s="9">
        <f t="shared" si="8"/>
        <v>4</v>
      </c>
      <c r="H110" s="9">
        <f t="shared" si="5"/>
        <v>0</v>
      </c>
      <c r="I110" s="9" t="s">
        <v>302</v>
      </c>
      <c r="J110" s="9" t="s">
        <v>1079</v>
      </c>
      <c r="K110" s="9" t="s">
        <v>1080</v>
      </c>
      <c r="L110" s="9" t="s">
        <v>46</v>
      </c>
      <c r="M110" s="9" t="s">
        <v>23</v>
      </c>
      <c r="N110" s="9" t="s">
        <v>1081</v>
      </c>
      <c r="O110" s="9" t="s">
        <v>286</v>
      </c>
      <c r="P110" s="9">
        <v>30062</v>
      </c>
      <c r="Q110" s="9" t="s">
        <v>110</v>
      </c>
      <c r="R110" s="9" t="s">
        <v>1082</v>
      </c>
      <c r="S110" s="9" t="s">
        <v>66</v>
      </c>
      <c r="T110" s="9" t="s">
        <v>201</v>
      </c>
      <c r="U110" s="9" t="s">
        <v>1083</v>
      </c>
      <c r="V110" s="11">
        <v>58.32</v>
      </c>
      <c r="W110" s="9" t="str">
        <f t="shared" si="9"/>
        <v>Fast Delivery</v>
      </c>
    </row>
    <row r="111" spans="1:23" x14ac:dyDescent="0.25">
      <c r="A111" s="9">
        <v>7999</v>
      </c>
      <c r="B111" s="10" t="s">
        <v>664</v>
      </c>
      <c r="C111" s="10">
        <v>42128</v>
      </c>
      <c r="D111" s="10">
        <v>42131</v>
      </c>
      <c r="E111" s="9">
        <f t="shared" si="6"/>
        <v>2015</v>
      </c>
      <c r="F111" s="10" t="str">
        <f t="shared" si="7"/>
        <v>May</v>
      </c>
      <c r="G111" s="9">
        <f t="shared" si="8"/>
        <v>5</v>
      </c>
      <c r="H111" s="9">
        <f t="shared" si="5"/>
        <v>3</v>
      </c>
      <c r="I111" s="9" t="s">
        <v>19</v>
      </c>
      <c r="J111" s="9" t="s">
        <v>665</v>
      </c>
      <c r="K111" s="9" t="s">
        <v>666</v>
      </c>
      <c r="L111" s="9" t="s">
        <v>87</v>
      </c>
      <c r="M111" s="9" t="s">
        <v>23</v>
      </c>
      <c r="N111" s="9" t="s">
        <v>35</v>
      </c>
      <c r="O111" s="9" t="s">
        <v>36</v>
      </c>
      <c r="P111" s="9">
        <v>98105</v>
      </c>
      <c r="Q111" s="9" t="s">
        <v>37</v>
      </c>
      <c r="R111" s="9" t="s">
        <v>667</v>
      </c>
      <c r="S111" s="9" t="s">
        <v>39</v>
      </c>
      <c r="T111" s="9" t="s">
        <v>112</v>
      </c>
      <c r="U111" s="9" t="s">
        <v>668</v>
      </c>
      <c r="V111" s="11">
        <v>12.18</v>
      </c>
      <c r="W111" s="9" t="str">
        <f t="shared" si="9"/>
        <v>Fast Delivery</v>
      </c>
    </row>
    <row r="112" spans="1:23" x14ac:dyDescent="0.25">
      <c r="A112" s="9">
        <v>8596</v>
      </c>
      <c r="B112" s="10" t="s">
        <v>787</v>
      </c>
      <c r="C112" s="10">
        <v>42129</v>
      </c>
      <c r="D112" s="10">
        <v>42131</v>
      </c>
      <c r="E112" s="9">
        <f t="shared" si="6"/>
        <v>2015</v>
      </c>
      <c r="F112" s="10" t="str">
        <f t="shared" si="7"/>
        <v>May</v>
      </c>
      <c r="G112" s="9">
        <f t="shared" si="8"/>
        <v>5</v>
      </c>
      <c r="H112" s="9">
        <f t="shared" si="5"/>
        <v>2</v>
      </c>
      <c r="I112" s="9" t="s">
        <v>19</v>
      </c>
      <c r="J112" s="9" t="s">
        <v>788</v>
      </c>
      <c r="K112" s="9" t="s">
        <v>789</v>
      </c>
      <c r="L112" s="9" t="s">
        <v>87</v>
      </c>
      <c r="M112" s="9" t="s">
        <v>23</v>
      </c>
      <c r="N112" s="9" t="s">
        <v>790</v>
      </c>
      <c r="O112" s="9" t="s">
        <v>298</v>
      </c>
      <c r="P112" s="9">
        <v>22204</v>
      </c>
      <c r="Q112" s="9" t="s">
        <v>110</v>
      </c>
      <c r="R112" s="9" t="s">
        <v>791</v>
      </c>
      <c r="S112" s="9" t="s">
        <v>66</v>
      </c>
      <c r="T112" s="9" t="s">
        <v>103</v>
      </c>
      <c r="U112" s="9" t="s">
        <v>792</v>
      </c>
      <c r="V112" s="11">
        <v>11.88</v>
      </c>
      <c r="W112" s="9" t="str">
        <f t="shared" si="9"/>
        <v>Fast Delivery</v>
      </c>
    </row>
    <row r="113" spans="1:23" x14ac:dyDescent="0.25">
      <c r="A113" s="9">
        <v>719</v>
      </c>
      <c r="B113" s="10" t="s">
        <v>313</v>
      </c>
      <c r="C113" s="10">
        <v>42157</v>
      </c>
      <c r="D113" s="10">
        <v>42162</v>
      </c>
      <c r="E113" s="9">
        <f t="shared" si="6"/>
        <v>2015</v>
      </c>
      <c r="F113" s="10" t="str">
        <f t="shared" si="7"/>
        <v>Jun</v>
      </c>
      <c r="G113" s="9">
        <f t="shared" si="8"/>
        <v>6</v>
      </c>
      <c r="H113" s="9">
        <f t="shared" si="5"/>
        <v>5</v>
      </c>
      <c r="I113" s="9" t="s">
        <v>43</v>
      </c>
      <c r="J113" s="9" t="s">
        <v>314</v>
      </c>
      <c r="K113" s="9" t="s">
        <v>315</v>
      </c>
      <c r="L113" s="9" t="s">
        <v>46</v>
      </c>
      <c r="M113" s="9" t="s">
        <v>23</v>
      </c>
      <c r="N113" s="9" t="s">
        <v>316</v>
      </c>
      <c r="O113" s="9" t="s">
        <v>317</v>
      </c>
      <c r="P113" s="9">
        <v>84057</v>
      </c>
      <c r="Q113" s="9" t="s">
        <v>37</v>
      </c>
      <c r="R113" s="9" t="s">
        <v>318</v>
      </c>
      <c r="S113" s="9" t="s">
        <v>66</v>
      </c>
      <c r="T113" s="9" t="s">
        <v>103</v>
      </c>
      <c r="U113" s="9" t="s">
        <v>319</v>
      </c>
      <c r="V113" s="11">
        <v>59.808</v>
      </c>
      <c r="W113" s="9" t="str">
        <f t="shared" si="9"/>
        <v>Slow Delivery</v>
      </c>
    </row>
    <row r="114" spans="1:23" x14ac:dyDescent="0.25">
      <c r="A114" s="9">
        <v>1700</v>
      </c>
      <c r="B114" s="10" t="s">
        <v>494</v>
      </c>
      <c r="C114" s="10">
        <v>42158</v>
      </c>
      <c r="D114" s="10">
        <v>42162</v>
      </c>
      <c r="E114" s="9">
        <f t="shared" si="6"/>
        <v>2015</v>
      </c>
      <c r="F114" s="10" t="str">
        <f t="shared" si="7"/>
        <v>Jun</v>
      </c>
      <c r="G114" s="9">
        <f t="shared" si="8"/>
        <v>6</v>
      </c>
      <c r="H114" s="9">
        <f t="shared" si="5"/>
        <v>4</v>
      </c>
      <c r="I114" s="9" t="s">
        <v>32</v>
      </c>
      <c r="J114" s="9" t="s">
        <v>495</v>
      </c>
      <c r="K114" s="9" t="s">
        <v>496</v>
      </c>
      <c r="L114" s="9" t="s">
        <v>22</v>
      </c>
      <c r="M114" s="9" t="s">
        <v>23</v>
      </c>
      <c r="N114" s="9" t="s">
        <v>35</v>
      </c>
      <c r="O114" s="9" t="s">
        <v>36</v>
      </c>
      <c r="P114" s="9">
        <v>98115</v>
      </c>
      <c r="Q114" s="9" t="s">
        <v>37</v>
      </c>
      <c r="R114" s="9" t="s">
        <v>497</v>
      </c>
      <c r="S114" s="9" t="s">
        <v>39</v>
      </c>
      <c r="T114" s="9" t="s">
        <v>480</v>
      </c>
      <c r="U114" s="9" t="s">
        <v>498</v>
      </c>
      <c r="V114" s="11">
        <v>515.88</v>
      </c>
      <c r="W114" s="9" t="str">
        <f t="shared" si="9"/>
        <v>Slow Delivery</v>
      </c>
    </row>
    <row r="115" spans="1:23" x14ac:dyDescent="0.25">
      <c r="A115" s="9">
        <v>6323</v>
      </c>
      <c r="B115" s="10" t="s">
        <v>499</v>
      </c>
      <c r="C115" s="10">
        <v>42158</v>
      </c>
      <c r="D115" s="10">
        <v>42162</v>
      </c>
      <c r="E115" s="9">
        <f t="shared" si="6"/>
        <v>2015</v>
      </c>
      <c r="F115" s="10" t="str">
        <f t="shared" si="7"/>
        <v>Jun</v>
      </c>
      <c r="G115" s="9">
        <f t="shared" si="8"/>
        <v>6</v>
      </c>
      <c r="H115" s="9">
        <f t="shared" si="5"/>
        <v>4</v>
      </c>
      <c r="I115" s="9" t="s">
        <v>32</v>
      </c>
      <c r="J115" s="9" t="s">
        <v>500</v>
      </c>
      <c r="K115" s="9" t="s">
        <v>501</v>
      </c>
      <c r="L115" s="9" t="s">
        <v>46</v>
      </c>
      <c r="M115" s="9" t="s">
        <v>23</v>
      </c>
      <c r="N115" s="9" t="s">
        <v>502</v>
      </c>
      <c r="O115" s="9" t="s">
        <v>118</v>
      </c>
      <c r="P115" s="9">
        <v>48640</v>
      </c>
      <c r="Q115" s="9" t="s">
        <v>26</v>
      </c>
      <c r="R115" s="9" t="s">
        <v>503</v>
      </c>
      <c r="S115" s="9" t="s">
        <v>66</v>
      </c>
      <c r="T115" s="9" t="s">
        <v>280</v>
      </c>
      <c r="U115" s="9" t="s">
        <v>504</v>
      </c>
      <c r="V115" s="11">
        <v>15.28</v>
      </c>
      <c r="W115" s="9" t="str">
        <f t="shared" si="9"/>
        <v>Slow Delivery</v>
      </c>
    </row>
    <row r="116" spans="1:23" x14ac:dyDescent="0.25">
      <c r="A116" s="9">
        <v>6733</v>
      </c>
      <c r="B116" s="10" t="s">
        <v>679</v>
      </c>
      <c r="C116" s="10">
        <v>42189</v>
      </c>
      <c r="D116" s="10">
        <v>42192</v>
      </c>
      <c r="E116" s="9">
        <f t="shared" si="6"/>
        <v>2015</v>
      </c>
      <c r="F116" s="10" t="str">
        <f t="shared" si="7"/>
        <v>Jul</v>
      </c>
      <c r="G116" s="9">
        <f t="shared" si="8"/>
        <v>7</v>
      </c>
      <c r="H116" s="9">
        <f t="shared" si="5"/>
        <v>3</v>
      </c>
      <c r="I116" s="9" t="s">
        <v>19</v>
      </c>
      <c r="J116" s="9" t="s">
        <v>680</v>
      </c>
      <c r="K116" s="9" t="s">
        <v>681</v>
      </c>
      <c r="L116" s="9" t="s">
        <v>87</v>
      </c>
      <c r="M116" s="9" t="s">
        <v>23</v>
      </c>
      <c r="N116" s="9" t="s">
        <v>682</v>
      </c>
      <c r="O116" s="9" t="s">
        <v>181</v>
      </c>
      <c r="P116" s="9">
        <v>80013</v>
      </c>
      <c r="Q116" s="9" t="s">
        <v>37</v>
      </c>
      <c r="R116" s="9" t="s">
        <v>683</v>
      </c>
      <c r="S116" s="9" t="s">
        <v>66</v>
      </c>
      <c r="T116" s="9" t="s">
        <v>201</v>
      </c>
      <c r="U116" s="9" t="s">
        <v>684</v>
      </c>
      <c r="V116" s="11">
        <v>177.536</v>
      </c>
      <c r="W116" s="9" t="str">
        <f t="shared" si="9"/>
        <v>Fast Delivery</v>
      </c>
    </row>
    <row r="117" spans="1:23" x14ac:dyDescent="0.25">
      <c r="A117" s="9">
        <v>5865</v>
      </c>
      <c r="B117" s="10" t="s">
        <v>831</v>
      </c>
      <c r="C117" s="10">
        <v>42221</v>
      </c>
      <c r="D117" s="10">
        <v>42223</v>
      </c>
      <c r="E117" s="9">
        <f t="shared" si="6"/>
        <v>2015</v>
      </c>
      <c r="F117" s="10" t="str">
        <f t="shared" si="7"/>
        <v>Aug</v>
      </c>
      <c r="G117" s="9">
        <f t="shared" si="8"/>
        <v>8</v>
      </c>
      <c r="H117" s="9">
        <f t="shared" si="5"/>
        <v>2</v>
      </c>
      <c r="I117" s="9" t="s">
        <v>32</v>
      </c>
      <c r="J117" s="9" t="s">
        <v>832</v>
      </c>
      <c r="K117" s="9" t="s">
        <v>833</v>
      </c>
      <c r="L117" s="9" t="s">
        <v>87</v>
      </c>
      <c r="M117" s="9" t="s">
        <v>23</v>
      </c>
      <c r="N117" s="9" t="s">
        <v>834</v>
      </c>
      <c r="O117" s="9" t="s">
        <v>656</v>
      </c>
      <c r="P117" s="9">
        <v>6450</v>
      </c>
      <c r="Q117" s="9" t="s">
        <v>49</v>
      </c>
      <c r="R117" s="9" t="s">
        <v>835</v>
      </c>
      <c r="S117" s="9" t="s">
        <v>66</v>
      </c>
      <c r="T117" s="9" t="s">
        <v>221</v>
      </c>
      <c r="U117" s="9" t="s">
        <v>836</v>
      </c>
      <c r="V117" s="11">
        <v>79.47</v>
      </c>
      <c r="W117" s="9" t="str">
        <f t="shared" si="9"/>
        <v>Fast Delivery</v>
      </c>
    </row>
    <row r="118" spans="1:23" x14ac:dyDescent="0.25">
      <c r="A118" s="9">
        <v>5029</v>
      </c>
      <c r="B118" s="10" t="s">
        <v>355</v>
      </c>
      <c r="C118" s="10">
        <v>42249</v>
      </c>
      <c r="D118" s="10">
        <v>42254</v>
      </c>
      <c r="E118" s="9">
        <f t="shared" si="6"/>
        <v>2015</v>
      </c>
      <c r="F118" s="10" t="str">
        <f t="shared" si="7"/>
        <v>Sep</v>
      </c>
      <c r="G118" s="9">
        <f t="shared" si="8"/>
        <v>9</v>
      </c>
      <c r="H118" s="9">
        <f t="shared" si="5"/>
        <v>5</v>
      </c>
      <c r="I118" s="9" t="s">
        <v>32</v>
      </c>
      <c r="J118" s="9" t="s">
        <v>356</v>
      </c>
      <c r="K118" s="9" t="s">
        <v>357</v>
      </c>
      <c r="L118" s="9" t="s">
        <v>22</v>
      </c>
      <c r="M118" s="9" t="s">
        <v>23</v>
      </c>
      <c r="N118" s="9" t="s">
        <v>199</v>
      </c>
      <c r="O118" s="9" t="s">
        <v>57</v>
      </c>
      <c r="P118" s="9">
        <v>60653</v>
      </c>
      <c r="Q118" s="9" t="s">
        <v>26</v>
      </c>
      <c r="R118" s="9" t="s">
        <v>358</v>
      </c>
      <c r="S118" s="9" t="s">
        <v>28</v>
      </c>
      <c r="T118" s="9" t="s">
        <v>29</v>
      </c>
      <c r="U118" s="9" t="s">
        <v>359</v>
      </c>
      <c r="V118" s="11">
        <v>239.976</v>
      </c>
      <c r="W118" s="9" t="str">
        <f t="shared" si="9"/>
        <v>Slow Delivery</v>
      </c>
    </row>
    <row r="119" spans="1:23" x14ac:dyDescent="0.25">
      <c r="A119" s="9">
        <v>7289</v>
      </c>
      <c r="B119" s="10" t="s">
        <v>360</v>
      </c>
      <c r="C119" s="10">
        <v>42249</v>
      </c>
      <c r="D119" s="10">
        <v>42254</v>
      </c>
      <c r="E119" s="9">
        <f t="shared" si="6"/>
        <v>2015</v>
      </c>
      <c r="F119" s="10" t="str">
        <f t="shared" si="7"/>
        <v>Sep</v>
      </c>
      <c r="G119" s="9">
        <f t="shared" si="8"/>
        <v>9</v>
      </c>
      <c r="H119" s="9">
        <f t="shared" si="5"/>
        <v>5</v>
      </c>
      <c r="I119" s="9" t="s">
        <v>43</v>
      </c>
      <c r="J119" s="9" t="s">
        <v>361</v>
      </c>
      <c r="K119" s="9" t="s">
        <v>362</v>
      </c>
      <c r="L119" s="9" t="s">
        <v>87</v>
      </c>
      <c r="M119" s="9" t="s">
        <v>23</v>
      </c>
      <c r="N119" s="9" t="s">
        <v>72</v>
      </c>
      <c r="O119" s="9" t="s">
        <v>64</v>
      </c>
      <c r="P119" s="9">
        <v>77095</v>
      </c>
      <c r="Q119" s="9" t="s">
        <v>26</v>
      </c>
      <c r="R119" s="9" t="s">
        <v>363</v>
      </c>
      <c r="S119" s="9" t="s">
        <v>28</v>
      </c>
      <c r="T119" s="9" t="s">
        <v>364</v>
      </c>
      <c r="U119" s="9" t="s">
        <v>365</v>
      </c>
      <c r="V119" s="11">
        <v>559.71</v>
      </c>
      <c r="W119" s="9" t="str">
        <f t="shared" si="9"/>
        <v>Slow Delivery</v>
      </c>
    </row>
    <row r="120" spans="1:23" x14ac:dyDescent="0.25">
      <c r="A120" s="9">
        <v>9034</v>
      </c>
      <c r="B120" s="10" t="s">
        <v>366</v>
      </c>
      <c r="C120" s="10">
        <v>42249</v>
      </c>
      <c r="D120" s="10">
        <v>42254</v>
      </c>
      <c r="E120" s="9">
        <f t="shared" si="6"/>
        <v>2015</v>
      </c>
      <c r="F120" s="10" t="str">
        <f t="shared" si="7"/>
        <v>Sep</v>
      </c>
      <c r="G120" s="9">
        <f t="shared" si="8"/>
        <v>9</v>
      </c>
      <c r="H120" s="9">
        <f t="shared" si="5"/>
        <v>5</v>
      </c>
      <c r="I120" s="9" t="s">
        <v>43</v>
      </c>
      <c r="J120" s="9" t="s">
        <v>367</v>
      </c>
      <c r="K120" s="9" t="s">
        <v>368</v>
      </c>
      <c r="L120" s="9" t="s">
        <v>22</v>
      </c>
      <c r="M120" s="9" t="s">
        <v>23</v>
      </c>
      <c r="N120" s="9" t="s">
        <v>369</v>
      </c>
      <c r="O120" s="9" t="s">
        <v>109</v>
      </c>
      <c r="P120" s="9">
        <v>72701</v>
      </c>
      <c r="Q120" s="9" t="s">
        <v>110</v>
      </c>
      <c r="R120" s="9" t="s">
        <v>370</v>
      </c>
      <c r="S120" s="9" t="s">
        <v>66</v>
      </c>
      <c r="T120" s="9" t="s">
        <v>103</v>
      </c>
      <c r="U120" s="9" t="s">
        <v>371</v>
      </c>
      <c r="V120" s="11">
        <v>1793.98</v>
      </c>
      <c r="W120" s="9" t="str">
        <f t="shared" si="9"/>
        <v>Slow Delivery</v>
      </c>
    </row>
    <row r="121" spans="1:23" x14ac:dyDescent="0.25">
      <c r="A121" s="9">
        <v>5430</v>
      </c>
      <c r="B121" s="10" t="s">
        <v>849</v>
      </c>
      <c r="C121" s="10">
        <v>42252</v>
      </c>
      <c r="D121" s="10">
        <v>42254</v>
      </c>
      <c r="E121" s="9">
        <f t="shared" si="6"/>
        <v>2015</v>
      </c>
      <c r="F121" s="10" t="str">
        <f t="shared" si="7"/>
        <v>Sep</v>
      </c>
      <c r="G121" s="9">
        <f t="shared" si="8"/>
        <v>9</v>
      </c>
      <c r="H121" s="9">
        <f t="shared" si="5"/>
        <v>2</v>
      </c>
      <c r="I121" s="9" t="s">
        <v>19</v>
      </c>
      <c r="J121" s="9" t="s">
        <v>850</v>
      </c>
      <c r="K121" s="9" t="s">
        <v>851</v>
      </c>
      <c r="L121" s="9" t="s">
        <v>22</v>
      </c>
      <c r="M121" s="9" t="s">
        <v>23</v>
      </c>
      <c r="N121" s="9" t="s">
        <v>273</v>
      </c>
      <c r="O121" s="9" t="s">
        <v>130</v>
      </c>
      <c r="P121" s="9">
        <v>33710</v>
      </c>
      <c r="Q121" s="9" t="s">
        <v>110</v>
      </c>
      <c r="R121" s="9" t="s">
        <v>852</v>
      </c>
      <c r="S121" s="9" t="s">
        <v>39</v>
      </c>
      <c r="T121" s="9" t="s">
        <v>112</v>
      </c>
      <c r="U121" s="9" t="s">
        <v>853</v>
      </c>
      <c r="V121" s="11">
        <v>31.984000000000002</v>
      </c>
      <c r="W121" s="9" t="str">
        <f t="shared" si="9"/>
        <v>Fast Delivery</v>
      </c>
    </row>
    <row r="122" spans="1:23" x14ac:dyDescent="0.25">
      <c r="A122" s="9">
        <v>8218</v>
      </c>
      <c r="B122" s="10" t="s">
        <v>553</v>
      </c>
      <c r="C122" s="10">
        <v>42280</v>
      </c>
      <c r="D122" s="10">
        <v>42284</v>
      </c>
      <c r="E122" s="9">
        <f t="shared" si="6"/>
        <v>2015</v>
      </c>
      <c r="F122" s="10" t="str">
        <f t="shared" si="7"/>
        <v>Oct</v>
      </c>
      <c r="G122" s="9">
        <f t="shared" si="8"/>
        <v>10</v>
      </c>
      <c r="H122" s="9">
        <f t="shared" si="5"/>
        <v>4</v>
      </c>
      <c r="I122" s="9" t="s">
        <v>43</v>
      </c>
      <c r="J122" s="9" t="s">
        <v>554</v>
      </c>
      <c r="K122" s="9" t="s">
        <v>555</v>
      </c>
      <c r="L122" s="9" t="s">
        <v>22</v>
      </c>
      <c r="M122" s="9" t="s">
        <v>23</v>
      </c>
      <c r="N122" s="9" t="s">
        <v>556</v>
      </c>
      <c r="O122" s="9" t="s">
        <v>64</v>
      </c>
      <c r="P122" s="9">
        <v>75217</v>
      </c>
      <c r="Q122" s="9" t="s">
        <v>26</v>
      </c>
      <c r="R122" s="9" t="s">
        <v>557</v>
      </c>
      <c r="S122" s="9" t="s">
        <v>66</v>
      </c>
      <c r="T122" s="9" t="s">
        <v>67</v>
      </c>
      <c r="U122" s="9" t="s">
        <v>558</v>
      </c>
      <c r="V122" s="11">
        <v>4.3440000000000003</v>
      </c>
      <c r="W122" s="9" t="str">
        <f t="shared" si="9"/>
        <v>Slow Delivery</v>
      </c>
    </row>
    <row r="123" spans="1:23" x14ac:dyDescent="0.25">
      <c r="A123" s="9">
        <v>806</v>
      </c>
      <c r="B123" s="10" t="s">
        <v>177</v>
      </c>
      <c r="C123" s="10">
        <v>42309</v>
      </c>
      <c r="D123" s="10">
        <v>42315</v>
      </c>
      <c r="E123" s="9">
        <f t="shared" si="6"/>
        <v>2015</v>
      </c>
      <c r="F123" s="10" t="str">
        <f t="shared" si="7"/>
        <v>Nov</v>
      </c>
      <c r="G123" s="9">
        <f t="shared" si="8"/>
        <v>11</v>
      </c>
      <c r="H123" s="9">
        <f t="shared" si="5"/>
        <v>6</v>
      </c>
      <c r="I123" s="9" t="s">
        <v>43</v>
      </c>
      <c r="J123" s="9" t="s">
        <v>178</v>
      </c>
      <c r="K123" s="9" t="s">
        <v>179</v>
      </c>
      <c r="L123" s="9" t="s">
        <v>22</v>
      </c>
      <c r="M123" s="9" t="s">
        <v>23</v>
      </c>
      <c r="N123" s="9" t="s">
        <v>180</v>
      </c>
      <c r="O123" s="9" t="s">
        <v>181</v>
      </c>
      <c r="P123" s="9">
        <v>80219</v>
      </c>
      <c r="Q123" s="9" t="s">
        <v>37</v>
      </c>
      <c r="R123" s="9" t="s">
        <v>182</v>
      </c>
      <c r="S123" s="9" t="s">
        <v>66</v>
      </c>
      <c r="T123" s="9" t="s">
        <v>158</v>
      </c>
      <c r="U123" s="9" t="s">
        <v>183</v>
      </c>
      <c r="V123" s="11">
        <v>43.176000000000002</v>
      </c>
      <c r="W123" s="9" t="str">
        <f t="shared" si="9"/>
        <v>Slow Delivery</v>
      </c>
    </row>
    <row r="124" spans="1:23" x14ac:dyDescent="0.25">
      <c r="A124" s="9">
        <v>6228</v>
      </c>
      <c r="B124" s="10" t="s">
        <v>390</v>
      </c>
      <c r="C124" s="10">
        <v>42310</v>
      </c>
      <c r="D124" s="10">
        <v>42315</v>
      </c>
      <c r="E124" s="9">
        <f t="shared" si="6"/>
        <v>2015</v>
      </c>
      <c r="F124" s="10" t="str">
        <f t="shared" si="7"/>
        <v>Nov</v>
      </c>
      <c r="G124" s="9">
        <f t="shared" si="8"/>
        <v>11</v>
      </c>
      <c r="H124" s="9">
        <f t="shared" si="5"/>
        <v>5</v>
      </c>
      <c r="I124" s="9" t="s">
        <v>43</v>
      </c>
      <c r="J124" s="9" t="s">
        <v>391</v>
      </c>
      <c r="K124" s="9" t="s">
        <v>392</v>
      </c>
      <c r="L124" s="9" t="s">
        <v>22</v>
      </c>
      <c r="M124" s="9" t="s">
        <v>23</v>
      </c>
      <c r="N124" s="9" t="s">
        <v>393</v>
      </c>
      <c r="O124" s="9" t="s">
        <v>64</v>
      </c>
      <c r="P124" s="9">
        <v>75061</v>
      </c>
      <c r="Q124" s="9" t="s">
        <v>26</v>
      </c>
      <c r="R124" s="9" t="s">
        <v>330</v>
      </c>
      <c r="S124" s="9" t="s">
        <v>28</v>
      </c>
      <c r="T124" s="9" t="s">
        <v>51</v>
      </c>
      <c r="U124" s="9" t="s">
        <v>331</v>
      </c>
      <c r="V124" s="11">
        <v>88.775999999999996</v>
      </c>
      <c r="W124" s="9" t="str">
        <f t="shared" si="9"/>
        <v>Slow Delivery</v>
      </c>
    </row>
    <row r="125" spans="1:23" x14ac:dyDescent="0.25">
      <c r="A125" s="9">
        <v>7577</v>
      </c>
      <c r="B125" s="10" t="s">
        <v>411</v>
      </c>
      <c r="C125" s="10">
        <v>42310</v>
      </c>
      <c r="D125" s="10">
        <v>42315</v>
      </c>
      <c r="E125" s="9">
        <f t="shared" si="6"/>
        <v>2015</v>
      </c>
      <c r="F125" s="10" t="str">
        <f t="shared" si="7"/>
        <v>Nov</v>
      </c>
      <c r="G125" s="9">
        <f t="shared" si="8"/>
        <v>11</v>
      </c>
      <c r="H125" s="9">
        <f t="shared" si="5"/>
        <v>5</v>
      </c>
      <c r="I125" s="9" t="s">
        <v>32</v>
      </c>
      <c r="J125" s="9" t="s">
        <v>412</v>
      </c>
      <c r="K125" s="9" t="s">
        <v>413</v>
      </c>
      <c r="L125" s="9" t="s">
        <v>87</v>
      </c>
      <c r="M125" s="9" t="s">
        <v>23</v>
      </c>
      <c r="N125" s="9" t="s">
        <v>35</v>
      </c>
      <c r="O125" s="9" t="s">
        <v>36</v>
      </c>
      <c r="P125" s="9">
        <v>98115</v>
      </c>
      <c r="Q125" s="9" t="s">
        <v>37</v>
      </c>
      <c r="R125" s="9" t="s">
        <v>414</v>
      </c>
      <c r="S125" s="9" t="s">
        <v>28</v>
      </c>
      <c r="T125" s="9" t="s">
        <v>29</v>
      </c>
      <c r="U125" s="9" t="s">
        <v>415</v>
      </c>
      <c r="V125" s="11">
        <v>41.94</v>
      </c>
      <c r="W125" s="9" t="str">
        <f t="shared" si="9"/>
        <v>Slow Delivery</v>
      </c>
    </row>
    <row r="126" spans="1:23" x14ac:dyDescent="0.25">
      <c r="A126" s="9">
        <v>4759</v>
      </c>
      <c r="B126" s="10" t="s">
        <v>566</v>
      </c>
      <c r="C126" s="10">
        <v>42311</v>
      </c>
      <c r="D126" s="10">
        <v>42315</v>
      </c>
      <c r="E126" s="9">
        <f t="shared" si="6"/>
        <v>2015</v>
      </c>
      <c r="F126" s="10" t="str">
        <f t="shared" si="7"/>
        <v>Nov</v>
      </c>
      <c r="G126" s="9">
        <f t="shared" si="8"/>
        <v>11</v>
      </c>
      <c r="H126" s="9">
        <f t="shared" si="5"/>
        <v>4</v>
      </c>
      <c r="I126" s="9" t="s">
        <v>43</v>
      </c>
      <c r="J126" s="9" t="s">
        <v>567</v>
      </c>
      <c r="K126" s="9" t="s">
        <v>568</v>
      </c>
      <c r="L126" s="9" t="s">
        <v>22</v>
      </c>
      <c r="M126" s="9" t="s">
        <v>23</v>
      </c>
      <c r="N126" s="9" t="s">
        <v>47</v>
      </c>
      <c r="O126" s="9" t="s">
        <v>48</v>
      </c>
      <c r="P126" s="9">
        <v>10009</v>
      </c>
      <c r="Q126" s="9" t="s">
        <v>49</v>
      </c>
      <c r="R126" s="9" t="s">
        <v>569</v>
      </c>
      <c r="S126" s="9" t="s">
        <v>28</v>
      </c>
      <c r="T126" s="9" t="s">
        <v>51</v>
      </c>
      <c r="U126" s="9" t="s">
        <v>570</v>
      </c>
      <c r="V126" s="11">
        <v>783.96</v>
      </c>
      <c r="W126" s="9" t="str">
        <f t="shared" si="9"/>
        <v>Slow Delivery</v>
      </c>
    </row>
    <row r="127" spans="1:23" x14ac:dyDescent="0.25">
      <c r="A127" s="9">
        <v>9078</v>
      </c>
      <c r="B127" s="10" t="s">
        <v>583</v>
      </c>
      <c r="C127" s="10">
        <v>42311</v>
      </c>
      <c r="D127" s="10">
        <v>42315</v>
      </c>
      <c r="E127" s="9">
        <f t="shared" si="6"/>
        <v>2015</v>
      </c>
      <c r="F127" s="10" t="str">
        <f t="shared" si="7"/>
        <v>Nov</v>
      </c>
      <c r="G127" s="9">
        <f t="shared" si="8"/>
        <v>11</v>
      </c>
      <c r="H127" s="9">
        <f t="shared" si="5"/>
        <v>4</v>
      </c>
      <c r="I127" s="9" t="s">
        <v>43</v>
      </c>
      <c r="J127" s="9" t="s">
        <v>584</v>
      </c>
      <c r="K127" s="9" t="s">
        <v>585</v>
      </c>
      <c r="L127" s="9" t="s">
        <v>87</v>
      </c>
      <c r="M127" s="9" t="s">
        <v>23</v>
      </c>
      <c r="N127" s="9" t="s">
        <v>586</v>
      </c>
      <c r="O127" s="9" t="s">
        <v>587</v>
      </c>
      <c r="P127" s="9">
        <v>68104</v>
      </c>
      <c r="Q127" s="9" t="s">
        <v>26</v>
      </c>
      <c r="R127" s="9" t="s">
        <v>588</v>
      </c>
      <c r="S127" s="9" t="s">
        <v>28</v>
      </c>
      <c r="T127" s="9" t="s">
        <v>29</v>
      </c>
      <c r="U127" s="9" t="s">
        <v>589</v>
      </c>
      <c r="V127" s="11">
        <v>89.97</v>
      </c>
      <c r="W127" s="9" t="str">
        <f t="shared" si="9"/>
        <v>Slow Delivery</v>
      </c>
    </row>
    <row r="128" spans="1:23" x14ac:dyDescent="0.25">
      <c r="A128" s="9">
        <v>3199</v>
      </c>
      <c r="B128" s="10" t="s">
        <v>240</v>
      </c>
      <c r="C128" s="10">
        <v>42339</v>
      </c>
      <c r="D128" s="10">
        <v>42345</v>
      </c>
      <c r="E128" s="9">
        <f t="shared" si="6"/>
        <v>2015</v>
      </c>
      <c r="F128" s="10" t="str">
        <f t="shared" si="7"/>
        <v>Dec</v>
      </c>
      <c r="G128" s="9">
        <f t="shared" si="8"/>
        <v>12</v>
      </c>
      <c r="H128" s="9">
        <f t="shared" si="5"/>
        <v>6</v>
      </c>
      <c r="I128" s="9" t="s">
        <v>43</v>
      </c>
      <c r="J128" s="9" t="s">
        <v>241</v>
      </c>
      <c r="K128" s="9" t="s">
        <v>242</v>
      </c>
      <c r="L128" s="9" t="s">
        <v>22</v>
      </c>
      <c r="M128" s="9" t="s">
        <v>23</v>
      </c>
      <c r="N128" s="9" t="s">
        <v>243</v>
      </c>
      <c r="O128" s="9" t="s">
        <v>137</v>
      </c>
      <c r="P128" s="9">
        <v>28540</v>
      </c>
      <c r="Q128" s="9" t="s">
        <v>110</v>
      </c>
      <c r="R128" s="9" t="s">
        <v>244</v>
      </c>
      <c r="S128" s="9" t="s">
        <v>28</v>
      </c>
      <c r="T128" s="9" t="s">
        <v>51</v>
      </c>
      <c r="U128" s="9" t="s">
        <v>245</v>
      </c>
      <c r="V128" s="11">
        <v>95.968000000000004</v>
      </c>
      <c r="W128" s="9" t="str">
        <f t="shared" si="9"/>
        <v>Slow Delivery</v>
      </c>
    </row>
    <row r="129" spans="1:23" x14ac:dyDescent="0.25">
      <c r="A129" s="9">
        <v>4876</v>
      </c>
      <c r="B129" s="10" t="s">
        <v>427</v>
      </c>
      <c r="C129" s="10">
        <v>42340</v>
      </c>
      <c r="D129" s="10">
        <v>42345</v>
      </c>
      <c r="E129" s="9">
        <f t="shared" si="6"/>
        <v>2015</v>
      </c>
      <c r="F129" s="10" t="str">
        <f t="shared" si="7"/>
        <v>Dec</v>
      </c>
      <c r="G129" s="9">
        <f t="shared" si="8"/>
        <v>12</v>
      </c>
      <c r="H129" s="9">
        <f t="shared" si="5"/>
        <v>5</v>
      </c>
      <c r="I129" s="9" t="s">
        <v>43</v>
      </c>
      <c r="J129" s="9" t="s">
        <v>428</v>
      </c>
      <c r="K129" s="9" t="s">
        <v>429</v>
      </c>
      <c r="L129" s="9" t="s">
        <v>87</v>
      </c>
      <c r="M129" s="9" t="s">
        <v>23</v>
      </c>
      <c r="N129" s="9" t="s">
        <v>249</v>
      </c>
      <c r="O129" s="9" t="s">
        <v>250</v>
      </c>
      <c r="P129" s="9">
        <v>43229</v>
      </c>
      <c r="Q129" s="9" t="s">
        <v>49</v>
      </c>
      <c r="R129" s="9" t="s">
        <v>430</v>
      </c>
      <c r="S129" s="9" t="s">
        <v>28</v>
      </c>
      <c r="T129" s="9" t="s">
        <v>29</v>
      </c>
      <c r="U129" s="9" t="s">
        <v>431</v>
      </c>
      <c r="V129" s="11">
        <v>119.8</v>
      </c>
      <c r="W129" s="9" t="str">
        <f t="shared" si="9"/>
        <v>Slow Delivery</v>
      </c>
    </row>
    <row r="130" spans="1:23" x14ac:dyDescent="0.25">
      <c r="A130" s="9">
        <v>6600</v>
      </c>
      <c r="B130" s="10" t="s">
        <v>437</v>
      </c>
      <c r="C130" s="10">
        <v>42340</v>
      </c>
      <c r="D130" s="10">
        <v>42345</v>
      </c>
      <c r="E130" s="9">
        <f t="shared" si="6"/>
        <v>2015</v>
      </c>
      <c r="F130" s="10" t="str">
        <f t="shared" si="7"/>
        <v>Dec</v>
      </c>
      <c r="G130" s="9">
        <f t="shared" si="8"/>
        <v>12</v>
      </c>
      <c r="H130" s="9">
        <f t="shared" ref="H130:H193" si="10">D130-C130</f>
        <v>5</v>
      </c>
      <c r="I130" s="9" t="s">
        <v>43</v>
      </c>
      <c r="J130" s="9" t="s">
        <v>438</v>
      </c>
      <c r="K130" s="9" t="s">
        <v>439</v>
      </c>
      <c r="L130" s="9" t="s">
        <v>87</v>
      </c>
      <c r="M130" s="9" t="s">
        <v>23</v>
      </c>
      <c r="N130" s="9" t="s">
        <v>440</v>
      </c>
      <c r="O130" s="9" t="s">
        <v>441</v>
      </c>
      <c r="P130" s="9">
        <v>20735</v>
      </c>
      <c r="Q130" s="9" t="s">
        <v>49</v>
      </c>
      <c r="R130" s="9" t="s">
        <v>442</v>
      </c>
      <c r="S130" s="9" t="s">
        <v>39</v>
      </c>
      <c r="T130" s="9" t="s">
        <v>112</v>
      </c>
      <c r="U130" s="9" t="s">
        <v>443</v>
      </c>
      <c r="V130" s="11">
        <v>60.72</v>
      </c>
      <c r="W130" s="9" t="str">
        <f t="shared" si="9"/>
        <v>Slow Delivery</v>
      </c>
    </row>
    <row r="131" spans="1:23" x14ac:dyDescent="0.25">
      <c r="A131" s="9">
        <v>5378</v>
      </c>
      <c r="B131" s="10" t="s">
        <v>900</v>
      </c>
      <c r="C131" s="10">
        <v>42343</v>
      </c>
      <c r="D131" s="10">
        <v>42345</v>
      </c>
      <c r="E131" s="9">
        <f t="shared" ref="E131:E194" si="11">YEAR(C131)</f>
        <v>2015</v>
      </c>
      <c r="F131" s="10" t="str">
        <f t="shared" ref="F131:F194" si="12">TEXT(C131,"mmm")</f>
        <v>Dec</v>
      </c>
      <c r="G131" s="9">
        <f t="shared" ref="G131:G194" si="13">MONTH(C131)</f>
        <v>12</v>
      </c>
      <c r="H131" s="9">
        <f t="shared" si="10"/>
        <v>2</v>
      </c>
      <c r="I131" s="9" t="s">
        <v>19</v>
      </c>
      <c r="J131" s="9" t="s">
        <v>901</v>
      </c>
      <c r="K131" s="9" t="s">
        <v>902</v>
      </c>
      <c r="L131" s="9" t="s">
        <v>87</v>
      </c>
      <c r="M131" s="9" t="s">
        <v>23</v>
      </c>
      <c r="N131" s="9" t="s">
        <v>149</v>
      </c>
      <c r="O131" s="9" t="s">
        <v>150</v>
      </c>
      <c r="P131" s="9">
        <v>19134</v>
      </c>
      <c r="Q131" s="9" t="s">
        <v>49</v>
      </c>
      <c r="R131" s="9" t="s">
        <v>903</v>
      </c>
      <c r="S131" s="9" t="s">
        <v>66</v>
      </c>
      <c r="T131" s="9" t="s">
        <v>280</v>
      </c>
      <c r="U131" s="9" t="s">
        <v>904</v>
      </c>
      <c r="V131" s="11">
        <v>348.488</v>
      </c>
      <c r="W131" s="9" t="str">
        <f t="shared" ref="W131:W194" si="14">IF(H131&lt;=3,"Fast Delivery","Slow Delivery")</f>
        <v>Fast Delivery</v>
      </c>
    </row>
    <row r="132" spans="1:23" x14ac:dyDescent="0.25">
      <c r="A132" s="9">
        <v>7715</v>
      </c>
      <c r="B132" s="10" t="s">
        <v>915</v>
      </c>
      <c r="C132" s="10">
        <v>42343</v>
      </c>
      <c r="D132" s="10">
        <v>42345</v>
      </c>
      <c r="E132" s="9">
        <f t="shared" si="11"/>
        <v>2015</v>
      </c>
      <c r="F132" s="10" t="str">
        <f t="shared" si="12"/>
        <v>Dec</v>
      </c>
      <c r="G132" s="9">
        <f t="shared" si="13"/>
        <v>12</v>
      </c>
      <c r="H132" s="9">
        <f t="shared" si="10"/>
        <v>2</v>
      </c>
      <c r="I132" s="9" t="s">
        <v>19</v>
      </c>
      <c r="J132" s="9" t="s">
        <v>916</v>
      </c>
      <c r="K132" s="9" t="s">
        <v>917</v>
      </c>
      <c r="L132" s="9" t="s">
        <v>22</v>
      </c>
      <c r="M132" s="9" t="s">
        <v>23</v>
      </c>
      <c r="N132" s="9" t="s">
        <v>213</v>
      </c>
      <c r="O132" s="9" t="s">
        <v>80</v>
      </c>
      <c r="P132" s="9">
        <v>90032</v>
      </c>
      <c r="Q132" s="9" t="s">
        <v>37</v>
      </c>
      <c r="R132" s="9" t="s">
        <v>918</v>
      </c>
      <c r="S132" s="9" t="s">
        <v>66</v>
      </c>
      <c r="T132" s="9" t="s">
        <v>221</v>
      </c>
      <c r="U132" s="9" t="s">
        <v>919</v>
      </c>
      <c r="V132" s="11">
        <v>250.26</v>
      </c>
      <c r="W132" s="9" t="str">
        <f t="shared" si="14"/>
        <v>Fast Delivery</v>
      </c>
    </row>
    <row r="133" spans="1:23" x14ac:dyDescent="0.25">
      <c r="A133" s="9">
        <v>9243</v>
      </c>
      <c r="B133" s="10" t="s">
        <v>1337</v>
      </c>
      <c r="C133" s="10">
        <v>42194</v>
      </c>
      <c r="D133" s="10">
        <v>42199</v>
      </c>
      <c r="E133" s="9">
        <f t="shared" si="11"/>
        <v>2015</v>
      </c>
      <c r="F133" s="10" t="str">
        <f t="shared" si="12"/>
        <v>Jul</v>
      </c>
      <c r="G133" s="9">
        <f t="shared" si="13"/>
        <v>7</v>
      </c>
      <c r="H133" s="9">
        <f t="shared" si="10"/>
        <v>5</v>
      </c>
      <c r="I133" s="9" t="s">
        <v>43</v>
      </c>
      <c r="J133" s="9" t="s">
        <v>1338</v>
      </c>
      <c r="K133" s="9" t="s">
        <v>1339</v>
      </c>
      <c r="L133" s="9" t="s">
        <v>46</v>
      </c>
      <c r="M133" s="9" t="s">
        <v>23</v>
      </c>
      <c r="N133" s="9" t="s">
        <v>143</v>
      </c>
      <c r="O133" s="9" t="s">
        <v>80</v>
      </c>
      <c r="P133" s="9">
        <v>94122</v>
      </c>
      <c r="Q133" s="9" t="s">
        <v>37</v>
      </c>
      <c r="R133" s="9" t="s">
        <v>1340</v>
      </c>
      <c r="S133" s="9" t="s">
        <v>66</v>
      </c>
      <c r="T133" s="9" t="s">
        <v>103</v>
      </c>
      <c r="U133" s="9" t="s">
        <v>1341</v>
      </c>
      <c r="V133" s="11">
        <v>14.304</v>
      </c>
      <c r="W133" s="9" t="str">
        <f t="shared" si="14"/>
        <v>Slow Delivery</v>
      </c>
    </row>
    <row r="134" spans="1:23" x14ac:dyDescent="0.25">
      <c r="A134" s="9">
        <v>5801</v>
      </c>
      <c r="B134" s="10" t="s">
        <v>1553</v>
      </c>
      <c r="C134" s="10">
        <v>42196</v>
      </c>
      <c r="D134" s="10">
        <v>42199</v>
      </c>
      <c r="E134" s="9">
        <f t="shared" si="11"/>
        <v>2015</v>
      </c>
      <c r="F134" s="10" t="str">
        <f t="shared" si="12"/>
        <v>Jul</v>
      </c>
      <c r="G134" s="9">
        <f t="shared" si="13"/>
        <v>7</v>
      </c>
      <c r="H134" s="9">
        <f t="shared" si="10"/>
        <v>3</v>
      </c>
      <c r="I134" s="9" t="s">
        <v>19</v>
      </c>
      <c r="J134" s="9" t="s">
        <v>1554</v>
      </c>
      <c r="K134" s="9" t="s">
        <v>1555</v>
      </c>
      <c r="L134" s="9" t="s">
        <v>22</v>
      </c>
      <c r="M134" s="9" t="s">
        <v>23</v>
      </c>
      <c r="N134" s="9" t="s">
        <v>63</v>
      </c>
      <c r="O134" s="9" t="s">
        <v>64</v>
      </c>
      <c r="P134" s="9">
        <v>79907</v>
      </c>
      <c r="Q134" s="9" t="s">
        <v>26</v>
      </c>
      <c r="R134" s="9" t="s">
        <v>1556</v>
      </c>
      <c r="S134" s="9" t="s">
        <v>28</v>
      </c>
      <c r="T134" s="9" t="s">
        <v>51</v>
      </c>
      <c r="U134" s="9" t="s">
        <v>1557</v>
      </c>
      <c r="V134" s="11">
        <v>575.96799999999996</v>
      </c>
      <c r="W134" s="9" t="str">
        <f t="shared" si="14"/>
        <v>Fast Delivery</v>
      </c>
    </row>
    <row r="135" spans="1:23" x14ac:dyDescent="0.25">
      <c r="A135" s="9">
        <v>3367</v>
      </c>
      <c r="B135" s="10" t="s">
        <v>1332</v>
      </c>
      <c r="C135" s="10">
        <v>42194</v>
      </c>
      <c r="D135" s="10">
        <v>42200</v>
      </c>
      <c r="E135" s="9">
        <f t="shared" si="11"/>
        <v>2015</v>
      </c>
      <c r="F135" s="10" t="str">
        <f t="shared" si="12"/>
        <v>Jul</v>
      </c>
      <c r="G135" s="9">
        <f t="shared" si="13"/>
        <v>7</v>
      </c>
      <c r="H135" s="9">
        <f t="shared" si="10"/>
        <v>6</v>
      </c>
      <c r="I135" s="9" t="s">
        <v>43</v>
      </c>
      <c r="J135" s="9" t="s">
        <v>1333</v>
      </c>
      <c r="K135" s="9" t="s">
        <v>1334</v>
      </c>
      <c r="L135" s="9" t="s">
        <v>87</v>
      </c>
      <c r="M135" s="9" t="s">
        <v>23</v>
      </c>
      <c r="N135" s="9" t="s">
        <v>556</v>
      </c>
      <c r="O135" s="9" t="s">
        <v>64</v>
      </c>
      <c r="P135" s="9">
        <v>75217</v>
      </c>
      <c r="Q135" s="9" t="s">
        <v>26</v>
      </c>
      <c r="R135" s="9" t="s">
        <v>1335</v>
      </c>
      <c r="S135" s="9" t="s">
        <v>66</v>
      </c>
      <c r="T135" s="9" t="s">
        <v>201</v>
      </c>
      <c r="U135" s="9" t="s">
        <v>1336</v>
      </c>
      <c r="V135" s="11">
        <v>10.368</v>
      </c>
      <c r="W135" s="9" t="str">
        <f t="shared" si="14"/>
        <v>Slow Delivery</v>
      </c>
    </row>
    <row r="136" spans="1:23" x14ac:dyDescent="0.25">
      <c r="A136" s="9">
        <v>1029</v>
      </c>
      <c r="B136" s="10" t="s">
        <v>1548</v>
      </c>
      <c r="C136" s="10">
        <v>42196</v>
      </c>
      <c r="D136" s="10">
        <v>42200</v>
      </c>
      <c r="E136" s="9">
        <f t="shared" si="11"/>
        <v>2015</v>
      </c>
      <c r="F136" s="10" t="str">
        <f t="shared" si="12"/>
        <v>Jul</v>
      </c>
      <c r="G136" s="9">
        <f t="shared" si="13"/>
        <v>7</v>
      </c>
      <c r="H136" s="9">
        <f t="shared" si="10"/>
        <v>4</v>
      </c>
      <c r="I136" s="9" t="s">
        <v>43</v>
      </c>
      <c r="J136" s="9" t="s">
        <v>1549</v>
      </c>
      <c r="K136" s="9" t="s">
        <v>1550</v>
      </c>
      <c r="L136" s="9" t="s">
        <v>87</v>
      </c>
      <c r="M136" s="9" t="s">
        <v>23</v>
      </c>
      <c r="N136" s="9" t="s">
        <v>1551</v>
      </c>
      <c r="O136" s="9" t="s">
        <v>101</v>
      </c>
      <c r="P136" s="9">
        <v>7601</v>
      </c>
      <c r="Q136" s="9" t="s">
        <v>49</v>
      </c>
      <c r="R136" s="9" t="s">
        <v>1552</v>
      </c>
      <c r="S136" s="9" t="s">
        <v>66</v>
      </c>
      <c r="T136" s="9" t="s">
        <v>201</v>
      </c>
      <c r="U136" s="9" t="s">
        <v>673</v>
      </c>
      <c r="V136" s="11">
        <v>177.2</v>
      </c>
      <c r="W136" s="9" t="str">
        <f t="shared" si="14"/>
        <v>Slow Delivery</v>
      </c>
    </row>
    <row r="137" spans="1:23" x14ac:dyDescent="0.25">
      <c r="A137" s="9">
        <v>6335</v>
      </c>
      <c r="B137" s="10" t="s">
        <v>1558</v>
      </c>
      <c r="C137" s="10">
        <v>42196</v>
      </c>
      <c r="D137" s="10">
        <v>42200</v>
      </c>
      <c r="E137" s="9">
        <f t="shared" si="11"/>
        <v>2015</v>
      </c>
      <c r="F137" s="10" t="str">
        <f t="shared" si="12"/>
        <v>Jul</v>
      </c>
      <c r="G137" s="9">
        <f t="shared" si="13"/>
        <v>7</v>
      </c>
      <c r="H137" s="9">
        <f t="shared" si="10"/>
        <v>4</v>
      </c>
      <c r="I137" s="9" t="s">
        <v>43</v>
      </c>
      <c r="J137" s="9" t="s">
        <v>1559</v>
      </c>
      <c r="K137" s="9" t="s">
        <v>1560</v>
      </c>
      <c r="L137" s="9" t="s">
        <v>22</v>
      </c>
      <c r="M137" s="9" t="s">
        <v>23</v>
      </c>
      <c r="N137" s="9" t="s">
        <v>47</v>
      </c>
      <c r="O137" s="9" t="s">
        <v>48</v>
      </c>
      <c r="P137" s="9">
        <v>10011</v>
      </c>
      <c r="Q137" s="9" t="s">
        <v>49</v>
      </c>
      <c r="R137" s="9" t="s">
        <v>1561</v>
      </c>
      <c r="S137" s="9" t="s">
        <v>66</v>
      </c>
      <c r="T137" s="9" t="s">
        <v>201</v>
      </c>
      <c r="U137" s="9" t="s">
        <v>1562</v>
      </c>
      <c r="V137" s="11">
        <v>49.12</v>
      </c>
      <c r="W137" s="9" t="str">
        <f t="shared" si="14"/>
        <v>Slow Delivery</v>
      </c>
    </row>
    <row r="138" spans="1:23" x14ac:dyDescent="0.25">
      <c r="A138" s="9">
        <v>7399</v>
      </c>
      <c r="B138" s="10" t="s">
        <v>1641</v>
      </c>
      <c r="C138" s="10">
        <v>42197</v>
      </c>
      <c r="D138" s="10">
        <v>42200</v>
      </c>
      <c r="E138" s="9">
        <f t="shared" si="11"/>
        <v>2015</v>
      </c>
      <c r="F138" s="10" t="str">
        <f t="shared" si="12"/>
        <v>Jul</v>
      </c>
      <c r="G138" s="9">
        <f t="shared" si="13"/>
        <v>7</v>
      </c>
      <c r="H138" s="9">
        <f t="shared" si="10"/>
        <v>3</v>
      </c>
      <c r="I138" s="9" t="s">
        <v>32</v>
      </c>
      <c r="J138" s="9" t="s">
        <v>1642</v>
      </c>
      <c r="K138" s="9" t="s">
        <v>1643</v>
      </c>
      <c r="L138" s="9" t="s">
        <v>22</v>
      </c>
      <c r="M138" s="9" t="s">
        <v>23</v>
      </c>
      <c r="N138" s="9" t="s">
        <v>199</v>
      </c>
      <c r="O138" s="9" t="s">
        <v>57</v>
      </c>
      <c r="P138" s="9">
        <v>60610</v>
      </c>
      <c r="Q138" s="9" t="s">
        <v>26</v>
      </c>
      <c r="R138" s="9" t="s">
        <v>1644</v>
      </c>
      <c r="S138" s="9" t="s">
        <v>66</v>
      </c>
      <c r="T138" s="9" t="s">
        <v>201</v>
      </c>
      <c r="U138" s="9" t="s">
        <v>1645</v>
      </c>
      <c r="V138" s="11">
        <v>35.856000000000002</v>
      </c>
      <c r="W138" s="9" t="str">
        <f t="shared" si="14"/>
        <v>Fast Delivery</v>
      </c>
    </row>
    <row r="139" spans="1:23" x14ac:dyDescent="0.25">
      <c r="A139" s="9">
        <v>1221</v>
      </c>
      <c r="B139" s="10" t="s">
        <v>1636</v>
      </c>
      <c r="C139" s="10">
        <v>42197</v>
      </c>
      <c r="D139" s="10">
        <v>42201</v>
      </c>
      <c r="E139" s="9">
        <f t="shared" si="11"/>
        <v>2015</v>
      </c>
      <c r="F139" s="10" t="str">
        <f t="shared" si="12"/>
        <v>Jul</v>
      </c>
      <c r="G139" s="9">
        <f t="shared" si="13"/>
        <v>7</v>
      </c>
      <c r="H139" s="9">
        <f t="shared" si="10"/>
        <v>4</v>
      </c>
      <c r="I139" s="9" t="s">
        <v>43</v>
      </c>
      <c r="J139" s="9" t="s">
        <v>1637</v>
      </c>
      <c r="K139" s="9" t="s">
        <v>1638</v>
      </c>
      <c r="L139" s="9" t="s">
        <v>46</v>
      </c>
      <c r="M139" s="9" t="s">
        <v>23</v>
      </c>
      <c r="N139" s="9" t="s">
        <v>213</v>
      </c>
      <c r="O139" s="9" t="s">
        <v>80</v>
      </c>
      <c r="P139" s="9">
        <v>90036</v>
      </c>
      <c r="Q139" s="9" t="s">
        <v>37</v>
      </c>
      <c r="R139" s="9" t="s">
        <v>1639</v>
      </c>
      <c r="S139" s="9" t="s">
        <v>66</v>
      </c>
      <c r="T139" s="9" t="s">
        <v>74</v>
      </c>
      <c r="U139" s="9" t="s">
        <v>1640</v>
      </c>
      <c r="V139" s="11">
        <v>249.75</v>
      </c>
      <c r="W139" s="9" t="str">
        <f t="shared" si="14"/>
        <v>Slow Delivery</v>
      </c>
    </row>
    <row r="140" spans="1:23" x14ac:dyDescent="0.25">
      <c r="A140" s="9">
        <v>8314</v>
      </c>
      <c r="B140" s="10" t="s">
        <v>1646</v>
      </c>
      <c r="C140" s="10">
        <v>42197</v>
      </c>
      <c r="D140" s="10">
        <v>42201</v>
      </c>
      <c r="E140" s="9">
        <f t="shared" si="11"/>
        <v>2015</v>
      </c>
      <c r="F140" s="10" t="str">
        <f t="shared" si="12"/>
        <v>Jul</v>
      </c>
      <c r="G140" s="9">
        <f t="shared" si="13"/>
        <v>7</v>
      </c>
      <c r="H140" s="9">
        <f t="shared" si="10"/>
        <v>4</v>
      </c>
      <c r="I140" s="9" t="s">
        <v>43</v>
      </c>
      <c r="J140" s="9" t="s">
        <v>1647</v>
      </c>
      <c r="K140" s="9" t="s">
        <v>1648</v>
      </c>
      <c r="L140" s="9" t="s">
        <v>46</v>
      </c>
      <c r="M140" s="9" t="s">
        <v>23</v>
      </c>
      <c r="N140" s="9" t="s">
        <v>1649</v>
      </c>
      <c r="O140" s="9" t="s">
        <v>64</v>
      </c>
      <c r="P140" s="9">
        <v>77573</v>
      </c>
      <c r="Q140" s="9" t="s">
        <v>26</v>
      </c>
      <c r="R140" s="9" t="s">
        <v>1650</v>
      </c>
      <c r="S140" s="9" t="s">
        <v>39</v>
      </c>
      <c r="T140" s="9" t="s">
        <v>40</v>
      </c>
      <c r="U140" s="9" t="s">
        <v>1651</v>
      </c>
      <c r="V140" s="11">
        <v>512.35799999999995</v>
      </c>
      <c r="W140" s="9" t="str">
        <f t="shared" si="14"/>
        <v>Slow Delivery</v>
      </c>
    </row>
    <row r="141" spans="1:23" x14ac:dyDescent="0.25">
      <c r="A141" s="9">
        <v>338</v>
      </c>
      <c r="B141" s="10" t="s">
        <v>1633</v>
      </c>
      <c r="C141" s="10">
        <v>42197</v>
      </c>
      <c r="D141" s="10">
        <v>42202</v>
      </c>
      <c r="E141" s="9">
        <f t="shared" si="11"/>
        <v>2015</v>
      </c>
      <c r="F141" s="10" t="str">
        <f t="shared" si="12"/>
        <v>Jul</v>
      </c>
      <c r="G141" s="9">
        <f t="shared" si="13"/>
        <v>7</v>
      </c>
      <c r="H141" s="9">
        <f t="shared" si="10"/>
        <v>5</v>
      </c>
      <c r="I141" s="9" t="s">
        <v>43</v>
      </c>
      <c r="J141" s="9" t="s">
        <v>1634</v>
      </c>
      <c r="K141" s="9" t="s">
        <v>1635</v>
      </c>
      <c r="L141" s="9" t="s">
        <v>87</v>
      </c>
      <c r="M141" s="9" t="s">
        <v>23</v>
      </c>
      <c r="N141" s="9" t="s">
        <v>143</v>
      </c>
      <c r="O141" s="9" t="s">
        <v>80</v>
      </c>
      <c r="P141" s="9">
        <v>94122</v>
      </c>
      <c r="Q141" s="9" t="s">
        <v>37</v>
      </c>
      <c r="R141" s="9" t="s">
        <v>1433</v>
      </c>
      <c r="S141" s="9" t="s">
        <v>66</v>
      </c>
      <c r="T141" s="9" t="s">
        <v>103</v>
      </c>
      <c r="U141" s="9" t="s">
        <v>1434</v>
      </c>
      <c r="V141" s="11">
        <v>7.7119999999999997</v>
      </c>
      <c r="W141" s="9" t="str">
        <f t="shared" si="14"/>
        <v>Slow Delivery</v>
      </c>
    </row>
    <row r="142" spans="1:23" x14ac:dyDescent="0.25">
      <c r="A142" s="9">
        <v>7624</v>
      </c>
      <c r="B142" s="10" t="s">
        <v>3758</v>
      </c>
      <c r="C142" s="10">
        <v>42199</v>
      </c>
      <c r="D142" s="10">
        <v>42205</v>
      </c>
      <c r="E142" s="9">
        <f t="shared" si="11"/>
        <v>2015</v>
      </c>
      <c r="F142" s="10" t="str">
        <f t="shared" si="12"/>
        <v>Jul</v>
      </c>
      <c r="G142" s="9">
        <f t="shared" si="13"/>
        <v>7</v>
      </c>
      <c r="H142" s="9">
        <f t="shared" si="10"/>
        <v>6</v>
      </c>
      <c r="I142" s="9" t="s">
        <v>43</v>
      </c>
      <c r="J142" s="9" t="s">
        <v>3759</v>
      </c>
      <c r="K142" s="9" t="s">
        <v>3760</v>
      </c>
      <c r="L142" s="9" t="s">
        <v>46</v>
      </c>
      <c r="M142" s="9" t="s">
        <v>23</v>
      </c>
      <c r="N142" s="9" t="s">
        <v>1814</v>
      </c>
      <c r="O142" s="9" t="s">
        <v>1475</v>
      </c>
      <c r="P142" s="9">
        <v>19711</v>
      </c>
      <c r="Q142" s="9" t="s">
        <v>49</v>
      </c>
      <c r="R142" s="9" t="s">
        <v>3761</v>
      </c>
      <c r="S142" s="9" t="s">
        <v>66</v>
      </c>
      <c r="T142" s="9" t="s">
        <v>221</v>
      </c>
      <c r="U142" s="9" t="s">
        <v>3762</v>
      </c>
      <c r="V142" s="11">
        <v>39.479999999999997</v>
      </c>
      <c r="W142" s="9" t="str">
        <f t="shared" si="14"/>
        <v>Slow Delivery</v>
      </c>
    </row>
    <row r="143" spans="1:23" x14ac:dyDescent="0.25">
      <c r="A143" s="9">
        <v>740</v>
      </c>
      <c r="B143" s="10" t="s">
        <v>608</v>
      </c>
      <c r="C143" s="10">
        <v>42008</v>
      </c>
      <c r="D143" s="10">
        <v>42012</v>
      </c>
      <c r="E143" s="9">
        <f t="shared" si="11"/>
        <v>2015</v>
      </c>
      <c r="F143" s="10" t="str">
        <f t="shared" si="12"/>
        <v>Jan</v>
      </c>
      <c r="G143" s="9">
        <f t="shared" si="13"/>
        <v>1</v>
      </c>
      <c r="H143" s="9">
        <f t="shared" si="10"/>
        <v>4</v>
      </c>
      <c r="I143" s="9" t="s">
        <v>43</v>
      </c>
      <c r="J143" s="9" t="s">
        <v>609</v>
      </c>
      <c r="K143" s="9" t="s">
        <v>610</v>
      </c>
      <c r="L143" s="9" t="s">
        <v>46</v>
      </c>
      <c r="M143" s="9" t="s">
        <v>23</v>
      </c>
      <c r="N143" s="9" t="s">
        <v>611</v>
      </c>
      <c r="O143" s="9" t="s">
        <v>57</v>
      </c>
      <c r="P143" s="9">
        <v>60540</v>
      </c>
      <c r="Q143" s="9" t="s">
        <v>26</v>
      </c>
      <c r="R143" s="9" t="s">
        <v>612</v>
      </c>
      <c r="S143" s="9" t="s">
        <v>66</v>
      </c>
      <c r="T143" s="9" t="s">
        <v>82</v>
      </c>
      <c r="U143" s="9" t="s">
        <v>613</v>
      </c>
      <c r="V143" s="11">
        <v>11.784000000000001</v>
      </c>
      <c r="W143" s="9" t="str">
        <f t="shared" si="14"/>
        <v>Slow Delivery</v>
      </c>
    </row>
    <row r="144" spans="1:23" x14ac:dyDescent="0.25">
      <c r="A144" s="9">
        <v>5328</v>
      </c>
      <c r="B144" s="10" t="s">
        <v>920</v>
      </c>
      <c r="C144" s="10">
        <v>42010</v>
      </c>
      <c r="D144" s="10">
        <v>42012</v>
      </c>
      <c r="E144" s="9">
        <f t="shared" si="11"/>
        <v>2015</v>
      </c>
      <c r="F144" s="10" t="str">
        <f t="shared" si="12"/>
        <v>Jan</v>
      </c>
      <c r="G144" s="9">
        <f t="shared" si="13"/>
        <v>1</v>
      </c>
      <c r="H144" s="9">
        <f t="shared" si="10"/>
        <v>2</v>
      </c>
      <c r="I144" s="9" t="s">
        <v>32</v>
      </c>
      <c r="J144" s="9" t="s">
        <v>921</v>
      </c>
      <c r="K144" s="9" t="s">
        <v>922</v>
      </c>
      <c r="L144" s="9" t="s">
        <v>22</v>
      </c>
      <c r="M144" s="9" t="s">
        <v>23</v>
      </c>
      <c r="N144" s="9" t="s">
        <v>213</v>
      </c>
      <c r="O144" s="9" t="s">
        <v>80</v>
      </c>
      <c r="P144" s="9">
        <v>90049</v>
      </c>
      <c r="Q144" s="9" t="s">
        <v>37</v>
      </c>
      <c r="R144" s="9" t="s">
        <v>923</v>
      </c>
      <c r="S144" s="9" t="s">
        <v>66</v>
      </c>
      <c r="T144" s="9" t="s">
        <v>201</v>
      </c>
      <c r="U144" s="9" t="s">
        <v>924</v>
      </c>
      <c r="V144" s="11">
        <v>19.440000000000001</v>
      </c>
      <c r="W144" s="9" t="str">
        <f t="shared" si="14"/>
        <v>Fast Delivery</v>
      </c>
    </row>
    <row r="145" spans="1:23" x14ac:dyDescent="0.25">
      <c r="A145" s="9">
        <v>1544</v>
      </c>
      <c r="B145" s="10" t="s">
        <v>614</v>
      </c>
      <c r="C145" s="10">
        <v>42039</v>
      </c>
      <c r="D145" s="10">
        <v>42043</v>
      </c>
      <c r="E145" s="9">
        <f t="shared" si="11"/>
        <v>2015</v>
      </c>
      <c r="F145" s="10" t="str">
        <f t="shared" si="12"/>
        <v>Feb</v>
      </c>
      <c r="G145" s="9">
        <f t="shared" si="13"/>
        <v>2</v>
      </c>
      <c r="H145" s="9">
        <f t="shared" si="10"/>
        <v>4</v>
      </c>
      <c r="I145" s="9" t="s">
        <v>43</v>
      </c>
      <c r="J145" s="9" t="s">
        <v>615</v>
      </c>
      <c r="K145" s="9" t="s">
        <v>616</v>
      </c>
      <c r="L145" s="9" t="s">
        <v>46</v>
      </c>
      <c r="M145" s="9" t="s">
        <v>23</v>
      </c>
      <c r="N145" s="9" t="s">
        <v>268</v>
      </c>
      <c r="O145" s="9" t="s">
        <v>80</v>
      </c>
      <c r="P145" s="9">
        <v>92024</v>
      </c>
      <c r="Q145" s="9" t="s">
        <v>37</v>
      </c>
      <c r="R145" s="9" t="s">
        <v>617</v>
      </c>
      <c r="S145" s="9" t="s">
        <v>66</v>
      </c>
      <c r="T145" s="9" t="s">
        <v>103</v>
      </c>
      <c r="U145" s="9" t="s">
        <v>618</v>
      </c>
      <c r="V145" s="11">
        <v>82.896000000000001</v>
      </c>
      <c r="W145" s="9" t="str">
        <f t="shared" si="14"/>
        <v>Slow Delivery</v>
      </c>
    </row>
    <row r="146" spans="1:23" x14ac:dyDescent="0.25">
      <c r="A146" s="9">
        <v>8585</v>
      </c>
      <c r="B146" s="10" t="s">
        <v>619</v>
      </c>
      <c r="C146" s="10">
        <v>42039</v>
      </c>
      <c r="D146" s="10">
        <v>42043</v>
      </c>
      <c r="E146" s="9">
        <f t="shared" si="11"/>
        <v>2015</v>
      </c>
      <c r="F146" s="10" t="str">
        <f t="shared" si="12"/>
        <v>Feb</v>
      </c>
      <c r="G146" s="9">
        <f t="shared" si="13"/>
        <v>2</v>
      </c>
      <c r="H146" s="9">
        <f t="shared" si="10"/>
        <v>4</v>
      </c>
      <c r="I146" s="9" t="s">
        <v>32</v>
      </c>
      <c r="J146" s="9" t="s">
        <v>620</v>
      </c>
      <c r="K146" s="9" t="s">
        <v>621</v>
      </c>
      <c r="L146" s="9" t="s">
        <v>87</v>
      </c>
      <c r="M146" s="9" t="s">
        <v>23</v>
      </c>
      <c r="N146" s="9" t="s">
        <v>156</v>
      </c>
      <c r="O146" s="9" t="s">
        <v>80</v>
      </c>
      <c r="P146" s="9">
        <v>92025</v>
      </c>
      <c r="Q146" s="9" t="s">
        <v>37</v>
      </c>
      <c r="R146" s="9" t="s">
        <v>622</v>
      </c>
      <c r="S146" s="9" t="s">
        <v>66</v>
      </c>
      <c r="T146" s="9" t="s">
        <v>103</v>
      </c>
      <c r="U146" s="9" t="s">
        <v>623</v>
      </c>
      <c r="V146" s="11">
        <v>17.248000000000001</v>
      </c>
      <c r="W146" s="9" t="str">
        <f t="shared" si="14"/>
        <v>Slow Delivery</v>
      </c>
    </row>
    <row r="147" spans="1:23" x14ac:dyDescent="0.25">
      <c r="A147" s="9">
        <v>6058</v>
      </c>
      <c r="B147" s="10" t="s">
        <v>276</v>
      </c>
      <c r="C147" s="10">
        <v>42065</v>
      </c>
      <c r="D147" s="10">
        <v>42071</v>
      </c>
      <c r="E147" s="9">
        <f t="shared" si="11"/>
        <v>2015</v>
      </c>
      <c r="F147" s="10" t="str">
        <f t="shared" si="12"/>
        <v>Mar</v>
      </c>
      <c r="G147" s="9">
        <f t="shared" si="13"/>
        <v>3</v>
      </c>
      <c r="H147" s="9">
        <f t="shared" si="10"/>
        <v>6</v>
      </c>
      <c r="I147" s="9" t="s">
        <v>43</v>
      </c>
      <c r="J147" s="9" t="s">
        <v>277</v>
      </c>
      <c r="K147" s="9" t="s">
        <v>278</v>
      </c>
      <c r="L147" s="9" t="s">
        <v>46</v>
      </c>
      <c r="M147" s="9" t="s">
        <v>23</v>
      </c>
      <c r="N147" s="9" t="s">
        <v>47</v>
      </c>
      <c r="O147" s="9" t="s">
        <v>48</v>
      </c>
      <c r="P147" s="9">
        <v>10009</v>
      </c>
      <c r="Q147" s="9" t="s">
        <v>49</v>
      </c>
      <c r="R147" s="9" t="s">
        <v>279</v>
      </c>
      <c r="S147" s="9" t="s">
        <v>66</v>
      </c>
      <c r="T147" s="9" t="s">
        <v>280</v>
      </c>
      <c r="U147" s="9" t="s">
        <v>281</v>
      </c>
      <c r="V147" s="11">
        <v>11.36</v>
      </c>
      <c r="W147" s="9" t="str">
        <f t="shared" si="14"/>
        <v>Slow Delivery</v>
      </c>
    </row>
    <row r="148" spans="1:23" x14ac:dyDescent="0.25">
      <c r="A148" s="9">
        <v>1163</v>
      </c>
      <c r="B148" s="10" t="s">
        <v>466</v>
      </c>
      <c r="C148" s="10">
        <v>42066</v>
      </c>
      <c r="D148" s="10">
        <v>42071</v>
      </c>
      <c r="E148" s="9">
        <f t="shared" si="11"/>
        <v>2015</v>
      </c>
      <c r="F148" s="10" t="str">
        <f t="shared" si="12"/>
        <v>Mar</v>
      </c>
      <c r="G148" s="9">
        <f t="shared" si="13"/>
        <v>3</v>
      </c>
      <c r="H148" s="9">
        <f t="shared" si="10"/>
        <v>5</v>
      </c>
      <c r="I148" s="9" t="s">
        <v>43</v>
      </c>
      <c r="J148" s="9" t="s">
        <v>467</v>
      </c>
      <c r="K148" s="9" t="s">
        <v>468</v>
      </c>
      <c r="L148" s="9" t="s">
        <v>46</v>
      </c>
      <c r="M148" s="9" t="s">
        <v>23</v>
      </c>
      <c r="N148" s="9" t="s">
        <v>47</v>
      </c>
      <c r="O148" s="9" t="s">
        <v>48</v>
      </c>
      <c r="P148" s="9">
        <v>10035</v>
      </c>
      <c r="Q148" s="9" t="s">
        <v>49</v>
      </c>
      <c r="R148" s="9" t="s">
        <v>469</v>
      </c>
      <c r="S148" s="9" t="s">
        <v>28</v>
      </c>
      <c r="T148" s="9" t="s">
        <v>51</v>
      </c>
      <c r="U148" s="9" t="s">
        <v>470</v>
      </c>
      <c r="V148" s="11">
        <v>9.99</v>
      </c>
      <c r="W148" s="9" t="str">
        <f t="shared" si="14"/>
        <v>Slow Delivery</v>
      </c>
    </row>
    <row r="149" spans="1:23" x14ac:dyDescent="0.25">
      <c r="A149" s="9">
        <v>7247</v>
      </c>
      <c r="B149" s="10" t="s">
        <v>471</v>
      </c>
      <c r="C149" s="10">
        <v>42066</v>
      </c>
      <c r="D149" s="10">
        <v>42071</v>
      </c>
      <c r="E149" s="9">
        <f t="shared" si="11"/>
        <v>2015</v>
      </c>
      <c r="F149" s="10" t="str">
        <f t="shared" si="12"/>
        <v>Mar</v>
      </c>
      <c r="G149" s="9">
        <f t="shared" si="13"/>
        <v>3</v>
      </c>
      <c r="H149" s="9">
        <f t="shared" si="10"/>
        <v>5</v>
      </c>
      <c r="I149" s="9" t="s">
        <v>43</v>
      </c>
      <c r="J149" s="9" t="s">
        <v>472</v>
      </c>
      <c r="K149" s="9" t="s">
        <v>473</v>
      </c>
      <c r="L149" s="9" t="s">
        <v>87</v>
      </c>
      <c r="M149" s="9" t="s">
        <v>23</v>
      </c>
      <c r="N149" s="9" t="s">
        <v>249</v>
      </c>
      <c r="O149" s="9" t="s">
        <v>250</v>
      </c>
      <c r="P149" s="9">
        <v>43229</v>
      </c>
      <c r="Q149" s="9" t="s">
        <v>49</v>
      </c>
      <c r="R149" s="9" t="s">
        <v>474</v>
      </c>
      <c r="S149" s="9" t="s">
        <v>66</v>
      </c>
      <c r="T149" s="9" t="s">
        <v>82</v>
      </c>
      <c r="U149" s="9" t="s">
        <v>475</v>
      </c>
      <c r="V149" s="11">
        <v>15.12</v>
      </c>
      <c r="W149" s="9" t="str">
        <f t="shared" si="14"/>
        <v>Slow Delivery</v>
      </c>
    </row>
    <row r="150" spans="1:23" x14ac:dyDescent="0.25">
      <c r="A150" s="9">
        <v>8497</v>
      </c>
      <c r="B150" s="10" t="s">
        <v>748</v>
      </c>
      <c r="C150" s="10">
        <v>42068</v>
      </c>
      <c r="D150" s="10">
        <v>42071</v>
      </c>
      <c r="E150" s="9">
        <f t="shared" si="11"/>
        <v>2015</v>
      </c>
      <c r="F150" s="10" t="str">
        <f t="shared" si="12"/>
        <v>Mar</v>
      </c>
      <c r="G150" s="9">
        <f t="shared" si="13"/>
        <v>3</v>
      </c>
      <c r="H150" s="9">
        <f t="shared" si="10"/>
        <v>3</v>
      </c>
      <c r="I150" s="9" t="s">
        <v>32</v>
      </c>
      <c r="J150" s="9" t="s">
        <v>749</v>
      </c>
      <c r="K150" s="9" t="s">
        <v>750</v>
      </c>
      <c r="L150" s="9" t="s">
        <v>22</v>
      </c>
      <c r="M150" s="9" t="s">
        <v>23</v>
      </c>
      <c r="N150" s="9" t="s">
        <v>491</v>
      </c>
      <c r="O150" s="9" t="s">
        <v>48</v>
      </c>
      <c r="P150" s="9">
        <v>10701</v>
      </c>
      <c r="Q150" s="9" t="s">
        <v>49</v>
      </c>
      <c r="R150" s="9" t="s">
        <v>751</v>
      </c>
      <c r="S150" s="9" t="s">
        <v>66</v>
      </c>
      <c r="T150" s="9" t="s">
        <v>158</v>
      </c>
      <c r="U150" s="9" t="s">
        <v>752</v>
      </c>
      <c r="V150" s="11">
        <v>59.52</v>
      </c>
      <c r="W150" s="9" t="str">
        <f t="shared" si="14"/>
        <v>Fast Delivery</v>
      </c>
    </row>
    <row r="151" spans="1:23" x14ac:dyDescent="0.25">
      <c r="A151" s="9">
        <v>4962</v>
      </c>
      <c r="B151" s="10" t="s">
        <v>1055</v>
      </c>
      <c r="C151" s="10">
        <v>42070</v>
      </c>
      <c r="D151" s="10">
        <v>42071</v>
      </c>
      <c r="E151" s="9">
        <f t="shared" si="11"/>
        <v>2015</v>
      </c>
      <c r="F151" s="10" t="str">
        <f t="shared" si="12"/>
        <v>Mar</v>
      </c>
      <c r="G151" s="9">
        <f t="shared" si="13"/>
        <v>3</v>
      </c>
      <c r="H151" s="9">
        <f t="shared" si="10"/>
        <v>1</v>
      </c>
      <c r="I151" s="9" t="s">
        <v>19</v>
      </c>
      <c r="J151" s="9" t="s">
        <v>1056</v>
      </c>
      <c r="K151" s="9" t="s">
        <v>1057</v>
      </c>
      <c r="L151" s="9" t="s">
        <v>22</v>
      </c>
      <c r="M151" s="9" t="s">
        <v>23</v>
      </c>
      <c r="N151" s="9" t="s">
        <v>35</v>
      </c>
      <c r="O151" s="9" t="s">
        <v>36</v>
      </c>
      <c r="P151" s="9">
        <v>98103</v>
      </c>
      <c r="Q151" s="9" t="s">
        <v>37</v>
      </c>
      <c r="R151" s="9" t="s">
        <v>1058</v>
      </c>
      <c r="S151" s="9" t="s">
        <v>39</v>
      </c>
      <c r="T151" s="9" t="s">
        <v>40</v>
      </c>
      <c r="U151" s="9" t="s">
        <v>1059</v>
      </c>
      <c r="V151" s="11">
        <v>48.712000000000003</v>
      </c>
      <c r="W151" s="9" t="str">
        <f t="shared" si="14"/>
        <v>Fast Delivery</v>
      </c>
    </row>
    <row r="152" spans="1:23" x14ac:dyDescent="0.25">
      <c r="A152" s="9">
        <v>5683</v>
      </c>
      <c r="B152" s="10" t="s">
        <v>282</v>
      </c>
      <c r="C152" s="10">
        <v>42096</v>
      </c>
      <c r="D152" s="10">
        <v>42102</v>
      </c>
      <c r="E152" s="9">
        <f t="shared" si="11"/>
        <v>2015</v>
      </c>
      <c r="F152" s="10" t="str">
        <f t="shared" si="12"/>
        <v>Apr</v>
      </c>
      <c r="G152" s="9">
        <f t="shared" si="13"/>
        <v>4</v>
      </c>
      <c r="H152" s="9">
        <f t="shared" si="10"/>
        <v>6</v>
      </c>
      <c r="I152" s="9" t="s">
        <v>43</v>
      </c>
      <c r="J152" s="9" t="s">
        <v>283</v>
      </c>
      <c r="K152" s="9" t="s">
        <v>284</v>
      </c>
      <c r="L152" s="9" t="s">
        <v>22</v>
      </c>
      <c r="M152" s="9" t="s">
        <v>23</v>
      </c>
      <c r="N152" s="9" t="s">
        <v>285</v>
      </c>
      <c r="O152" s="9" t="s">
        <v>286</v>
      </c>
      <c r="P152" s="9">
        <v>30605</v>
      </c>
      <c r="Q152" s="9" t="s">
        <v>110</v>
      </c>
      <c r="R152" s="9" t="s">
        <v>287</v>
      </c>
      <c r="S152" s="9" t="s">
        <v>66</v>
      </c>
      <c r="T152" s="9" t="s">
        <v>201</v>
      </c>
      <c r="U152" s="9" t="s">
        <v>288</v>
      </c>
      <c r="V152" s="11">
        <v>15.84</v>
      </c>
      <c r="W152" s="9" t="str">
        <f t="shared" si="14"/>
        <v>Slow Delivery</v>
      </c>
    </row>
    <row r="153" spans="1:23" x14ac:dyDescent="0.25">
      <c r="A153" s="9">
        <v>8920</v>
      </c>
      <c r="B153" s="10" t="s">
        <v>294</v>
      </c>
      <c r="C153" s="10">
        <v>42096</v>
      </c>
      <c r="D153" s="10">
        <v>42102</v>
      </c>
      <c r="E153" s="9">
        <f t="shared" si="11"/>
        <v>2015</v>
      </c>
      <c r="F153" s="10" t="str">
        <f t="shared" si="12"/>
        <v>Apr</v>
      </c>
      <c r="G153" s="9">
        <f t="shared" si="13"/>
        <v>4</v>
      </c>
      <c r="H153" s="9">
        <f t="shared" si="10"/>
        <v>6</v>
      </c>
      <c r="I153" s="9" t="s">
        <v>43</v>
      </c>
      <c r="J153" s="9" t="s">
        <v>295</v>
      </c>
      <c r="K153" s="9" t="s">
        <v>296</v>
      </c>
      <c r="L153" s="9" t="s">
        <v>87</v>
      </c>
      <c r="M153" s="9" t="s">
        <v>23</v>
      </c>
      <c r="N153" s="9" t="s">
        <v>297</v>
      </c>
      <c r="O153" s="9" t="s">
        <v>298</v>
      </c>
      <c r="P153" s="9">
        <v>23464</v>
      </c>
      <c r="Q153" s="9" t="s">
        <v>110</v>
      </c>
      <c r="R153" s="9" t="s">
        <v>299</v>
      </c>
      <c r="S153" s="9" t="s">
        <v>39</v>
      </c>
      <c r="T153" s="9" t="s">
        <v>112</v>
      </c>
      <c r="U153" s="9" t="s">
        <v>300</v>
      </c>
      <c r="V153" s="11">
        <v>177.68</v>
      </c>
      <c r="W153" s="9" t="str">
        <f t="shared" si="14"/>
        <v>Slow Delivery</v>
      </c>
    </row>
    <row r="154" spans="1:23" x14ac:dyDescent="0.25">
      <c r="A154" s="9">
        <v>5121</v>
      </c>
      <c r="B154" s="10" t="s">
        <v>639</v>
      </c>
      <c r="C154" s="10">
        <v>42098</v>
      </c>
      <c r="D154" s="10">
        <v>42102</v>
      </c>
      <c r="E154" s="9">
        <f t="shared" si="11"/>
        <v>2015</v>
      </c>
      <c r="F154" s="10" t="str">
        <f t="shared" si="12"/>
        <v>Apr</v>
      </c>
      <c r="G154" s="9">
        <f t="shared" si="13"/>
        <v>4</v>
      </c>
      <c r="H154" s="9">
        <f t="shared" si="10"/>
        <v>4</v>
      </c>
      <c r="I154" s="9" t="s">
        <v>43</v>
      </c>
      <c r="J154" s="9" t="s">
        <v>640</v>
      </c>
      <c r="K154" s="9" t="s">
        <v>641</v>
      </c>
      <c r="L154" s="9" t="s">
        <v>87</v>
      </c>
      <c r="M154" s="9" t="s">
        <v>23</v>
      </c>
      <c r="N154" s="9" t="s">
        <v>642</v>
      </c>
      <c r="O154" s="9" t="s">
        <v>643</v>
      </c>
      <c r="P154" s="9">
        <v>70506</v>
      </c>
      <c r="Q154" s="9" t="s">
        <v>110</v>
      </c>
      <c r="R154" s="9" t="s">
        <v>644</v>
      </c>
      <c r="S154" s="9" t="s">
        <v>66</v>
      </c>
      <c r="T154" s="9" t="s">
        <v>74</v>
      </c>
      <c r="U154" s="9" t="s">
        <v>645</v>
      </c>
      <c r="V154" s="11">
        <v>232.55</v>
      </c>
      <c r="W154" s="9" t="str">
        <f t="shared" si="14"/>
        <v>Slow Delivery</v>
      </c>
    </row>
    <row r="155" spans="1:23" x14ac:dyDescent="0.25">
      <c r="A155" s="9">
        <v>1405</v>
      </c>
      <c r="B155" s="10" t="s">
        <v>946</v>
      </c>
      <c r="C155" s="10">
        <v>42100</v>
      </c>
      <c r="D155" s="10">
        <v>42102</v>
      </c>
      <c r="E155" s="9">
        <f t="shared" si="11"/>
        <v>2015</v>
      </c>
      <c r="F155" s="10" t="str">
        <f t="shared" si="12"/>
        <v>Apr</v>
      </c>
      <c r="G155" s="9">
        <f t="shared" si="13"/>
        <v>4</v>
      </c>
      <c r="H155" s="9">
        <f t="shared" si="10"/>
        <v>2</v>
      </c>
      <c r="I155" s="9" t="s">
        <v>19</v>
      </c>
      <c r="J155" s="9" t="s">
        <v>947</v>
      </c>
      <c r="K155" s="9" t="s">
        <v>948</v>
      </c>
      <c r="L155" s="9" t="s">
        <v>46</v>
      </c>
      <c r="M155" s="9" t="s">
        <v>23</v>
      </c>
      <c r="N155" s="9" t="s">
        <v>149</v>
      </c>
      <c r="O155" s="9" t="s">
        <v>150</v>
      </c>
      <c r="P155" s="9">
        <v>19143</v>
      </c>
      <c r="Q155" s="9" t="s">
        <v>49</v>
      </c>
      <c r="R155" s="9" t="s">
        <v>949</v>
      </c>
      <c r="S155" s="9" t="s">
        <v>66</v>
      </c>
      <c r="T155" s="9" t="s">
        <v>564</v>
      </c>
      <c r="U155" s="9" t="s">
        <v>950</v>
      </c>
      <c r="V155" s="11">
        <v>10.304</v>
      </c>
      <c r="W155" s="9" t="str">
        <f t="shared" si="14"/>
        <v>Fast Delivery</v>
      </c>
    </row>
    <row r="156" spans="1:23" x14ac:dyDescent="0.25">
      <c r="A156" s="9">
        <v>1166</v>
      </c>
      <c r="B156" s="10" t="s">
        <v>646</v>
      </c>
      <c r="C156" s="10">
        <v>42128</v>
      </c>
      <c r="D156" s="10">
        <v>42132</v>
      </c>
      <c r="E156" s="9">
        <f t="shared" si="11"/>
        <v>2015</v>
      </c>
      <c r="F156" s="10" t="str">
        <f t="shared" si="12"/>
        <v>May</v>
      </c>
      <c r="G156" s="9">
        <f t="shared" si="13"/>
        <v>5</v>
      </c>
      <c r="H156" s="9">
        <f t="shared" si="10"/>
        <v>4</v>
      </c>
      <c r="I156" s="9" t="s">
        <v>43</v>
      </c>
      <c r="J156" s="9" t="s">
        <v>647</v>
      </c>
      <c r="K156" s="9" t="s">
        <v>648</v>
      </c>
      <c r="L156" s="9" t="s">
        <v>22</v>
      </c>
      <c r="M156" s="9" t="s">
        <v>23</v>
      </c>
      <c r="N156" s="9" t="s">
        <v>649</v>
      </c>
      <c r="O156" s="9" t="s">
        <v>118</v>
      </c>
      <c r="P156" s="9">
        <v>49201</v>
      </c>
      <c r="Q156" s="9" t="s">
        <v>26</v>
      </c>
      <c r="R156" s="9" t="s">
        <v>650</v>
      </c>
      <c r="S156" s="9" t="s">
        <v>66</v>
      </c>
      <c r="T156" s="9" t="s">
        <v>103</v>
      </c>
      <c r="U156" s="9" t="s">
        <v>651</v>
      </c>
      <c r="V156" s="11">
        <v>46.8</v>
      </c>
      <c r="W156" s="9" t="str">
        <f t="shared" si="14"/>
        <v>Slow Delivery</v>
      </c>
    </row>
    <row r="157" spans="1:23" x14ac:dyDescent="0.25">
      <c r="A157" s="9">
        <v>4560</v>
      </c>
      <c r="B157" s="10" t="s">
        <v>781</v>
      </c>
      <c r="C157" s="10">
        <v>42129</v>
      </c>
      <c r="D157" s="10">
        <v>42132</v>
      </c>
      <c r="E157" s="9">
        <f t="shared" si="11"/>
        <v>2015</v>
      </c>
      <c r="F157" s="10" t="str">
        <f t="shared" si="12"/>
        <v>May</v>
      </c>
      <c r="G157" s="9">
        <f t="shared" si="13"/>
        <v>5</v>
      </c>
      <c r="H157" s="9">
        <f t="shared" si="10"/>
        <v>3</v>
      </c>
      <c r="I157" s="9" t="s">
        <v>19</v>
      </c>
      <c r="J157" s="9" t="s">
        <v>782</v>
      </c>
      <c r="K157" s="9" t="s">
        <v>783</v>
      </c>
      <c r="L157" s="9" t="s">
        <v>22</v>
      </c>
      <c r="M157" s="9" t="s">
        <v>23</v>
      </c>
      <c r="N157" s="9" t="s">
        <v>784</v>
      </c>
      <c r="O157" s="9" t="s">
        <v>64</v>
      </c>
      <c r="P157" s="9">
        <v>78207</v>
      </c>
      <c r="Q157" s="9" t="s">
        <v>26</v>
      </c>
      <c r="R157" s="9" t="s">
        <v>785</v>
      </c>
      <c r="S157" s="9" t="s">
        <v>39</v>
      </c>
      <c r="T157" s="9" t="s">
        <v>40</v>
      </c>
      <c r="U157" s="9" t="s">
        <v>786</v>
      </c>
      <c r="V157" s="11">
        <v>127.869</v>
      </c>
      <c r="W157" s="9" t="str">
        <f t="shared" si="14"/>
        <v>Fast Delivery</v>
      </c>
    </row>
    <row r="158" spans="1:23" x14ac:dyDescent="0.25">
      <c r="A158" s="9">
        <v>686</v>
      </c>
      <c r="B158" s="10" t="s">
        <v>793</v>
      </c>
      <c r="C158" s="10">
        <v>42190</v>
      </c>
      <c r="D158" s="10">
        <v>42193</v>
      </c>
      <c r="E158" s="9">
        <f t="shared" si="11"/>
        <v>2015</v>
      </c>
      <c r="F158" s="10" t="str">
        <f t="shared" si="12"/>
        <v>Jul</v>
      </c>
      <c r="G158" s="9">
        <f t="shared" si="13"/>
        <v>7</v>
      </c>
      <c r="H158" s="9">
        <f t="shared" si="10"/>
        <v>3</v>
      </c>
      <c r="I158" s="9" t="s">
        <v>19</v>
      </c>
      <c r="J158" s="9" t="s">
        <v>794</v>
      </c>
      <c r="K158" s="9" t="s">
        <v>795</v>
      </c>
      <c r="L158" s="9" t="s">
        <v>22</v>
      </c>
      <c r="M158" s="9" t="s">
        <v>23</v>
      </c>
      <c r="N158" s="9" t="s">
        <v>649</v>
      </c>
      <c r="O158" s="9" t="s">
        <v>796</v>
      </c>
      <c r="P158" s="9">
        <v>39212</v>
      </c>
      <c r="Q158" s="9" t="s">
        <v>110</v>
      </c>
      <c r="R158" s="9" t="s">
        <v>797</v>
      </c>
      <c r="S158" s="9" t="s">
        <v>28</v>
      </c>
      <c r="T158" s="9" t="s">
        <v>29</v>
      </c>
      <c r="U158" s="9" t="s">
        <v>798</v>
      </c>
      <c r="V158" s="11">
        <v>479.97</v>
      </c>
      <c r="W158" s="9" t="str">
        <f t="shared" si="14"/>
        <v>Fast Delivery</v>
      </c>
    </row>
    <row r="159" spans="1:23" x14ac:dyDescent="0.25">
      <c r="A159" s="9">
        <v>5437</v>
      </c>
      <c r="B159" s="10" t="s">
        <v>815</v>
      </c>
      <c r="C159" s="10">
        <v>42190</v>
      </c>
      <c r="D159" s="10">
        <v>42193</v>
      </c>
      <c r="E159" s="9">
        <f t="shared" si="11"/>
        <v>2015</v>
      </c>
      <c r="F159" s="10" t="str">
        <f t="shared" si="12"/>
        <v>Jul</v>
      </c>
      <c r="G159" s="9">
        <f t="shared" si="13"/>
        <v>7</v>
      </c>
      <c r="H159" s="9">
        <f t="shared" si="10"/>
        <v>3</v>
      </c>
      <c r="I159" s="9" t="s">
        <v>19</v>
      </c>
      <c r="J159" s="9" t="s">
        <v>816</v>
      </c>
      <c r="K159" s="9" t="s">
        <v>817</v>
      </c>
      <c r="L159" s="9" t="s">
        <v>87</v>
      </c>
      <c r="M159" s="9" t="s">
        <v>23</v>
      </c>
      <c r="N159" s="9" t="s">
        <v>818</v>
      </c>
      <c r="O159" s="9" t="s">
        <v>130</v>
      </c>
      <c r="P159" s="9">
        <v>32137</v>
      </c>
      <c r="Q159" s="9" t="s">
        <v>110</v>
      </c>
      <c r="R159" s="9" t="s">
        <v>819</v>
      </c>
      <c r="S159" s="9" t="s">
        <v>39</v>
      </c>
      <c r="T159" s="9" t="s">
        <v>112</v>
      </c>
      <c r="U159" s="9" t="s">
        <v>820</v>
      </c>
      <c r="V159" s="11">
        <v>19.52</v>
      </c>
      <c r="W159" s="9" t="str">
        <f t="shared" si="14"/>
        <v>Fast Delivery</v>
      </c>
    </row>
    <row r="160" spans="1:23" x14ac:dyDescent="0.25">
      <c r="A160" s="9">
        <v>1550</v>
      </c>
      <c r="B160" s="10" t="s">
        <v>989</v>
      </c>
      <c r="C160" s="10">
        <v>42191</v>
      </c>
      <c r="D160" s="10">
        <v>42193</v>
      </c>
      <c r="E160" s="9">
        <f t="shared" si="11"/>
        <v>2015</v>
      </c>
      <c r="F160" s="10" t="str">
        <f t="shared" si="12"/>
        <v>Jul</v>
      </c>
      <c r="G160" s="9">
        <f t="shared" si="13"/>
        <v>7</v>
      </c>
      <c r="H160" s="9">
        <f t="shared" si="10"/>
        <v>2</v>
      </c>
      <c r="I160" s="9" t="s">
        <v>19</v>
      </c>
      <c r="J160" s="9" t="s">
        <v>990</v>
      </c>
      <c r="K160" s="9" t="s">
        <v>991</v>
      </c>
      <c r="L160" s="9" t="s">
        <v>22</v>
      </c>
      <c r="M160" s="9" t="s">
        <v>23</v>
      </c>
      <c r="N160" s="9" t="s">
        <v>47</v>
      </c>
      <c r="O160" s="9" t="s">
        <v>48</v>
      </c>
      <c r="P160" s="9">
        <v>10011</v>
      </c>
      <c r="Q160" s="9" t="s">
        <v>49</v>
      </c>
      <c r="R160" s="9" t="s">
        <v>992</v>
      </c>
      <c r="S160" s="9" t="s">
        <v>28</v>
      </c>
      <c r="T160" s="9" t="s">
        <v>252</v>
      </c>
      <c r="U160" s="9" t="s">
        <v>993</v>
      </c>
      <c r="V160" s="11">
        <v>559.99199999999996</v>
      </c>
      <c r="W160" s="9" t="str">
        <f t="shared" si="14"/>
        <v>Fast Delivery</v>
      </c>
    </row>
    <row r="161" spans="1:23" x14ac:dyDescent="0.25">
      <c r="A161" s="9">
        <v>6173</v>
      </c>
      <c r="B161" s="10" t="s">
        <v>332</v>
      </c>
      <c r="C161" s="10">
        <v>42218</v>
      </c>
      <c r="D161" s="10">
        <v>42224</v>
      </c>
      <c r="E161" s="9">
        <f t="shared" si="11"/>
        <v>2015</v>
      </c>
      <c r="F161" s="10" t="str">
        <f t="shared" si="12"/>
        <v>Aug</v>
      </c>
      <c r="G161" s="9">
        <f t="shared" si="13"/>
        <v>8</v>
      </c>
      <c r="H161" s="9">
        <f t="shared" si="10"/>
        <v>6</v>
      </c>
      <c r="I161" s="9" t="s">
        <v>43</v>
      </c>
      <c r="J161" s="9" t="s">
        <v>333</v>
      </c>
      <c r="K161" s="9" t="s">
        <v>334</v>
      </c>
      <c r="L161" s="9" t="s">
        <v>46</v>
      </c>
      <c r="M161" s="9" t="s">
        <v>23</v>
      </c>
      <c r="N161" s="9" t="s">
        <v>335</v>
      </c>
      <c r="O161" s="9" t="s">
        <v>336</v>
      </c>
      <c r="P161" s="9">
        <v>65807</v>
      </c>
      <c r="Q161" s="9" t="s">
        <v>26</v>
      </c>
      <c r="R161" s="9" t="s">
        <v>337</v>
      </c>
      <c r="S161" s="9" t="s">
        <v>66</v>
      </c>
      <c r="T161" s="9" t="s">
        <v>103</v>
      </c>
      <c r="U161" s="9" t="s">
        <v>338</v>
      </c>
      <c r="V161" s="11">
        <v>26.7</v>
      </c>
      <c r="W161" s="9" t="str">
        <f t="shared" si="14"/>
        <v>Slow Delivery</v>
      </c>
    </row>
    <row r="162" spans="1:23" x14ac:dyDescent="0.25">
      <c r="A162" s="9">
        <v>856</v>
      </c>
      <c r="B162" s="10" t="s">
        <v>510</v>
      </c>
      <c r="C162" s="10">
        <v>42219</v>
      </c>
      <c r="D162" s="10">
        <v>42224</v>
      </c>
      <c r="E162" s="9">
        <f t="shared" si="11"/>
        <v>2015</v>
      </c>
      <c r="F162" s="10" t="str">
        <f t="shared" si="12"/>
        <v>Aug</v>
      </c>
      <c r="G162" s="9">
        <f t="shared" si="13"/>
        <v>8</v>
      </c>
      <c r="H162" s="9">
        <f t="shared" si="10"/>
        <v>5</v>
      </c>
      <c r="I162" s="9" t="s">
        <v>43</v>
      </c>
      <c r="J162" s="9" t="s">
        <v>511</v>
      </c>
      <c r="K162" s="9" t="s">
        <v>512</v>
      </c>
      <c r="L162" s="9" t="s">
        <v>22</v>
      </c>
      <c r="M162" s="9" t="s">
        <v>23</v>
      </c>
      <c r="N162" s="9" t="s">
        <v>47</v>
      </c>
      <c r="O162" s="9" t="s">
        <v>48</v>
      </c>
      <c r="P162" s="9">
        <v>10035</v>
      </c>
      <c r="Q162" s="9" t="s">
        <v>49</v>
      </c>
      <c r="R162" s="9" t="s">
        <v>513</v>
      </c>
      <c r="S162" s="9" t="s">
        <v>66</v>
      </c>
      <c r="T162" s="9" t="s">
        <v>201</v>
      </c>
      <c r="U162" s="9" t="s">
        <v>514</v>
      </c>
      <c r="V162" s="11">
        <v>39.96</v>
      </c>
      <c r="W162" s="9" t="str">
        <f t="shared" si="14"/>
        <v>Slow Delivery</v>
      </c>
    </row>
    <row r="163" spans="1:23" x14ac:dyDescent="0.25">
      <c r="A163" s="9">
        <v>9157</v>
      </c>
      <c r="B163" s="10" t="s">
        <v>691</v>
      </c>
      <c r="C163" s="10">
        <v>42220</v>
      </c>
      <c r="D163" s="10">
        <v>42224</v>
      </c>
      <c r="E163" s="9">
        <f t="shared" si="11"/>
        <v>2015</v>
      </c>
      <c r="F163" s="10" t="str">
        <f t="shared" si="12"/>
        <v>Aug</v>
      </c>
      <c r="G163" s="9">
        <f t="shared" si="13"/>
        <v>8</v>
      </c>
      <c r="H163" s="9">
        <f t="shared" si="10"/>
        <v>4</v>
      </c>
      <c r="I163" s="9" t="s">
        <v>43</v>
      </c>
      <c r="J163" s="9" t="s">
        <v>692</v>
      </c>
      <c r="K163" s="9" t="s">
        <v>693</v>
      </c>
      <c r="L163" s="9" t="s">
        <v>87</v>
      </c>
      <c r="M163" s="9" t="s">
        <v>23</v>
      </c>
      <c r="N163" s="9" t="s">
        <v>694</v>
      </c>
      <c r="O163" s="9" t="s">
        <v>695</v>
      </c>
      <c r="P163" s="9">
        <v>4401</v>
      </c>
      <c r="Q163" s="9" t="s">
        <v>49</v>
      </c>
      <c r="R163" s="9" t="s">
        <v>696</v>
      </c>
      <c r="S163" s="9" t="s">
        <v>66</v>
      </c>
      <c r="T163" s="9" t="s">
        <v>221</v>
      </c>
      <c r="U163" s="9" t="s">
        <v>697</v>
      </c>
      <c r="V163" s="11">
        <v>101.96</v>
      </c>
      <c r="W163" s="9" t="str">
        <f t="shared" si="14"/>
        <v>Slow Delivery</v>
      </c>
    </row>
    <row r="164" spans="1:23" x14ac:dyDescent="0.25">
      <c r="A164" s="9">
        <v>9140</v>
      </c>
      <c r="B164" s="10" t="s">
        <v>372</v>
      </c>
      <c r="C164" s="10">
        <v>42249</v>
      </c>
      <c r="D164" s="10">
        <v>42255</v>
      </c>
      <c r="E164" s="9">
        <f t="shared" si="11"/>
        <v>2015</v>
      </c>
      <c r="F164" s="10" t="str">
        <f t="shared" si="12"/>
        <v>Sep</v>
      </c>
      <c r="G164" s="9">
        <f t="shared" si="13"/>
        <v>9</v>
      </c>
      <c r="H164" s="9">
        <f t="shared" si="10"/>
        <v>6</v>
      </c>
      <c r="I164" s="9" t="s">
        <v>43</v>
      </c>
      <c r="J164" s="9" t="s">
        <v>373</v>
      </c>
      <c r="K164" s="9" t="s">
        <v>374</v>
      </c>
      <c r="L164" s="9" t="s">
        <v>22</v>
      </c>
      <c r="M164" s="9" t="s">
        <v>23</v>
      </c>
      <c r="N164" s="9" t="s">
        <v>375</v>
      </c>
      <c r="O164" s="9" t="s">
        <v>57</v>
      </c>
      <c r="P164" s="9">
        <v>60089</v>
      </c>
      <c r="Q164" s="9" t="s">
        <v>26</v>
      </c>
      <c r="R164" s="9" t="s">
        <v>376</v>
      </c>
      <c r="S164" s="9" t="s">
        <v>28</v>
      </c>
      <c r="T164" s="9" t="s">
        <v>29</v>
      </c>
      <c r="U164" s="9" t="s">
        <v>377</v>
      </c>
      <c r="V164" s="11">
        <v>475.94400000000002</v>
      </c>
      <c r="W164" s="9" t="str">
        <f t="shared" si="14"/>
        <v>Slow Delivery</v>
      </c>
    </row>
    <row r="165" spans="1:23" x14ac:dyDescent="0.25">
      <c r="A165" s="9">
        <v>1351</v>
      </c>
      <c r="B165" s="10" t="s">
        <v>531</v>
      </c>
      <c r="C165" s="10">
        <v>42280</v>
      </c>
      <c r="D165" s="10">
        <v>42285</v>
      </c>
      <c r="E165" s="9">
        <f t="shared" si="11"/>
        <v>2015</v>
      </c>
      <c r="F165" s="10" t="str">
        <f t="shared" si="12"/>
        <v>Oct</v>
      </c>
      <c r="G165" s="9">
        <f t="shared" si="13"/>
        <v>10</v>
      </c>
      <c r="H165" s="9">
        <f t="shared" si="10"/>
        <v>5</v>
      </c>
      <c r="I165" s="9" t="s">
        <v>32</v>
      </c>
      <c r="J165" s="9" t="s">
        <v>532</v>
      </c>
      <c r="K165" s="9" t="s">
        <v>533</v>
      </c>
      <c r="L165" s="9" t="s">
        <v>22</v>
      </c>
      <c r="M165" s="9" t="s">
        <v>23</v>
      </c>
      <c r="N165" s="9" t="s">
        <v>534</v>
      </c>
      <c r="O165" s="9" t="s">
        <v>57</v>
      </c>
      <c r="P165" s="9">
        <v>60201</v>
      </c>
      <c r="Q165" s="9" t="s">
        <v>26</v>
      </c>
      <c r="R165" s="9" t="s">
        <v>535</v>
      </c>
      <c r="S165" s="9" t="s">
        <v>39</v>
      </c>
      <c r="T165" s="9" t="s">
        <v>40</v>
      </c>
      <c r="U165" s="9" t="s">
        <v>536</v>
      </c>
      <c r="V165" s="11">
        <v>258.279</v>
      </c>
      <c r="W165" s="9" t="str">
        <f t="shared" si="14"/>
        <v>Slow Delivery</v>
      </c>
    </row>
    <row r="166" spans="1:23" x14ac:dyDescent="0.25">
      <c r="A166" s="9">
        <v>2275</v>
      </c>
      <c r="B166" s="10" t="s">
        <v>537</v>
      </c>
      <c r="C166" s="10">
        <v>42280</v>
      </c>
      <c r="D166" s="10">
        <v>42285</v>
      </c>
      <c r="E166" s="9">
        <f t="shared" si="11"/>
        <v>2015</v>
      </c>
      <c r="F166" s="10" t="str">
        <f t="shared" si="12"/>
        <v>Oct</v>
      </c>
      <c r="G166" s="9">
        <f t="shared" si="13"/>
        <v>10</v>
      </c>
      <c r="H166" s="9">
        <f t="shared" si="10"/>
        <v>5</v>
      </c>
      <c r="I166" s="9" t="s">
        <v>32</v>
      </c>
      <c r="J166" s="9" t="s">
        <v>538</v>
      </c>
      <c r="K166" s="9" t="s">
        <v>539</v>
      </c>
      <c r="L166" s="9" t="s">
        <v>87</v>
      </c>
      <c r="M166" s="9" t="s">
        <v>23</v>
      </c>
      <c r="N166" s="9" t="s">
        <v>213</v>
      </c>
      <c r="O166" s="9" t="s">
        <v>80</v>
      </c>
      <c r="P166" s="9">
        <v>90036</v>
      </c>
      <c r="Q166" s="9" t="s">
        <v>37</v>
      </c>
      <c r="R166" s="9" t="s">
        <v>540</v>
      </c>
      <c r="S166" s="9" t="s">
        <v>39</v>
      </c>
      <c r="T166" s="9" t="s">
        <v>480</v>
      </c>
      <c r="U166" s="9" t="s">
        <v>541</v>
      </c>
      <c r="V166" s="11">
        <v>143.43199999999999</v>
      </c>
      <c r="W166" s="9" t="str">
        <f t="shared" si="14"/>
        <v>Slow Delivery</v>
      </c>
    </row>
    <row r="167" spans="1:23" x14ac:dyDescent="0.25">
      <c r="A167" s="9">
        <v>2724</v>
      </c>
      <c r="B167" s="10" t="s">
        <v>698</v>
      </c>
      <c r="C167" s="10">
        <v>42281</v>
      </c>
      <c r="D167" s="10">
        <v>42285</v>
      </c>
      <c r="E167" s="9">
        <f t="shared" si="11"/>
        <v>2015</v>
      </c>
      <c r="F167" s="10" t="str">
        <f t="shared" si="12"/>
        <v>Oct</v>
      </c>
      <c r="G167" s="9">
        <f t="shared" si="13"/>
        <v>10</v>
      </c>
      <c r="H167" s="9">
        <f t="shared" si="10"/>
        <v>4</v>
      </c>
      <c r="I167" s="9" t="s">
        <v>43</v>
      </c>
      <c r="J167" s="9" t="s">
        <v>699</v>
      </c>
      <c r="K167" s="9" t="s">
        <v>700</v>
      </c>
      <c r="L167" s="9" t="s">
        <v>22</v>
      </c>
      <c r="M167" s="9" t="s">
        <v>23</v>
      </c>
      <c r="N167" s="9" t="s">
        <v>79</v>
      </c>
      <c r="O167" s="9" t="s">
        <v>80</v>
      </c>
      <c r="P167" s="9">
        <v>94591</v>
      </c>
      <c r="Q167" s="9" t="s">
        <v>37</v>
      </c>
      <c r="R167" s="9" t="s">
        <v>701</v>
      </c>
      <c r="S167" s="9" t="s">
        <v>66</v>
      </c>
      <c r="T167" s="9" t="s">
        <v>82</v>
      </c>
      <c r="U167" s="9" t="s">
        <v>702</v>
      </c>
      <c r="V167" s="11">
        <v>14.45</v>
      </c>
      <c r="W167" s="9" t="str">
        <f t="shared" si="14"/>
        <v>Slow Delivery</v>
      </c>
    </row>
    <row r="168" spans="1:23" x14ac:dyDescent="0.25">
      <c r="A168" s="9">
        <v>5418</v>
      </c>
      <c r="B168" s="10" t="s">
        <v>1020</v>
      </c>
      <c r="C168" s="10">
        <v>42283</v>
      </c>
      <c r="D168" s="10">
        <v>42285</v>
      </c>
      <c r="E168" s="9">
        <f t="shared" si="11"/>
        <v>2015</v>
      </c>
      <c r="F168" s="10" t="str">
        <f t="shared" si="12"/>
        <v>Oct</v>
      </c>
      <c r="G168" s="9">
        <f t="shared" si="13"/>
        <v>10</v>
      </c>
      <c r="H168" s="9">
        <f t="shared" si="10"/>
        <v>2</v>
      </c>
      <c r="I168" s="9" t="s">
        <v>32</v>
      </c>
      <c r="J168" s="9" t="s">
        <v>1021</v>
      </c>
      <c r="K168" s="9" t="s">
        <v>1022</v>
      </c>
      <c r="L168" s="9" t="s">
        <v>87</v>
      </c>
      <c r="M168" s="9" t="s">
        <v>23</v>
      </c>
      <c r="N168" s="9" t="s">
        <v>586</v>
      </c>
      <c r="O168" s="9" t="s">
        <v>587</v>
      </c>
      <c r="P168" s="9">
        <v>68104</v>
      </c>
      <c r="Q168" s="9" t="s">
        <v>26</v>
      </c>
      <c r="R168" s="9" t="s">
        <v>529</v>
      </c>
      <c r="S168" s="9" t="s">
        <v>66</v>
      </c>
      <c r="T168" s="9" t="s">
        <v>103</v>
      </c>
      <c r="U168" s="9" t="s">
        <v>530</v>
      </c>
      <c r="V168" s="11">
        <v>15.36</v>
      </c>
      <c r="W168" s="9" t="str">
        <f t="shared" si="14"/>
        <v>Fast Delivery</v>
      </c>
    </row>
    <row r="169" spans="1:23" x14ac:dyDescent="0.25">
      <c r="A169" s="9">
        <v>7677</v>
      </c>
      <c r="B169" s="10" t="s">
        <v>1266</v>
      </c>
      <c r="C169" s="10">
        <v>42285</v>
      </c>
      <c r="D169" s="10">
        <v>42285</v>
      </c>
      <c r="E169" s="9">
        <f t="shared" si="11"/>
        <v>2015</v>
      </c>
      <c r="F169" s="10" t="str">
        <f t="shared" si="12"/>
        <v>Oct</v>
      </c>
      <c r="G169" s="9">
        <f t="shared" si="13"/>
        <v>10</v>
      </c>
      <c r="H169" s="9">
        <f t="shared" si="10"/>
        <v>0</v>
      </c>
      <c r="I169" s="9" t="s">
        <v>302</v>
      </c>
      <c r="J169" s="9" t="s">
        <v>1267</v>
      </c>
      <c r="K169" s="9" t="s">
        <v>1268</v>
      </c>
      <c r="L169" s="9" t="s">
        <v>22</v>
      </c>
      <c r="M169" s="9" t="s">
        <v>23</v>
      </c>
      <c r="N169" s="9" t="s">
        <v>136</v>
      </c>
      <c r="O169" s="9" t="s">
        <v>137</v>
      </c>
      <c r="P169" s="9">
        <v>28205</v>
      </c>
      <c r="Q169" s="9" t="s">
        <v>110</v>
      </c>
      <c r="R169" s="9" t="s">
        <v>1269</v>
      </c>
      <c r="S169" s="9" t="s">
        <v>28</v>
      </c>
      <c r="T169" s="9" t="s">
        <v>29</v>
      </c>
      <c r="U169" s="9" t="s">
        <v>1270</v>
      </c>
      <c r="V169" s="11">
        <v>23.472000000000001</v>
      </c>
      <c r="W169" s="9" t="str">
        <f t="shared" si="14"/>
        <v>Fast Delivery</v>
      </c>
    </row>
    <row r="170" spans="1:23" x14ac:dyDescent="0.25">
      <c r="A170" s="9">
        <v>4159</v>
      </c>
      <c r="B170" s="10" t="s">
        <v>196</v>
      </c>
      <c r="C170" s="10">
        <v>42309</v>
      </c>
      <c r="D170" s="10">
        <v>42316</v>
      </c>
      <c r="E170" s="9">
        <f t="shared" si="11"/>
        <v>2015</v>
      </c>
      <c r="F170" s="10" t="str">
        <f t="shared" si="12"/>
        <v>Nov</v>
      </c>
      <c r="G170" s="9">
        <f t="shared" si="13"/>
        <v>11</v>
      </c>
      <c r="H170" s="9">
        <f t="shared" si="10"/>
        <v>7</v>
      </c>
      <c r="I170" s="9" t="s">
        <v>43</v>
      </c>
      <c r="J170" s="9" t="s">
        <v>197</v>
      </c>
      <c r="K170" s="9" t="s">
        <v>198</v>
      </c>
      <c r="L170" s="9" t="s">
        <v>87</v>
      </c>
      <c r="M170" s="9" t="s">
        <v>23</v>
      </c>
      <c r="N170" s="9" t="s">
        <v>199</v>
      </c>
      <c r="O170" s="9" t="s">
        <v>57</v>
      </c>
      <c r="P170" s="9">
        <v>60610</v>
      </c>
      <c r="Q170" s="9" t="s">
        <v>26</v>
      </c>
      <c r="R170" s="9" t="s">
        <v>200</v>
      </c>
      <c r="S170" s="9" t="s">
        <v>66</v>
      </c>
      <c r="T170" s="9" t="s">
        <v>201</v>
      </c>
      <c r="U170" s="9" t="s">
        <v>202</v>
      </c>
      <c r="V170" s="11">
        <v>15.696</v>
      </c>
      <c r="W170" s="9" t="str">
        <f t="shared" si="14"/>
        <v>Slow Delivery</v>
      </c>
    </row>
    <row r="171" spans="1:23" x14ac:dyDescent="0.25">
      <c r="A171" s="9">
        <v>4828</v>
      </c>
      <c r="B171" s="10" t="s">
        <v>203</v>
      </c>
      <c r="C171" s="10">
        <v>42309</v>
      </c>
      <c r="D171" s="10">
        <v>42316</v>
      </c>
      <c r="E171" s="9">
        <f t="shared" si="11"/>
        <v>2015</v>
      </c>
      <c r="F171" s="10" t="str">
        <f t="shared" si="12"/>
        <v>Nov</v>
      </c>
      <c r="G171" s="9">
        <f t="shared" si="13"/>
        <v>11</v>
      </c>
      <c r="H171" s="9">
        <f t="shared" si="10"/>
        <v>7</v>
      </c>
      <c r="I171" s="9" t="s">
        <v>43</v>
      </c>
      <c r="J171" s="9" t="s">
        <v>204</v>
      </c>
      <c r="K171" s="9" t="s">
        <v>205</v>
      </c>
      <c r="L171" s="9" t="s">
        <v>87</v>
      </c>
      <c r="M171" s="9" t="s">
        <v>23</v>
      </c>
      <c r="N171" s="9" t="s">
        <v>206</v>
      </c>
      <c r="O171" s="9" t="s">
        <v>207</v>
      </c>
      <c r="P171" s="9">
        <v>40475</v>
      </c>
      <c r="Q171" s="9" t="s">
        <v>110</v>
      </c>
      <c r="R171" s="9" t="s">
        <v>208</v>
      </c>
      <c r="S171" s="9" t="s">
        <v>66</v>
      </c>
      <c r="T171" s="9" t="s">
        <v>74</v>
      </c>
      <c r="U171" s="9" t="s">
        <v>209</v>
      </c>
      <c r="V171" s="11">
        <v>69.52</v>
      </c>
      <c r="W171" s="9" t="str">
        <f t="shared" si="14"/>
        <v>Slow Delivery</v>
      </c>
    </row>
    <row r="172" spans="1:23" x14ac:dyDescent="0.25">
      <c r="A172" s="9">
        <v>5896</v>
      </c>
      <c r="B172" s="10" t="s">
        <v>210</v>
      </c>
      <c r="C172" s="10">
        <v>42309</v>
      </c>
      <c r="D172" s="10">
        <v>42316</v>
      </c>
      <c r="E172" s="9">
        <f t="shared" si="11"/>
        <v>2015</v>
      </c>
      <c r="F172" s="10" t="str">
        <f t="shared" si="12"/>
        <v>Nov</v>
      </c>
      <c r="G172" s="9">
        <f t="shared" si="13"/>
        <v>11</v>
      </c>
      <c r="H172" s="9">
        <f t="shared" si="10"/>
        <v>7</v>
      </c>
      <c r="I172" s="9" t="s">
        <v>43</v>
      </c>
      <c r="J172" s="9" t="s">
        <v>211</v>
      </c>
      <c r="K172" s="9" t="s">
        <v>212</v>
      </c>
      <c r="L172" s="9" t="s">
        <v>46</v>
      </c>
      <c r="M172" s="9" t="s">
        <v>23</v>
      </c>
      <c r="N172" s="9" t="s">
        <v>213</v>
      </c>
      <c r="O172" s="9" t="s">
        <v>80</v>
      </c>
      <c r="P172" s="9">
        <v>90049</v>
      </c>
      <c r="Q172" s="9" t="s">
        <v>37</v>
      </c>
      <c r="R172" s="9" t="s">
        <v>214</v>
      </c>
      <c r="S172" s="9" t="s">
        <v>66</v>
      </c>
      <c r="T172" s="9" t="s">
        <v>82</v>
      </c>
      <c r="U172" s="9" t="s">
        <v>215</v>
      </c>
      <c r="V172" s="11">
        <v>44.4</v>
      </c>
      <c r="W172" s="9" t="str">
        <f t="shared" si="14"/>
        <v>Slow Delivery</v>
      </c>
    </row>
    <row r="173" spans="1:23" x14ac:dyDescent="0.25">
      <c r="A173" s="9">
        <v>3991</v>
      </c>
      <c r="B173" s="10" t="s">
        <v>559</v>
      </c>
      <c r="C173" s="10">
        <v>42311</v>
      </c>
      <c r="D173" s="10">
        <v>42316</v>
      </c>
      <c r="E173" s="9">
        <f t="shared" si="11"/>
        <v>2015</v>
      </c>
      <c r="F173" s="10" t="str">
        <f t="shared" si="12"/>
        <v>Nov</v>
      </c>
      <c r="G173" s="9">
        <f t="shared" si="13"/>
        <v>11</v>
      </c>
      <c r="H173" s="9">
        <f t="shared" si="10"/>
        <v>5</v>
      </c>
      <c r="I173" s="9" t="s">
        <v>43</v>
      </c>
      <c r="J173" s="9" t="s">
        <v>560</v>
      </c>
      <c r="K173" s="9" t="s">
        <v>561</v>
      </c>
      <c r="L173" s="9" t="s">
        <v>22</v>
      </c>
      <c r="M173" s="9" t="s">
        <v>23</v>
      </c>
      <c r="N173" s="9" t="s">
        <v>562</v>
      </c>
      <c r="O173" s="9" t="s">
        <v>150</v>
      </c>
      <c r="P173" s="9">
        <v>17602</v>
      </c>
      <c r="Q173" s="9" t="s">
        <v>49</v>
      </c>
      <c r="R173" s="9" t="s">
        <v>563</v>
      </c>
      <c r="S173" s="9" t="s">
        <v>66</v>
      </c>
      <c r="T173" s="9" t="s">
        <v>564</v>
      </c>
      <c r="U173" s="9" t="s">
        <v>565</v>
      </c>
      <c r="V173" s="11">
        <v>286.34399999999999</v>
      </c>
      <c r="W173" s="9" t="str">
        <f t="shared" si="14"/>
        <v>Slow Delivery</v>
      </c>
    </row>
    <row r="174" spans="1:23" x14ac:dyDescent="0.25">
      <c r="A174" s="9">
        <v>6266</v>
      </c>
      <c r="B174" s="10" t="s">
        <v>571</v>
      </c>
      <c r="C174" s="10">
        <v>42311</v>
      </c>
      <c r="D174" s="10">
        <v>42316</v>
      </c>
      <c r="E174" s="9">
        <f t="shared" si="11"/>
        <v>2015</v>
      </c>
      <c r="F174" s="10" t="str">
        <f t="shared" si="12"/>
        <v>Nov</v>
      </c>
      <c r="G174" s="9">
        <f t="shared" si="13"/>
        <v>11</v>
      </c>
      <c r="H174" s="9">
        <f t="shared" si="10"/>
        <v>5</v>
      </c>
      <c r="I174" s="9" t="s">
        <v>43</v>
      </c>
      <c r="J174" s="9" t="s">
        <v>572</v>
      </c>
      <c r="K174" s="9" t="s">
        <v>573</v>
      </c>
      <c r="L174" s="9" t="s">
        <v>22</v>
      </c>
      <c r="M174" s="9" t="s">
        <v>23</v>
      </c>
      <c r="N174" s="9" t="s">
        <v>574</v>
      </c>
      <c r="O174" s="9" t="s">
        <v>575</v>
      </c>
      <c r="P174" s="9">
        <v>37211</v>
      </c>
      <c r="Q174" s="9" t="s">
        <v>110</v>
      </c>
      <c r="R174" s="9" t="s">
        <v>576</v>
      </c>
      <c r="S174" s="9" t="s">
        <v>66</v>
      </c>
      <c r="T174" s="9" t="s">
        <v>201</v>
      </c>
      <c r="U174" s="9" t="s">
        <v>577</v>
      </c>
      <c r="V174" s="11">
        <v>3.488</v>
      </c>
      <c r="W174" s="9" t="str">
        <f t="shared" si="14"/>
        <v>Slow Delivery</v>
      </c>
    </row>
    <row r="175" spans="1:23" x14ac:dyDescent="0.25">
      <c r="A175" s="9">
        <v>2743</v>
      </c>
      <c r="B175" s="10" t="s">
        <v>718</v>
      </c>
      <c r="C175" s="10">
        <v>42312</v>
      </c>
      <c r="D175" s="10">
        <v>42316</v>
      </c>
      <c r="E175" s="9">
        <f t="shared" si="11"/>
        <v>2015</v>
      </c>
      <c r="F175" s="10" t="str">
        <f t="shared" si="12"/>
        <v>Nov</v>
      </c>
      <c r="G175" s="9">
        <f t="shared" si="13"/>
        <v>11</v>
      </c>
      <c r="H175" s="9">
        <f t="shared" si="10"/>
        <v>4</v>
      </c>
      <c r="I175" s="9" t="s">
        <v>43</v>
      </c>
      <c r="J175" s="9" t="s">
        <v>719</v>
      </c>
      <c r="K175" s="9" t="s">
        <v>720</v>
      </c>
      <c r="L175" s="9" t="s">
        <v>22</v>
      </c>
      <c r="M175" s="9" t="s">
        <v>23</v>
      </c>
      <c r="N175" s="9" t="s">
        <v>268</v>
      </c>
      <c r="O175" s="9" t="s">
        <v>80</v>
      </c>
      <c r="P175" s="9">
        <v>92037</v>
      </c>
      <c r="Q175" s="9" t="s">
        <v>37</v>
      </c>
      <c r="R175" s="9" t="s">
        <v>721</v>
      </c>
      <c r="S175" s="9" t="s">
        <v>39</v>
      </c>
      <c r="T175" s="9" t="s">
        <v>112</v>
      </c>
      <c r="U175" s="9" t="s">
        <v>722</v>
      </c>
      <c r="V175" s="11">
        <v>35.340000000000003</v>
      </c>
      <c r="W175" s="9" t="str">
        <f t="shared" si="14"/>
        <v>Slow Delivery</v>
      </c>
    </row>
    <row r="176" spans="1:23" x14ac:dyDescent="0.25">
      <c r="A176" s="9">
        <v>2716</v>
      </c>
      <c r="B176" s="10" t="s">
        <v>738</v>
      </c>
      <c r="C176" s="10">
        <v>42342</v>
      </c>
      <c r="D176" s="10">
        <v>42346</v>
      </c>
      <c r="E176" s="9">
        <f t="shared" si="11"/>
        <v>2015</v>
      </c>
      <c r="F176" s="10" t="str">
        <f t="shared" si="12"/>
        <v>Dec</v>
      </c>
      <c r="G176" s="9">
        <f t="shared" si="13"/>
        <v>12</v>
      </c>
      <c r="H176" s="9">
        <f t="shared" si="10"/>
        <v>4</v>
      </c>
      <c r="I176" s="9" t="s">
        <v>43</v>
      </c>
      <c r="J176" s="9" t="s">
        <v>739</v>
      </c>
      <c r="K176" s="9" t="s">
        <v>740</v>
      </c>
      <c r="L176" s="9" t="s">
        <v>87</v>
      </c>
      <c r="M176" s="9" t="s">
        <v>23</v>
      </c>
      <c r="N176" s="9" t="s">
        <v>47</v>
      </c>
      <c r="O176" s="9" t="s">
        <v>48</v>
      </c>
      <c r="P176" s="9">
        <v>10024</v>
      </c>
      <c r="Q176" s="9" t="s">
        <v>49</v>
      </c>
      <c r="R176" s="9" t="s">
        <v>741</v>
      </c>
      <c r="S176" s="9" t="s">
        <v>28</v>
      </c>
      <c r="T176" s="9" t="s">
        <v>51</v>
      </c>
      <c r="U176" s="9" t="s">
        <v>742</v>
      </c>
      <c r="V176" s="11">
        <v>129.97999999999999</v>
      </c>
      <c r="W176" s="9" t="str">
        <f t="shared" si="14"/>
        <v>Slow Delivery</v>
      </c>
    </row>
    <row r="177" spans="1:23" x14ac:dyDescent="0.25">
      <c r="A177" s="9">
        <v>2720</v>
      </c>
      <c r="B177" s="10" t="s">
        <v>1023</v>
      </c>
      <c r="C177" s="10">
        <v>42344</v>
      </c>
      <c r="D177" s="10">
        <v>42346</v>
      </c>
      <c r="E177" s="9">
        <f t="shared" si="11"/>
        <v>2015</v>
      </c>
      <c r="F177" s="10" t="str">
        <f t="shared" si="12"/>
        <v>Dec</v>
      </c>
      <c r="G177" s="9">
        <f t="shared" si="13"/>
        <v>12</v>
      </c>
      <c r="H177" s="9">
        <f t="shared" si="10"/>
        <v>2</v>
      </c>
      <c r="I177" s="9" t="s">
        <v>32</v>
      </c>
      <c r="J177" s="9" t="s">
        <v>1024</v>
      </c>
      <c r="K177" s="9" t="s">
        <v>1025</v>
      </c>
      <c r="L177" s="9" t="s">
        <v>22</v>
      </c>
      <c r="M177" s="9" t="s">
        <v>23</v>
      </c>
      <c r="N177" s="9" t="s">
        <v>72</v>
      </c>
      <c r="O177" s="9" t="s">
        <v>64</v>
      </c>
      <c r="P177" s="9">
        <v>77095</v>
      </c>
      <c r="Q177" s="9" t="s">
        <v>26</v>
      </c>
      <c r="R177" s="9" t="s">
        <v>1026</v>
      </c>
      <c r="S177" s="9" t="s">
        <v>39</v>
      </c>
      <c r="T177" s="9" t="s">
        <v>112</v>
      </c>
      <c r="U177" s="9" t="s">
        <v>1027</v>
      </c>
      <c r="V177" s="11">
        <v>23.975999999999999</v>
      </c>
      <c r="W177" s="9" t="str">
        <f t="shared" si="14"/>
        <v>Fast Delivery</v>
      </c>
    </row>
    <row r="178" spans="1:23" x14ac:dyDescent="0.25">
      <c r="A178" s="9">
        <v>7066</v>
      </c>
      <c r="B178" s="10" t="s">
        <v>1033</v>
      </c>
      <c r="C178" s="10">
        <v>42344</v>
      </c>
      <c r="D178" s="10">
        <v>42346</v>
      </c>
      <c r="E178" s="9">
        <f t="shared" si="11"/>
        <v>2015</v>
      </c>
      <c r="F178" s="10" t="str">
        <f t="shared" si="12"/>
        <v>Dec</v>
      </c>
      <c r="G178" s="9">
        <f t="shared" si="13"/>
        <v>12</v>
      </c>
      <c r="H178" s="9">
        <f t="shared" si="10"/>
        <v>2</v>
      </c>
      <c r="I178" s="9" t="s">
        <v>19</v>
      </c>
      <c r="J178" s="9" t="s">
        <v>1034</v>
      </c>
      <c r="K178" s="9" t="s">
        <v>1035</v>
      </c>
      <c r="L178" s="9" t="s">
        <v>87</v>
      </c>
      <c r="M178" s="9" t="s">
        <v>23</v>
      </c>
      <c r="N178" s="9" t="s">
        <v>213</v>
      </c>
      <c r="O178" s="9" t="s">
        <v>80</v>
      </c>
      <c r="P178" s="9">
        <v>90008</v>
      </c>
      <c r="Q178" s="9" t="s">
        <v>37</v>
      </c>
      <c r="R178" s="9" t="s">
        <v>1036</v>
      </c>
      <c r="S178" s="9" t="s">
        <v>66</v>
      </c>
      <c r="T178" s="9" t="s">
        <v>74</v>
      </c>
      <c r="U178" s="9" t="s">
        <v>1037</v>
      </c>
      <c r="V178" s="11">
        <v>1261.33</v>
      </c>
      <c r="W178" s="9" t="str">
        <f t="shared" si="14"/>
        <v>Fast Delivery</v>
      </c>
    </row>
    <row r="179" spans="1:23" x14ac:dyDescent="0.25">
      <c r="A179" s="9">
        <v>8945</v>
      </c>
      <c r="B179" s="10" t="s">
        <v>1145</v>
      </c>
      <c r="C179" s="10">
        <v>42345</v>
      </c>
      <c r="D179" s="10">
        <v>42346</v>
      </c>
      <c r="E179" s="9">
        <f t="shared" si="11"/>
        <v>2015</v>
      </c>
      <c r="F179" s="10" t="str">
        <f t="shared" si="12"/>
        <v>Dec</v>
      </c>
      <c r="G179" s="9">
        <f t="shared" si="13"/>
        <v>12</v>
      </c>
      <c r="H179" s="9">
        <f t="shared" si="10"/>
        <v>1</v>
      </c>
      <c r="I179" s="9" t="s">
        <v>19</v>
      </c>
      <c r="J179" s="9" t="s">
        <v>1146</v>
      </c>
      <c r="K179" s="9" t="s">
        <v>1147</v>
      </c>
      <c r="L179" s="9" t="s">
        <v>46</v>
      </c>
      <c r="M179" s="9" t="s">
        <v>23</v>
      </c>
      <c r="N179" s="9" t="s">
        <v>143</v>
      </c>
      <c r="O179" s="9" t="s">
        <v>80</v>
      </c>
      <c r="P179" s="9">
        <v>94109</v>
      </c>
      <c r="Q179" s="9" t="s">
        <v>37</v>
      </c>
      <c r="R179" s="9" t="s">
        <v>1148</v>
      </c>
      <c r="S179" s="9" t="s">
        <v>66</v>
      </c>
      <c r="T179" s="9" t="s">
        <v>201</v>
      </c>
      <c r="U179" s="9" t="s">
        <v>1149</v>
      </c>
      <c r="V179" s="11">
        <v>164.88</v>
      </c>
      <c r="W179" s="9" t="str">
        <f t="shared" si="14"/>
        <v>Fast Delivery</v>
      </c>
    </row>
    <row r="180" spans="1:23" x14ac:dyDescent="0.25">
      <c r="A180" s="9">
        <v>3392</v>
      </c>
      <c r="B180" s="10" t="s">
        <v>1347</v>
      </c>
      <c r="C180" s="10">
        <v>42225</v>
      </c>
      <c r="D180" s="10">
        <v>42229</v>
      </c>
      <c r="E180" s="9">
        <f t="shared" si="11"/>
        <v>2015</v>
      </c>
      <c r="F180" s="10" t="str">
        <f t="shared" si="12"/>
        <v>Aug</v>
      </c>
      <c r="G180" s="9">
        <f t="shared" si="13"/>
        <v>8</v>
      </c>
      <c r="H180" s="9">
        <f t="shared" si="10"/>
        <v>4</v>
      </c>
      <c r="I180" s="9" t="s">
        <v>43</v>
      </c>
      <c r="J180" s="9" t="s">
        <v>1348</v>
      </c>
      <c r="K180" s="9" t="s">
        <v>1349</v>
      </c>
      <c r="L180" s="9" t="s">
        <v>46</v>
      </c>
      <c r="M180" s="9" t="s">
        <v>23</v>
      </c>
      <c r="N180" s="9" t="s">
        <v>35</v>
      </c>
      <c r="O180" s="9" t="s">
        <v>36</v>
      </c>
      <c r="P180" s="9">
        <v>98103</v>
      </c>
      <c r="Q180" s="9" t="s">
        <v>37</v>
      </c>
      <c r="R180" s="9" t="s">
        <v>1350</v>
      </c>
      <c r="S180" s="9" t="s">
        <v>28</v>
      </c>
      <c r="T180" s="9" t="s">
        <v>51</v>
      </c>
      <c r="U180" s="9" t="s">
        <v>1351</v>
      </c>
      <c r="V180" s="11">
        <v>1091.1679999999999</v>
      </c>
      <c r="W180" s="9" t="str">
        <f t="shared" si="14"/>
        <v>Slow Delivery</v>
      </c>
    </row>
    <row r="181" spans="1:23" x14ac:dyDescent="0.25">
      <c r="A181" s="9">
        <v>3629</v>
      </c>
      <c r="B181" s="10" t="s">
        <v>1352</v>
      </c>
      <c r="C181" s="10">
        <v>42225</v>
      </c>
      <c r="D181" s="10">
        <v>42229</v>
      </c>
      <c r="E181" s="9">
        <f t="shared" si="11"/>
        <v>2015</v>
      </c>
      <c r="F181" s="10" t="str">
        <f t="shared" si="12"/>
        <v>Aug</v>
      </c>
      <c r="G181" s="9">
        <f t="shared" si="13"/>
        <v>8</v>
      </c>
      <c r="H181" s="9">
        <f t="shared" si="10"/>
        <v>4</v>
      </c>
      <c r="I181" s="9" t="s">
        <v>43</v>
      </c>
      <c r="J181" s="9" t="s">
        <v>1353</v>
      </c>
      <c r="K181" s="9" t="s">
        <v>1354</v>
      </c>
      <c r="L181" s="9" t="s">
        <v>22</v>
      </c>
      <c r="M181" s="9" t="s">
        <v>23</v>
      </c>
      <c r="N181" s="9" t="s">
        <v>35</v>
      </c>
      <c r="O181" s="9" t="s">
        <v>36</v>
      </c>
      <c r="P181" s="9">
        <v>98103</v>
      </c>
      <c r="Q181" s="9" t="s">
        <v>37</v>
      </c>
      <c r="R181" s="9" t="s">
        <v>1355</v>
      </c>
      <c r="S181" s="9" t="s">
        <v>66</v>
      </c>
      <c r="T181" s="9" t="s">
        <v>103</v>
      </c>
      <c r="U181" s="9" t="s">
        <v>1356</v>
      </c>
      <c r="V181" s="11">
        <v>2060.7440000000001</v>
      </c>
      <c r="W181" s="9" t="str">
        <f t="shared" si="14"/>
        <v>Slow Delivery</v>
      </c>
    </row>
    <row r="182" spans="1:23" x14ac:dyDescent="0.25">
      <c r="A182" s="9">
        <v>1466</v>
      </c>
      <c r="B182" s="10" t="s">
        <v>1201</v>
      </c>
      <c r="C182" s="10">
        <v>42224</v>
      </c>
      <c r="D182" s="10">
        <v>42230</v>
      </c>
      <c r="E182" s="9">
        <f t="shared" si="11"/>
        <v>2015</v>
      </c>
      <c r="F182" s="10" t="str">
        <f t="shared" si="12"/>
        <v>Aug</v>
      </c>
      <c r="G182" s="9">
        <f t="shared" si="13"/>
        <v>8</v>
      </c>
      <c r="H182" s="9">
        <f t="shared" si="10"/>
        <v>6</v>
      </c>
      <c r="I182" s="9" t="s">
        <v>43</v>
      </c>
      <c r="J182" s="9" t="s">
        <v>1202</v>
      </c>
      <c r="K182" s="9" t="s">
        <v>1203</v>
      </c>
      <c r="L182" s="9" t="s">
        <v>22</v>
      </c>
      <c r="M182" s="9" t="s">
        <v>23</v>
      </c>
      <c r="N182" s="9" t="s">
        <v>518</v>
      </c>
      <c r="O182" s="9" t="s">
        <v>382</v>
      </c>
      <c r="P182" s="9">
        <v>85301</v>
      </c>
      <c r="Q182" s="9" t="s">
        <v>37</v>
      </c>
      <c r="R182" s="9" t="s">
        <v>1204</v>
      </c>
      <c r="S182" s="9" t="s">
        <v>39</v>
      </c>
      <c r="T182" s="9" t="s">
        <v>112</v>
      </c>
      <c r="U182" s="9" t="s">
        <v>1205</v>
      </c>
      <c r="V182" s="11">
        <v>121.376</v>
      </c>
      <c r="W182" s="9" t="str">
        <f t="shared" si="14"/>
        <v>Slow Delivery</v>
      </c>
    </row>
    <row r="183" spans="1:23" x14ac:dyDescent="0.25">
      <c r="A183" s="9">
        <v>7070</v>
      </c>
      <c r="B183" s="10" t="s">
        <v>1357</v>
      </c>
      <c r="C183" s="10">
        <v>42225</v>
      </c>
      <c r="D183" s="10">
        <v>42230</v>
      </c>
      <c r="E183" s="9">
        <f t="shared" si="11"/>
        <v>2015</v>
      </c>
      <c r="F183" s="10" t="str">
        <f t="shared" si="12"/>
        <v>Aug</v>
      </c>
      <c r="G183" s="9">
        <f t="shared" si="13"/>
        <v>8</v>
      </c>
      <c r="H183" s="9">
        <f t="shared" si="10"/>
        <v>5</v>
      </c>
      <c r="I183" s="9" t="s">
        <v>43</v>
      </c>
      <c r="J183" s="9" t="s">
        <v>1358</v>
      </c>
      <c r="K183" s="9" t="s">
        <v>1359</v>
      </c>
      <c r="L183" s="9" t="s">
        <v>22</v>
      </c>
      <c r="M183" s="9" t="s">
        <v>23</v>
      </c>
      <c r="N183" s="9" t="s">
        <v>1360</v>
      </c>
      <c r="O183" s="9" t="s">
        <v>80</v>
      </c>
      <c r="P183" s="9">
        <v>93727</v>
      </c>
      <c r="Q183" s="9" t="s">
        <v>37</v>
      </c>
      <c r="R183" s="9" t="s">
        <v>1361</v>
      </c>
      <c r="S183" s="9" t="s">
        <v>66</v>
      </c>
      <c r="T183" s="9" t="s">
        <v>201</v>
      </c>
      <c r="U183" s="9" t="s">
        <v>1362</v>
      </c>
      <c r="V183" s="11">
        <v>5.98</v>
      </c>
      <c r="W183" s="9" t="str">
        <f t="shared" si="14"/>
        <v>Slow Delivery</v>
      </c>
    </row>
    <row r="184" spans="1:23" x14ac:dyDescent="0.25">
      <c r="A184" s="9">
        <v>595</v>
      </c>
      <c r="B184" s="10" t="s">
        <v>1198</v>
      </c>
      <c r="C184" s="10">
        <v>42224</v>
      </c>
      <c r="D184" s="10">
        <v>42231</v>
      </c>
      <c r="E184" s="9">
        <f t="shared" si="11"/>
        <v>2015</v>
      </c>
      <c r="F184" s="10" t="str">
        <f t="shared" si="12"/>
        <v>Aug</v>
      </c>
      <c r="G184" s="9">
        <f t="shared" si="13"/>
        <v>8</v>
      </c>
      <c r="H184" s="9">
        <f t="shared" si="10"/>
        <v>7</v>
      </c>
      <c r="I184" s="9" t="s">
        <v>43</v>
      </c>
      <c r="J184" s="9" t="s">
        <v>1199</v>
      </c>
      <c r="K184" s="9" t="s">
        <v>1200</v>
      </c>
      <c r="L184" s="9" t="s">
        <v>22</v>
      </c>
      <c r="M184" s="9" t="s">
        <v>23</v>
      </c>
      <c r="N184" s="9" t="s">
        <v>268</v>
      </c>
      <c r="O184" s="9" t="s">
        <v>80</v>
      </c>
      <c r="P184" s="9">
        <v>92024</v>
      </c>
      <c r="Q184" s="9" t="s">
        <v>37</v>
      </c>
      <c r="R184" s="9" t="s">
        <v>227</v>
      </c>
      <c r="S184" s="9" t="s">
        <v>66</v>
      </c>
      <c r="T184" s="9" t="s">
        <v>221</v>
      </c>
      <c r="U184" s="9" t="s">
        <v>228</v>
      </c>
      <c r="V184" s="11">
        <v>76.12</v>
      </c>
      <c r="W184" s="9" t="str">
        <f t="shared" si="14"/>
        <v>Slow Delivery</v>
      </c>
    </row>
    <row r="185" spans="1:23" x14ac:dyDescent="0.25">
      <c r="A185" s="9">
        <v>1741</v>
      </c>
      <c r="B185" s="10" t="s">
        <v>1342</v>
      </c>
      <c r="C185" s="10">
        <v>42225</v>
      </c>
      <c r="D185" s="10">
        <v>42232</v>
      </c>
      <c r="E185" s="9">
        <f t="shared" si="11"/>
        <v>2015</v>
      </c>
      <c r="F185" s="10" t="str">
        <f t="shared" si="12"/>
        <v>Aug</v>
      </c>
      <c r="G185" s="9">
        <f t="shared" si="13"/>
        <v>8</v>
      </c>
      <c r="H185" s="9">
        <f t="shared" si="10"/>
        <v>7</v>
      </c>
      <c r="I185" s="9" t="s">
        <v>43</v>
      </c>
      <c r="J185" s="9" t="s">
        <v>1343</v>
      </c>
      <c r="K185" s="9" t="s">
        <v>1344</v>
      </c>
      <c r="L185" s="9" t="s">
        <v>46</v>
      </c>
      <c r="M185" s="9" t="s">
        <v>23</v>
      </c>
      <c r="N185" s="9" t="s">
        <v>268</v>
      </c>
      <c r="O185" s="9" t="s">
        <v>80</v>
      </c>
      <c r="P185" s="9">
        <v>92037</v>
      </c>
      <c r="Q185" s="9" t="s">
        <v>37</v>
      </c>
      <c r="R185" s="9" t="s">
        <v>1345</v>
      </c>
      <c r="S185" s="9" t="s">
        <v>66</v>
      </c>
      <c r="T185" s="9" t="s">
        <v>82</v>
      </c>
      <c r="U185" s="9" t="s">
        <v>1346</v>
      </c>
      <c r="V185" s="11">
        <v>20.88</v>
      </c>
      <c r="W185" s="9" t="str">
        <f t="shared" si="14"/>
        <v>Slow Delivery</v>
      </c>
    </row>
    <row r="186" spans="1:23" x14ac:dyDescent="0.25">
      <c r="A186" s="9">
        <v>3230</v>
      </c>
      <c r="B186" s="10" t="s">
        <v>1563</v>
      </c>
      <c r="C186" s="10">
        <v>42227</v>
      </c>
      <c r="D186" s="10">
        <v>42232</v>
      </c>
      <c r="E186" s="9">
        <f t="shared" si="11"/>
        <v>2015</v>
      </c>
      <c r="F186" s="10" t="str">
        <f t="shared" si="12"/>
        <v>Aug</v>
      </c>
      <c r="G186" s="9">
        <f t="shared" si="13"/>
        <v>8</v>
      </c>
      <c r="H186" s="9">
        <f t="shared" si="10"/>
        <v>5</v>
      </c>
      <c r="I186" s="9" t="s">
        <v>43</v>
      </c>
      <c r="J186" s="9" t="s">
        <v>1564</v>
      </c>
      <c r="K186" s="9" t="s">
        <v>1565</v>
      </c>
      <c r="L186" s="9" t="s">
        <v>22</v>
      </c>
      <c r="M186" s="9" t="s">
        <v>23</v>
      </c>
      <c r="N186" s="9" t="s">
        <v>47</v>
      </c>
      <c r="O186" s="9" t="s">
        <v>48</v>
      </c>
      <c r="P186" s="9">
        <v>10035</v>
      </c>
      <c r="Q186" s="9" t="s">
        <v>49</v>
      </c>
      <c r="R186" s="9" t="s">
        <v>1566</v>
      </c>
      <c r="S186" s="9" t="s">
        <v>66</v>
      </c>
      <c r="T186" s="9" t="s">
        <v>74</v>
      </c>
      <c r="U186" s="9" t="s">
        <v>1567</v>
      </c>
      <c r="V186" s="11">
        <v>375.34</v>
      </c>
      <c r="W186" s="9" t="str">
        <f t="shared" si="14"/>
        <v>Slow Delivery</v>
      </c>
    </row>
    <row r="187" spans="1:23" x14ac:dyDescent="0.25">
      <c r="A187" s="9">
        <v>6769</v>
      </c>
      <c r="B187" s="10" t="s">
        <v>1652</v>
      </c>
      <c r="C187" s="10">
        <v>42228</v>
      </c>
      <c r="D187" s="10">
        <v>42232</v>
      </c>
      <c r="E187" s="9">
        <f t="shared" si="11"/>
        <v>2015</v>
      </c>
      <c r="F187" s="10" t="str">
        <f t="shared" si="12"/>
        <v>Aug</v>
      </c>
      <c r="G187" s="9">
        <f t="shared" si="13"/>
        <v>8</v>
      </c>
      <c r="H187" s="9">
        <f t="shared" si="10"/>
        <v>4</v>
      </c>
      <c r="I187" s="9" t="s">
        <v>43</v>
      </c>
      <c r="J187" s="9" t="s">
        <v>1653</v>
      </c>
      <c r="K187" s="9" t="s">
        <v>1654</v>
      </c>
      <c r="L187" s="9" t="s">
        <v>87</v>
      </c>
      <c r="M187" s="9" t="s">
        <v>23</v>
      </c>
      <c r="N187" s="9" t="s">
        <v>100</v>
      </c>
      <c r="O187" s="9" t="s">
        <v>101</v>
      </c>
      <c r="P187" s="9">
        <v>8701</v>
      </c>
      <c r="Q187" s="9" t="s">
        <v>49</v>
      </c>
      <c r="R187" s="9" t="s">
        <v>1655</v>
      </c>
      <c r="S187" s="9" t="s">
        <v>66</v>
      </c>
      <c r="T187" s="9" t="s">
        <v>103</v>
      </c>
      <c r="U187" s="9" t="s">
        <v>1656</v>
      </c>
      <c r="V187" s="11">
        <v>196.21</v>
      </c>
      <c r="W187" s="9" t="str">
        <f t="shared" si="14"/>
        <v>Slow Delivery</v>
      </c>
    </row>
    <row r="188" spans="1:23" x14ac:dyDescent="0.25">
      <c r="A188" s="9">
        <v>8244</v>
      </c>
      <c r="B188" s="10" t="s">
        <v>1657</v>
      </c>
      <c r="C188" s="10">
        <v>42228</v>
      </c>
      <c r="D188" s="10">
        <v>42232</v>
      </c>
      <c r="E188" s="9">
        <f t="shared" si="11"/>
        <v>2015</v>
      </c>
      <c r="F188" s="10" t="str">
        <f t="shared" si="12"/>
        <v>Aug</v>
      </c>
      <c r="G188" s="9">
        <f t="shared" si="13"/>
        <v>8</v>
      </c>
      <c r="H188" s="9">
        <f t="shared" si="10"/>
        <v>4</v>
      </c>
      <c r="I188" s="9" t="s">
        <v>43</v>
      </c>
      <c r="J188" s="9" t="s">
        <v>1658</v>
      </c>
      <c r="K188" s="9" t="s">
        <v>1659</v>
      </c>
      <c r="L188" s="9" t="s">
        <v>22</v>
      </c>
      <c r="M188" s="9" t="s">
        <v>23</v>
      </c>
      <c r="N188" s="9" t="s">
        <v>143</v>
      </c>
      <c r="O188" s="9" t="s">
        <v>80</v>
      </c>
      <c r="P188" s="9">
        <v>94122</v>
      </c>
      <c r="Q188" s="9" t="s">
        <v>37</v>
      </c>
      <c r="R188" s="9" t="s">
        <v>1660</v>
      </c>
      <c r="S188" s="9" t="s">
        <v>28</v>
      </c>
      <c r="T188" s="9" t="s">
        <v>51</v>
      </c>
      <c r="U188" s="9" t="s">
        <v>1661</v>
      </c>
      <c r="V188" s="11">
        <v>806.33600000000001</v>
      </c>
      <c r="W188" s="9" t="str">
        <f t="shared" si="14"/>
        <v>Slow Delivery</v>
      </c>
    </row>
    <row r="189" spans="1:23" x14ac:dyDescent="0.25">
      <c r="A189" s="9">
        <v>8287</v>
      </c>
      <c r="B189" s="10" t="s">
        <v>1662</v>
      </c>
      <c r="C189" s="10">
        <v>42228</v>
      </c>
      <c r="D189" s="10">
        <v>42232</v>
      </c>
      <c r="E189" s="9">
        <f t="shared" si="11"/>
        <v>2015</v>
      </c>
      <c r="F189" s="10" t="str">
        <f t="shared" si="12"/>
        <v>Aug</v>
      </c>
      <c r="G189" s="9">
        <f t="shared" si="13"/>
        <v>8</v>
      </c>
      <c r="H189" s="9">
        <f t="shared" si="10"/>
        <v>4</v>
      </c>
      <c r="I189" s="9" t="s">
        <v>43</v>
      </c>
      <c r="J189" s="9" t="s">
        <v>1663</v>
      </c>
      <c r="K189" s="9" t="s">
        <v>1664</v>
      </c>
      <c r="L189" s="9" t="s">
        <v>46</v>
      </c>
      <c r="M189" s="9" t="s">
        <v>23</v>
      </c>
      <c r="N189" s="9" t="s">
        <v>1502</v>
      </c>
      <c r="O189" s="9" t="s">
        <v>130</v>
      </c>
      <c r="P189" s="9">
        <v>33180</v>
      </c>
      <c r="Q189" s="9" t="s">
        <v>110</v>
      </c>
      <c r="R189" s="9" t="s">
        <v>1665</v>
      </c>
      <c r="S189" s="9" t="s">
        <v>66</v>
      </c>
      <c r="T189" s="9" t="s">
        <v>201</v>
      </c>
      <c r="U189" s="9" t="s">
        <v>1666</v>
      </c>
      <c r="V189" s="11">
        <v>31.103999999999999</v>
      </c>
      <c r="W189" s="9" t="str">
        <f t="shared" si="14"/>
        <v>Slow Delivery</v>
      </c>
    </row>
    <row r="190" spans="1:23" x14ac:dyDescent="0.25">
      <c r="A190" s="9">
        <v>9138</v>
      </c>
      <c r="B190" s="10" t="s">
        <v>270</v>
      </c>
      <c r="C190" s="10">
        <v>42037</v>
      </c>
      <c r="D190" s="10">
        <v>42044</v>
      </c>
      <c r="E190" s="9">
        <f t="shared" si="11"/>
        <v>2015</v>
      </c>
      <c r="F190" s="10" t="str">
        <f t="shared" si="12"/>
        <v>Feb</v>
      </c>
      <c r="G190" s="9">
        <f t="shared" si="13"/>
        <v>2</v>
      </c>
      <c r="H190" s="9">
        <f t="shared" si="10"/>
        <v>7</v>
      </c>
      <c r="I190" s="9" t="s">
        <v>43</v>
      </c>
      <c r="J190" s="9" t="s">
        <v>271</v>
      </c>
      <c r="K190" s="9" t="s">
        <v>272</v>
      </c>
      <c r="L190" s="9" t="s">
        <v>22</v>
      </c>
      <c r="M190" s="9" t="s">
        <v>23</v>
      </c>
      <c r="N190" s="9" t="s">
        <v>273</v>
      </c>
      <c r="O190" s="9" t="s">
        <v>130</v>
      </c>
      <c r="P190" s="9">
        <v>33710</v>
      </c>
      <c r="Q190" s="9" t="s">
        <v>110</v>
      </c>
      <c r="R190" s="9" t="s">
        <v>274</v>
      </c>
      <c r="S190" s="9" t="s">
        <v>66</v>
      </c>
      <c r="T190" s="9" t="s">
        <v>103</v>
      </c>
      <c r="U190" s="9" t="s">
        <v>275</v>
      </c>
      <c r="V190" s="11">
        <v>18.335999999999999</v>
      </c>
      <c r="W190" s="9" t="str">
        <f t="shared" si="14"/>
        <v>Slow Delivery</v>
      </c>
    </row>
    <row r="191" spans="1:23" x14ac:dyDescent="0.25">
      <c r="A191" s="9">
        <v>1998</v>
      </c>
      <c r="B191" s="10" t="s">
        <v>929</v>
      </c>
      <c r="C191" s="10">
        <v>42041</v>
      </c>
      <c r="D191" s="10">
        <v>42044</v>
      </c>
      <c r="E191" s="9">
        <f t="shared" si="11"/>
        <v>2015</v>
      </c>
      <c r="F191" s="10" t="str">
        <f t="shared" si="12"/>
        <v>Feb</v>
      </c>
      <c r="G191" s="9">
        <f t="shared" si="13"/>
        <v>2</v>
      </c>
      <c r="H191" s="9">
        <f t="shared" si="10"/>
        <v>3</v>
      </c>
      <c r="I191" s="9" t="s">
        <v>19</v>
      </c>
      <c r="J191" s="9" t="s">
        <v>930</v>
      </c>
      <c r="K191" s="9" t="s">
        <v>931</v>
      </c>
      <c r="L191" s="9" t="s">
        <v>87</v>
      </c>
      <c r="M191" s="9" t="s">
        <v>23</v>
      </c>
      <c r="N191" s="9" t="s">
        <v>932</v>
      </c>
      <c r="O191" s="9" t="s">
        <v>298</v>
      </c>
      <c r="P191" s="9">
        <v>23320</v>
      </c>
      <c r="Q191" s="9" t="s">
        <v>110</v>
      </c>
      <c r="R191" s="9" t="s">
        <v>933</v>
      </c>
      <c r="S191" s="9" t="s">
        <v>66</v>
      </c>
      <c r="T191" s="9" t="s">
        <v>82</v>
      </c>
      <c r="U191" s="9" t="s">
        <v>934</v>
      </c>
      <c r="V191" s="11">
        <v>15</v>
      </c>
      <c r="W191" s="9" t="str">
        <f t="shared" si="14"/>
        <v>Fast Delivery</v>
      </c>
    </row>
    <row r="192" spans="1:23" x14ac:dyDescent="0.25">
      <c r="A192" s="9">
        <v>1561</v>
      </c>
      <c r="B192" s="10" t="s">
        <v>624</v>
      </c>
      <c r="C192" s="10">
        <v>42098</v>
      </c>
      <c r="D192" s="10">
        <v>42103</v>
      </c>
      <c r="E192" s="9">
        <f t="shared" si="11"/>
        <v>2015</v>
      </c>
      <c r="F192" s="10" t="str">
        <f t="shared" si="12"/>
        <v>Apr</v>
      </c>
      <c r="G192" s="9">
        <f t="shared" si="13"/>
        <v>4</v>
      </c>
      <c r="H192" s="9">
        <f t="shared" si="10"/>
        <v>5</v>
      </c>
      <c r="I192" s="9" t="s">
        <v>43</v>
      </c>
      <c r="J192" s="9" t="s">
        <v>625</v>
      </c>
      <c r="K192" s="9" t="s">
        <v>626</v>
      </c>
      <c r="L192" s="9" t="s">
        <v>46</v>
      </c>
      <c r="M192" s="9" t="s">
        <v>23</v>
      </c>
      <c r="N192" s="9" t="s">
        <v>143</v>
      </c>
      <c r="O192" s="9" t="s">
        <v>80</v>
      </c>
      <c r="P192" s="9">
        <v>94109</v>
      </c>
      <c r="Q192" s="9" t="s">
        <v>37</v>
      </c>
      <c r="R192" s="9" t="s">
        <v>627</v>
      </c>
      <c r="S192" s="9" t="s">
        <v>66</v>
      </c>
      <c r="T192" s="9" t="s">
        <v>82</v>
      </c>
      <c r="U192" s="9" t="s">
        <v>628</v>
      </c>
      <c r="V192" s="11">
        <v>18.899999999999999</v>
      </c>
      <c r="W192" s="9" t="str">
        <f t="shared" si="14"/>
        <v>Slow Delivery</v>
      </c>
    </row>
    <row r="193" spans="1:23" x14ac:dyDescent="0.25">
      <c r="A193" s="9">
        <v>3955</v>
      </c>
      <c r="B193" s="10" t="s">
        <v>629</v>
      </c>
      <c r="C193" s="10">
        <v>42098</v>
      </c>
      <c r="D193" s="10">
        <v>42103</v>
      </c>
      <c r="E193" s="9">
        <f t="shared" si="11"/>
        <v>2015</v>
      </c>
      <c r="F193" s="10" t="str">
        <f t="shared" si="12"/>
        <v>Apr</v>
      </c>
      <c r="G193" s="9">
        <f t="shared" si="13"/>
        <v>4</v>
      </c>
      <c r="H193" s="9">
        <f t="shared" si="10"/>
        <v>5</v>
      </c>
      <c r="I193" s="9" t="s">
        <v>43</v>
      </c>
      <c r="J193" s="9" t="s">
        <v>630</v>
      </c>
      <c r="K193" s="9" t="s">
        <v>631</v>
      </c>
      <c r="L193" s="9" t="s">
        <v>22</v>
      </c>
      <c r="M193" s="9" t="s">
        <v>23</v>
      </c>
      <c r="N193" s="9" t="s">
        <v>117</v>
      </c>
      <c r="O193" s="9" t="s">
        <v>118</v>
      </c>
      <c r="P193" s="9">
        <v>48205</v>
      </c>
      <c r="Q193" s="9" t="s">
        <v>26</v>
      </c>
      <c r="R193" s="9" t="s">
        <v>632</v>
      </c>
      <c r="S193" s="9" t="s">
        <v>39</v>
      </c>
      <c r="T193" s="9" t="s">
        <v>112</v>
      </c>
      <c r="U193" s="9" t="s">
        <v>633</v>
      </c>
      <c r="V193" s="11">
        <v>5.47</v>
      </c>
      <c r="W193" s="9" t="str">
        <f t="shared" si="14"/>
        <v>Slow Delivery</v>
      </c>
    </row>
    <row r="194" spans="1:23" x14ac:dyDescent="0.25">
      <c r="A194" s="9">
        <v>3277</v>
      </c>
      <c r="B194" s="10" t="s">
        <v>758</v>
      </c>
      <c r="C194" s="10">
        <v>42099</v>
      </c>
      <c r="D194" s="10">
        <v>42103</v>
      </c>
      <c r="E194" s="9">
        <f t="shared" si="11"/>
        <v>2015</v>
      </c>
      <c r="F194" s="10" t="str">
        <f t="shared" si="12"/>
        <v>Apr</v>
      </c>
      <c r="G194" s="9">
        <f t="shared" si="13"/>
        <v>4</v>
      </c>
      <c r="H194" s="9">
        <f t="shared" ref="H194:H257" si="15">D194-C194</f>
        <v>4</v>
      </c>
      <c r="I194" s="9" t="s">
        <v>32</v>
      </c>
      <c r="J194" s="9" t="s">
        <v>759</v>
      </c>
      <c r="K194" s="9" t="s">
        <v>760</v>
      </c>
      <c r="L194" s="9" t="s">
        <v>87</v>
      </c>
      <c r="M194" s="9" t="s">
        <v>23</v>
      </c>
      <c r="N194" s="9" t="s">
        <v>761</v>
      </c>
      <c r="O194" s="9" t="s">
        <v>298</v>
      </c>
      <c r="P194" s="9">
        <v>22304</v>
      </c>
      <c r="Q194" s="9" t="s">
        <v>110</v>
      </c>
      <c r="R194" s="9" t="s">
        <v>762</v>
      </c>
      <c r="S194" s="9" t="s">
        <v>66</v>
      </c>
      <c r="T194" s="9" t="s">
        <v>158</v>
      </c>
      <c r="U194" s="9" t="s">
        <v>763</v>
      </c>
      <c r="V194" s="11">
        <v>22.96</v>
      </c>
      <c r="W194" s="9" t="str">
        <f t="shared" si="14"/>
        <v>Slow Delivery</v>
      </c>
    </row>
    <row r="195" spans="1:23" x14ac:dyDescent="0.25">
      <c r="A195" s="9">
        <v>4212</v>
      </c>
      <c r="B195" s="10" t="s">
        <v>776</v>
      </c>
      <c r="C195" s="10">
        <v>42129</v>
      </c>
      <c r="D195" s="10">
        <v>42133</v>
      </c>
      <c r="E195" s="9">
        <f t="shared" ref="E195:E258" si="16">YEAR(C195)</f>
        <v>2015</v>
      </c>
      <c r="F195" s="10" t="str">
        <f t="shared" ref="F195:F258" si="17">TEXT(C195,"mmm")</f>
        <v>May</v>
      </c>
      <c r="G195" s="9">
        <f t="shared" ref="G195:G258" si="18">MONTH(C195)</f>
        <v>5</v>
      </c>
      <c r="H195" s="9">
        <f t="shared" si="15"/>
        <v>4</v>
      </c>
      <c r="I195" s="9" t="s">
        <v>32</v>
      </c>
      <c r="J195" s="9" t="s">
        <v>777</v>
      </c>
      <c r="K195" s="9" t="s">
        <v>778</v>
      </c>
      <c r="L195" s="9" t="s">
        <v>22</v>
      </c>
      <c r="M195" s="9" t="s">
        <v>23</v>
      </c>
      <c r="N195" s="9" t="s">
        <v>206</v>
      </c>
      <c r="O195" s="9" t="s">
        <v>207</v>
      </c>
      <c r="P195" s="9">
        <v>40475</v>
      </c>
      <c r="Q195" s="9" t="s">
        <v>110</v>
      </c>
      <c r="R195" s="9" t="s">
        <v>779</v>
      </c>
      <c r="S195" s="9" t="s">
        <v>66</v>
      </c>
      <c r="T195" s="9" t="s">
        <v>201</v>
      </c>
      <c r="U195" s="9" t="s">
        <v>780</v>
      </c>
      <c r="V195" s="11">
        <v>9.42</v>
      </c>
      <c r="W195" s="9" t="str">
        <f t="shared" ref="W195:W258" si="19">IF(H195&lt;=3,"Fast Delivery","Slow Delivery")</f>
        <v>Slow Delivery</v>
      </c>
    </row>
    <row r="196" spans="1:23" x14ac:dyDescent="0.25">
      <c r="A196" s="9">
        <v>1875</v>
      </c>
      <c r="B196" s="10" t="s">
        <v>669</v>
      </c>
      <c r="C196" s="10">
        <v>42159</v>
      </c>
      <c r="D196" s="10">
        <v>42164</v>
      </c>
      <c r="E196" s="9">
        <f t="shared" si="16"/>
        <v>2015</v>
      </c>
      <c r="F196" s="10" t="str">
        <f t="shared" si="17"/>
        <v>Jun</v>
      </c>
      <c r="G196" s="9">
        <f t="shared" si="18"/>
        <v>6</v>
      </c>
      <c r="H196" s="9">
        <f t="shared" si="15"/>
        <v>5</v>
      </c>
      <c r="I196" s="9" t="s">
        <v>43</v>
      </c>
      <c r="J196" s="9" t="s">
        <v>670</v>
      </c>
      <c r="K196" s="9" t="s">
        <v>671</v>
      </c>
      <c r="L196" s="9" t="s">
        <v>46</v>
      </c>
      <c r="M196" s="9" t="s">
        <v>23</v>
      </c>
      <c r="N196" s="9" t="s">
        <v>249</v>
      </c>
      <c r="O196" s="9" t="s">
        <v>250</v>
      </c>
      <c r="P196" s="9">
        <v>43229</v>
      </c>
      <c r="Q196" s="9" t="s">
        <v>49</v>
      </c>
      <c r="R196" s="9" t="s">
        <v>672</v>
      </c>
      <c r="S196" s="9" t="s">
        <v>66</v>
      </c>
      <c r="T196" s="9" t="s">
        <v>201</v>
      </c>
      <c r="U196" s="9" t="s">
        <v>673</v>
      </c>
      <c r="V196" s="11">
        <v>16.224</v>
      </c>
      <c r="W196" s="9" t="str">
        <f t="shared" si="19"/>
        <v>Slow Delivery</v>
      </c>
    </row>
    <row r="197" spans="1:23" x14ac:dyDescent="0.25">
      <c r="A197" s="9">
        <v>8608</v>
      </c>
      <c r="B197" s="10" t="s">
        <v>674</v>
      </c>
      <c r="C197" s="10">
        <v>42159</v>
      </c>
      <c r="D197" s="10">
        <v>42164</v>
      </c>
      <c r="E197" s="9">
        <f t="shared" si="16"/>
        <v>2015</v>
      </c>
      <c r="F197" s="10" t="str">
        <f t="shared" si="17"/>
        <v>Jun</v>
      </c>
      <c r="G197" s="9">
        <f t="shared" si="18"/>
        <v>6</v>
      </c>
      <c r="H197" s="9">
        <f t="shared" si="15"/>
        <v>5</v>
      </c>
      <c r="I197" s="9" t="s">
        <v>43</v>
      </c>
      <c r="J197" s="9" t="s">
        <v>675</v>
      </c>
      <c r="K197" s="9" t="s">
        <v>676</v>
      </c>
      <c r="L197" s="9" t="s">
        <v>22</v>
      </c>
      <c r="M197" s="9" t="s">
        <v>23</v>
      </c>
      <c r="N197" s="9" t="s">
        <v>47</v>
      </c>
      <c r="O197" s="9" t="s">
        <v>48</v>
      </c>
      <c r="P197" s="9">
        <v>10035</v>
      </c>
      <c r="Q197" s="9" t="s">
        <v>49</v>
      </c>
      <c r="R197" s="9" t="s">
        <v>677</v>
      </c>
      <c r="S197" s="9" t="s">
        <v>39</v>
      </c>
      <c r="T197" s="9" t="s">
        <v>112</v>
      </c>
      <c r="U197" s="9" t="s">
        <v>678</v>
      </c>
      <c r="V197" s="11">
        <v>56.96</v>
      </c>
      <c r="W197" s="9" t="str">
        <f t="shared" si="19"/>
        <v>Slow Delivery</v>
      </c>
    </row>
    <row r="198" spans="1:23" x14ac:dyDescent="0.25">
      <c r="A198" s="9">
        <v>1376</v>
      </c>
      <c r="B198" s="10" t="s">
        <v>685</v>
      </c>
      <c r="C198" s="10">
        <v>42220</v>
      </c>
      <c r="D198" s="10">
        <v>42225</v>
      </c>
      <c r="E198" s="9">
        <f t="shared" si="16"/>
        <v>2015</v>
      </c>
      <c r="F198" s="10" t="str">
        <f t="shared" si="17"/>
        <v>Aug</v>
      </c>
      <c r="G198" s="9">
        <f t="shared" si="18"/>
        <v>8</v>
      </c>
      <c r="H198" s="9">
        <f t="shared" si="15"/>
        <v>5</v>
      </c>
      <c r="I198" s="9" t="s">
        <v>32</v>
      </c>
      <c r="J198" s="9" t="s">
        <v>686</v>
      </c>
      <c r="K198" s="9" t="s">
        <v>687</v>
      </c>
      <c r="L198" s="9" t="s">
        <v>22</v>
      </c>
      <c r="M198" s="9" t="s">
        <v>23</v>
      </c>
      <c r="N198" s="9" t="s">
        <v>688</v>
      </c>
      <c r="O198" s="9" t="s">
        <v>317</v>
      </c>
      <c r="P198" s="9">
        <v>84062</v>
      </c>
      <c r="Q198" s="9" t="s">
        <v>37</v>
      </c>
      <c r="R198" s="9" t="s">
        <v>689</v>
      </c>
      <c r="S198" s="9" t="s">
        <v>66</v>
      </c>
      <c r="T198" s="9" t="s">
        <v>221</v>
      </c>
      <c r="U198" s="9" t="s">
        <v>690</v>
      </c>
      <c r="V198" s="11">
        <v>1089.75</v>
      </c>
      <c r="W198" s="9" t="str">
        <f t="shared" si="19"/>
        <v>Slow Delivery</v>
      </c>
    </row>
    <row r="199" spans="1:23" x14ac:dyDescent="0.25">
      <c r="A199" s="9">
        <v>172</v>
      </c>
      <c r="B199" s="10" t="s">
        <v>821</v>
      </c>
      <c r="C199" s="10">
        <v>42221</v>
      </c>
      <c r="D199" s="10">
        <v>42225</v>
      </c>
      <c r="E199" s="9">
        <f t="shared" si="16"/>
        <v>2015</v>
      </c>
      <c r="F199" s="10" t="str">
        <f t="shared" si="17"/>
        <v>Aug</v>
      </c>
      <c r="G199" s="9">
        <f t="shared" si="18"/>
        <v>8</v>
      </c>
      <c r="H199" s="9">
        <f t="shared" si="15"/>
        <v>4</v>
      </c>
      <c r="I199" s="9" t="s">
        <v>43</v>
      </c>
      <c r="J199" s="9" t="s">
        <v>822</v>
      </c>
      <c r="K199" s="9" t="s">
        <v>823</v>
      </c>
      <c r="L199" s="9" t="s">
        <v>22</v>
      </c>
      <c r="M199" s="9" t="s">
        <v>23</v>
      </c>
      <c r="N199" s="9" t="s">
        <v>213</v>
      </c>
      <c r="O199" s="9" t="s">
        <v>80</v>
      </c>
      <c r="P199" s="9">
        <v>90004</v>
      </c>
      <c r="Q199" s="9" t="s">
        <v>37</v>
      </c>
      <c r="R199" s="9" t="s">
        <v>824</v>
      </c>
      <c r="S199" s="9" t="s">
        <v>66</v>
      </c>
      <c r="T199" s="9" t="s">
        <v>201</v>
      </c>
      <c r="U199" s="9" t="s">
        <v>825</v>
      </c>
      <c r="V199" s="11">
        <v>20.94</v>
      </c>
      <c r="W199" s="9" t="str">
        <f t="shared" si="19"/>
        <v>Slow Delivery</v>
      </c>
    </row>
    <row r="200" spans="1:23" x14ac:dyDescent="0.25">
      <c r="A200" s="9">
        <v>6623</v>
      </c>
      <c r="B200" s="10" t="s">
        <v>1010</v>
      </c>
      <c r="C200" s="10">
        <v>42253</v>
      </c>
      <c r="D200" s="10">
        <v>42256</v>
      </c>
      <c r="E200" s="9">
        <f t="shared" si="16"/>
        <v>2015</v>
      </c>
      <c r="F200" s="10" t="str">
        <f t="shared" si="17"/>
        <v>Sep</v>
      </c>
      <c r="G200" s="9">
        <f t="shared" si="18"/>
        <v>9</v>
      </c>
      <c r="H200" s="9">
        <f t="shared" si="15"/>
        <v>3</v>
      </c>
      <c r="I200" s="9" t="s">
        <v>19</v>
      </c>
      <c r="J200" s="9" t="s">
        <v>1011</v>
      </c>
      <c r="K200" s="9" t="s">
        <v>1012</v>
      </c>
      <c r="L200" s="9" t="s">
        <v>87</v>
      </c>
      <c r="M200" s="9" t="s">
        <v>23</v>
      </c>
      <c r="N200" s="9" t="s">
        <v>143</v>
      </c>
      <c r="O200" s="9" t="s">
        <v>80</v>
      </c>
      <c r="P200" s="9">
        <v>94109</v>
      </c>
      <c r="Q200" s="9" t="s">
        <v>37</v>
      </c>
      <c r="R200" s="9" t="s">
        <v>1013</v>
      </c>
      <c r="S200" s="9" t="s">
        <v>39</v>
      </c>
      <c r="T200" s="9" t="s">
        <v>112</v>
      </c>
      <c r="U200" s="9" t="s">
        <v>1014</v>
      </c>
      <c r="V200" s="11">
        <v>41.88</v>
      </c>
      <c r="W200" s="9" t="str">
        <f t="shared" si="19"/>
        <v>Fast Delivery</v>
      </c>
    </row>
    <row r="201" spans="1:23" x14ac:dyDescent="0.25">
      <c r="A201" s="9">
        <v>4877</v>
      </c>
      <c r="B201" s="10" t="s">
        <v>542</v>
      </c>
      <c r="C201" s="10">
        <v>42280</v>
      </c>
      <c r="D201" s="10">
        <v>42286</v>
      </c>
      <c r="E201" s="9">
        <f t="shared" si="16"/>
        <v>2015</v>
      </c>
      <c r="F201" s="10" t="str">
        <f t="shared" si="17"/>
        <v>Oct</v>
      </c>
      <c r="G201" s="9">
        <f t="shared" si="18"/>
        <v>10</v>
      </c>
      <c r="H201" s="9">
        <f t="shared" si="15"/>
        <v>6</v>
      </c>
      <c r="I201" s="9" t="s">
        <v>43</v>
      </c>
      <c r="J201" s="9" t="s">
        <v>543</v>
      </c>
      <c r="K201" s="9" t="s">
        <v>544</v>
      </c>
      <c r="L201" s="9" t="s">
        <v>46</v>
      </c>
      <c r="M201" s="9" t="s">
        <v>23</v>
      </c>
      <c r="N201" s="9" t="s">
        <v>545</v>
      </c>
      <c r="O201" s="9" t="s">
        <v>137</v>
      </c>
      <c r="P201" s="9">
        <v>27707</v>
      </c>
      <c r="Q201" s="9" t="s">
        <v>110</v>
      </c>
      <c r="R201" s="9" t="s">
        <v>546</v>
      </c>
      <c r="S201" s="9" t="s">
        <v>66</v>
      </c>
      <c r="T201" s="9" t="s">
        <v>74</v>
      </c>
      <c r="U201" s="9" t="s">
        <v>547</v>
      </c>
      <c r="V201" s="11">
        <v>61.567999999999998</v>
      </c>
      <c r="W201" s="9" t="str">
        <f t="shared" si="19"/>
        <v>Slow Delivery</v>
      </c>
    </row>
    <row r="202" spans="1:23" x14ac:dyDescent="0.25">
      <c r="A202" s="9">
        <v>4948</v>
      </c>
      <c r="B202" s="10" t="s">
        <v>703</v>
      </c>
      <c r="C202" s="10">
        <v>42281</v>
      </c>
      <c r="D202" s="10">
        <v>42286</v>
      </c>
      <c r="E202" s="9">
        <f t="shared" si="16"/>
        <v>2015</v>
      </c>
      <c r="F202" s="10" t="str">
        <f t="shared" si="17"/>
        <v>Oct</v>
      </c>
      <c r="G202" s="9">
        <f t="shared" si="18"/>
        <v>10</v>
      </c>
      <c r="H202" s="9">
        <f t="shared" si="15"/>
        <v>5</v>
      </c>
      <c r="I202" s="9" t="s">
        <v>43</v>
      </c>
      <c r="J202" s="9" t="s">
        <v>704</v>
      </c>
      <c r="K202" s="9" t="s">
        <v>705</v>
      </c>
      <c r="L202" s="9" t="s">
        <v>22</v>
      </c>
      <c r="M202" s="9" t="s">
        <v>23</v>
      </c>
      <c r="N202" s="9" t="s">
        <v>35</v>
      </c>
      <c r="O202" s="9" t="s">
        <v>36</v>
      </c>
      <c r="P202" s="9">
        <v>98115</v>
      </c>
      <c r="Q202" s="9" t="s">
        <v>37</v>
      </c>
      <c r="R202" s="9" t="s">
        <v>706</v>
      </c>
      <c r="S202" s="9" t="s">
        <v>66</v>
      </c>
      <c r="T202" s="9" t="s">
        <v>82</v>
      </c>
      <c r="U202" s="9" t="s">
        <v>707</v>
      </c>
      <c r="V202" s="11">
        <v>29.24</v>
      </c>
      <c r="W202" s="9" t="str">
        <f t="shared" si="19"/>
        <v>Slow Delivery</v>
      </c>
    </row>
    <row r="203" spans="1:23" x14ac:dyDescent="0.25">
      <c r="A203" s="9">
        <v>318</v>
      </c>
      <c r="B203" s="10" t="s">
        <v>713</v>
      </c>
      <c r="C203" s="10">
        <v>42312</v>
      </c>
      <c r="D203" s="10">
        <v>42317</v>
      </c>
      <c r="E203" s="9">
        <f t="shared" si="16"/>
        <v>2015</v>
      </c>
      <c r="F203" s="10" t="str">
        <f t="shared" si="17"/>
        <v>Nov</v>
      </c>
      <c r="G203" s="9">
        <f t="shared" si="18"/>
        <v>11</v>
      </c>
      <c r="H203" s="9">
        <f t="shared" si="15"/>
        <v>5</v>
      </c>
      <c r="I203" s="9" t="s">
        <v>43</v>
      </c>
      <c r="J203" s="9" t="s">
        <v>714</v>
      </c>
      <c r="K203" s="9" t="s">
        <v>715</v>
      </c>
      <c r="L203" s="9" t="s">
        <v>46</v>
      </c>
      <c r="M203" s="9" t="s">
        <v>23</v>
      </c>
      <c r="N203" s="9" t="s">
        <v>47</v>
      </c>
      <c r="O203" s="9" t="s">
        <v>48</v>
      </c>
      <c r="P203" s="9">
        <v>10024</v>
      </c>
      <c r="Q203" s="9" t="s">
        <v>49</v>
      </c>
      <c r="R203" s="9" t="s">
        <v>716</v>
      </c>
      <c r="S203" s="9" t="s">
        <v>39</v>
      </c>
      <c r="T203" s="9" t="s">
        <v>40</v>
      </c>
      <c r="U203" s="9" t="s">
        <v>717</v>
      </c>
      <c r="V203" s="11">
        <v>135.88200000000001</v>
      </c>
      <c r="W203" s="9" t="str">
        <f t="shared" si="19"/>
        <v>Slow Delivery</v>
      </c>
    </row>
    <row r="204" spans="1:23" x14ac:dyDescent="0.25">
      <c r="A204" s="9">
        <v>3186</v>
      </c>
      <c r="B204" s="10" t="s">
        <v>1129</v>
      </c>
      <c r="C204" s="10">
        <v>42315</v>
      </c>
      <c r="D204" s="10">
        <v>42317</v>
      </c>
      <c r="E204" s="9">
        <f t="shared" si="16"/>
        <v>2015</v>
      </c>
      <c r="F204" s="10" t="str">
        <f t="shared" si="17"/>
        <v>Nov</v>
      </c>
      <c r="G204" s="9">
        <f t="shared" si="18"/>
        <v>11</v>
      </c>
      <c r="H204" s="9">
        <f t="shared" si="15"/>
        <v>2</v>
      </c>
      <c r="I204" s="9" t="s">
        <v>19</v>
      </c>
      <c r="J204" s="9" t="s">
        <v>1130</v>
      </c>
      <c r="K204" s="9" t="s">
        <v>1131</v>
      </c>
      <c r="L204" s="9" t="s">
        <v>87</v>
      </c>
      <c r="M204" s="9" t="s">
        <v>23</v>
      </c>
      <c r="N204" s="9" t="s">
        <v>72</v>
      </c>
      <c r="O204" s="9" t="s">
        <v>64</v>
      </c>
      <c r="P204" s="9">
        <v>77041</v>
      </c>
      <c r="Q204" s="9" t="s">
        <v>26</v>
      </c>
      <c r="R204" s="9" t="s">
        <v>1132</v>
      </c>
      <c r="S204" s="9" t="s">
        <v>66</v>
      </c>
      <c r="T204" s="9" t="s">
        <v>103</v>
      </c>
      <c r="U204" s="9" t="s">
        <v>1133</v>
      </c>
      <c r="V204" s="11">
        <v>26.045999999999999</v>
      </c>
      <c r="W204" s="9" t="str">
        <f t="shared" si="19"/>
        <v>Fast Delivery</v>
      </c>
    </row>
    <row r="205" spans="1:23" x14ac:dyDescent="0.25">
      <c r="A205" s="9">
        <v>9002</v>
      </c>
      <c r="B205" s="10" t="s">
        <v>444</v>
      </c>
      <c r="C205" s="10">
        <v>42340</v>
      </c>
      <c r="D205" s="10">
        <v>42347</v>
      </c>
      <c r="E205" s="9">
        <f t="shared" si="16"/>
        <v>2015</v>
      </c>
      <c r="F205" s="10" t="str">
        <f t="shared" si="17"/>
        <v>Dec</v>
      </c>
      <c r="G205" s="9">
        <f t="shared" si="18"/>
        <v>12</v>
      </c>
      <c r="H205" s="9">
        <f t="shared" si="15"/>
        <v>7</v>
      </c>
      <c r="I205" s="9" t="s">
        <v>43</v>
      </c>
      <c r="J205" s="9" t="s">
        <v>445</v>
      </c>
      <c r="K205" s="9" t="s">
        <v>446</v>
      </c>
      <c r="L205" s="9" t="s">
        <v>87</v>
      </c>
      <c r="M205" s="9" t="s">
        <v>23</v>
      </c>
      <c r="N205" s="9" t="s">
        <v>447</v>
      </c>
      <c r="O205" s="9" t="s">
        <v>286</v>
      </c>
      <c r="P205" s="9">
        <v>30328</v>
      </c>
      <c r="Q205" s="9" t="s">
        <v>110</v>
      </c>
      <c r="R205" s="9" t="s">
        <v>448</v>
      </c>
      <c r="S205" s="9" t="s">
        <v>28</v>
      </c>
      <c r="T205" s="9" t="s">
        <v>29</v>
      </c>
      <c r="U205" s="9" t="s">
        <v>449</v>
      </c>
      <c r="V205" s="11">
        <v>5.95</v>
      </c>
      <c r="W205" s="9" t="str">
        <f t="shared" si="19"/>
        <v>Slow Delivery</v>
      </c>
    </row>
    <row r="206" spans="1:23" x14ac:dyDescent="0.25">
      <c r="A206" s="9">
        <v>1983</v>
      </c>
      <c r="B206" s="10" t="s">
        <v>595</v>
      </c>
      <c r="C206" s="10">
        <v>42341</v>
      </c>
      <c r="D206" s="10">
        <v>42347</v>
      </c>
      <c r="E206" s="9">
        <f t="shared" si="16"/>
        <v>2015</v>
      </c>
      <c r="F206" s="10" t="str">
        <f t="shared" si="17"/>
        <v>Dec</v>
      </c>
      <c r="G206" s="9">
        <f t="shared" si="18"/>
        <v>12</v>
      </c>
      <c r="H206" s="9">
        <f t="shared" si="15"/>
        <v>6</v>
      </c>
      <c r="I206" s="9" t="s">
        <v>43</v>
      </c>
      <c r="J206" s="9" t="s">
        <v>596</v>
      </c>
      <c r="K206" s="9" t="s">
        <v>597</v>
      </c>
      <c r="L206" s="9" t="s">
        <v>22</v>
      </c>
      <c r="M206" s="9" t="s">
        <v>23</v>
      </c>
      <c r="N206" s="9" t="s">
        <v>598</v>
      </c>
      <c r="O206" s="9" t="s">
        <v>599</v>
      </c>
      <c r="P206" s="9">
        <v>73120</v>
      </c>
      <c r="Q206" s="9" t="s">
        <v>26</v>
      </c>
      <c r="R206" s="9" t="s">
        <v>600</v>
      </c>
      <c r="S206" s="9" t="s">
        <v>28</v>
      </c>
      <c r="T206" s="9" t="s">
        <v>51</v>
      </c>
      <c r="U206" s="9" t="s">
        <v>601</v>
      </c>
      <c r="V206" s="11">
        <v>479.96</v>
      </c>
      <c r="W206" s="9" t="str">
        <f t="shared" si="19"/>
        <v>Slow Delivery</v>
      </c>
    </row>
    <row r="207" spans="1:23" x14ac:dyDescent="0.25">
      <c r="A207" s="9">
        <v>181</v>
      </c>
      <c r="B207" s="10" t="s">
        <v>892</v>
      </c>
      <c r="C207" s="10">
        <v>42343</v>
      </c>
      <c r="D207" s="10">
        <v>42347</v>
      </c>
      <c r="E207" s="9">
        <f t="shared" si="16"/>
        <v>2015</v>
      </c>
      <c r="F207" s="10" t="str">
        <f t="shared" si="17"/>
        <v>Dec</v>
      </c>
      <c r="G207" s="9">
        <f t="shared" si="18"/>
        <v>12</v>
      </c>
      <c r="H207" s="9">
        <f t="shared" si="15"/>
        <v>4</v>
      </c>
      <c r="I207" s="9" t="s">
        <v>32</v>
      </c>
      <c r="J207" s="9" t="s">
        <v>893</v>
      </c>
      <c r="K207" s="9" t="s">
        <v>894</v>
      </c>
      <c r="L207" s="9" t="s">
        <v>87</v>
      </c>
      <c r="M207" s="9" t="s">
        <v>23</v>
      </c>
      <c r="N207" s="9" t="s">
        <v>767</v>
      </c>
      <c r="O207" s="9" t="s">
        <v>57</v>
      </c>
      <c r="P207" s="9">
        <v>62521</v>
      </c>
      <c r="Q207" s="9" t="s">
        <v>26</v>
      </c>
      <c r="R207" s="9" t="s">
        <v>768</v>
      </c>
      <c r="S207" s="9" t="s">
        <v>66</v>
      </c>
      <c r="T207" s="9" t="s">
        <v>74</v>
      </c>
      <c r="U207" s="9" t="s">
        <v>769</v>
      </c>
      <c r="V207" s="11">
        <v>24.815999999999999</v>
      </c>
      <c r="W207" s="9" t="str">
        <f t="shared" si="19"/>
        <v>Slow Delivery</v>
      </c>
    </row>
    <row r="208" spans="1:23" x14ac:dyDescent="0.25">
      <c r="A208" s="9">
        <v>5572</v>
      </c>
      <c r="B208" s="10" t="s">
        <v>905</v>
      </c>
      <c r="C208" s="10">
        <v>42343</v>
      </c>
      <c r="D208" s="10">
        <v>42347</v>
      </c>
      <c r="E208" s="9">
        <f t="shared" si="16"/>
        <v>2015</v>
      </c>
      <c r="F208" s="10" t="str">
        <f t="shared" si="17"/>
        <v>Dec</v>
      </c>
      <c r="G208" s="9">
        <f t="shared" si="18"/>
        <v>12</v>
      </c>
      <c r="H208" s="9">
        <f t="shared" si="15"/>
        <v>4</v>
      </c>
      <c r="I208" s="9" t="s">
        <v>43</v>
      </c>
      <c r="J208" s="9" t="s">
        <v>906</v>
      </c>
      <c r="K208" s="9" t="s">
        <v>907</v>
      </c>
      <c r="L208" s="9" t="s">
        <v>87</v>
      </c>
      <c r="M208" s="9" t="s">
        <v>23</v>
      </c>
      <c r="N208" s="9" t="s">
        <v>249</v>
      </c>
      <c r="O208" s="9" t="s">
        <v>250</v>
      </c>
      <c r="P208" s="9">
        <v>43229</v>
      </c>
      <c r="Q208" s="9" t="s">
        <v>49</v>
      </c>
      <c r="R208" s="9" t="s">
        <v>908</v>
      </c>
      <c r="S208" s="9" t="s">
        <v>66</v>
      </c>
      <c r="T208" s="9" t="s">
        <v>201</v>
      </c>
      <c r="U208" s="9" t="s">
        <v>909</v>
      </c>
      <c r="V208" s="11">
        <v>98.376000000000005</v>
      </c>
      <c r="W208" s="9" t="str">
        <f t="shared" si="19"/>
        <v>Slow Delivery</v>
      </c>
    </row>
    <row r="209" spans="1:23" x14ac:dyDescent="0.25">
      <c r="A209" s="9">
        <v>1679</v>
      </c>
      <c r="B209" s="10" t="s">
        <v>1102</v>
      </c>
      <c r="C209" s="10">
        <v>42254</v>
      </c>
      <c r="D209" s="10">
        <v>42260</v>
      </c>
      <c r="E209" s="9">
        <f t="shared" si="16"/>
        <v>2015</v>
      </c>
      <c r="F209" s="10" t="str">
        <f t="shared" si="17"/>
        <v>Sep</v>
      </c>
      <c r="G209" s="9">
        <f t="shared" si="18"/>
        <v>9</v>
      </c>
      <c r="H209" s="9">
        <f t="shared" si="15"/>
        <v>6</v>
      </c>
      <c r="I209" s="9" t="s">
        <v>43</v>
      </c>
      <c r="J209" s="9" t="s">
        <v>1103</v>
      </c>
      <c r="K209" s="9" t="s">
        <v>1104</v>
      </c>
      <c r="L209" s="9" t="s">
        <v>87</v>
      </c>
      <c r="M209" s="9" t="s">
        <v>23</v>
      </c>
      <c r="N209" s="9" t="s">
        <v>149</v>
      </c>
      <c r="O209" s="9" t="s">
        <v>150</v>
      </c>
      <c r="P209" s="9">
        <v>19134</v>
      </c>
      <c r="Q209" s="9" t="s">
        <v>49</v>
      </c>
      <c r="R209" s="9" t="s">
        <v>1105</v>
      </c>
      <c r="S209" s="9" t="s">
        <v>66</v>
      </c>
      <c r="T209" s="9" t="s">
        <v>74</v>
      </c>
      <c r="U209" s="9" t="s">
        <v>1106</v>
      </c>
      <c r="V209" s="11">
        <v>64.784000000000006</v>
      </c>
      <c r="W209" s="9" t="str">
        <f t="shared" si="19"/>
        <v>Slow Delivery</v>
      </c>
    </row>
    <row r="210" spans="1:23" x14ac:dyDescent="0.25">
      <c r="A210" s="9">
        <v>2718</v>
      </c>
      <c r="B210" s="10" t="s">
        <v>1107</v>
      </c>
      <c r="C210" s="10">
        <v>42254</v>
      </c>
      <c r="D210" s="10">
        <v>42260</v>
      </c>
      <c r="E210" s="9">
        <f t="shared" si="16"/>
        <v>2015</v>
      </c>
      <c r="F210" s="10" t="str">
        <f t="shared" si="17"/>
        <v>Sep</v>
      </c>
      <c r="G210" s="9">
        <f t="shared" si="18"/>
        <v>9</v>
      </c>
      <c r="H210" s="9">
        <f t="shared" si="15"/>
        <v>6</v>
      </c>
      <c r="I210" s="9" t="s">
        <v>43</v>
      </c>
      <c r="J210" s="9" t="s">
        <v>1108</v>
      </c>
      <c r="K210" s="9" t="s">
        <v>1109</v>
      </c>
      <c r="L210" s="9" t="s">
        <v>22</v>
      </c>
      <c r="M210" s="9" t="s">
        <v>23</v>
      </c>
      <c r="N210" s="9" t="s">
        <v>47</v>
      </c>
      <c r="O210" s="9" t="s">
        <v>48</v>
      </c>
      <c r="P210" s="9">
        <v>10024</v>
      </c>
      <c r="Q210" s="9" t="s">
        <v>49</v>
      </c>
      <c r="R210" s="9" t="s">
        <v>1110</v>
      </c>
      <c r="S210" s="9" t="s">
        <v>28</v>
      </c>
      <c r="T210" s="9" t="s">
        <v>51</v>
      </c>
      <c r="U210" s="9" t="s">
        <v>1111</v>
      </c>
      <c r="V210" s="11">
        <v>377.97</v>
      </c>
      <c r="W210" s="9" t="str">
        <f t="shared" si="19"/>
        <v>Slow Delivery</v>
      </c>
    </row>
    <row r="211" spans="1:23" x14ac:dyDescent="0.25">
      <c r="A211" s="9">
        <v>5979</v>
      </c>
      <c r="B211" s="10" t="s">
        <v>1112</v>
      </c>
      <c r="C211" s="10">
        <v>42254</v>
      </c>
      <c r="D211" s="10">
        <v>42260</v>
      </c>
      <c r="E211" s="9">
        <f t="shared" si="16"/>
        <v>2015</v>
      </c>
      <c r="F211" s="10" t="str">
        <f t="shared" si="17"/>
        <v>Sep</v>
      </c>
      <c r="G211" s="9">
        <f t="shared" si="18"/>
        <v>9</v>
      </c>
      <c r="H211" s="9">
        <f t="shared" si="15"/>
        <v>6</v>
      </c>
      <c r="I211" s="9" t="s">
        <v>43</v>
      </c>
      <c r="J211" s="9" t="s">
        <v>1113</v>
      </c>
      <c r="K211" s="9" t="s">
        <v>1114</v>
      </c>
      <c r="L211" s="9" t="s">
        <v>46</v>
      </c>
      <c r="M211" s="9" t="s">
        <v>23</v>
      </c>
      <c r="N211" s="9" t="s">
        <v>1115</v>
      </c>
      <c r="O211" s="9" t="s">
        <v>599</v>
      </c>
      <c r="P211" s="9">
        <v>74133</v>
      </c>
      <c r="Q211" s="9" t="s">
        <v>26</v>
      </c>
      <c r="R211" s="9" t="s">
        <v>1116</v>
      </c>
      <c r="S211" s="9" t="s">
        <v>39</v>
      </c>
      <c r="T211" s="9" t="s">
        <v>480</v>
      </c>
      <c r="U211" s="9" t="s">
        <v>498</v>
      </c>
      <c r="V211" s="11">
        <v>429.9</v>
      </c>
      <c r="W211" s="9" t="str">
        <f t="shared" si="19"/>
        <v>Slow Delivery</v>
      </c>
    </row>
    <row r="212" spans="1:23" x14ac:dyDescent="0.25">
      <c r="A212" s="9">
        <v>837</v>
      </c>
      <c r="B212" s="10" t="s">
        <v>1225</v>
      </c>
      <c r="C212" s="10">
        <v>42255</v>
      </c>
      <c r="D212" s="10">
        <v>42260</v>
      </c>
      <c r="E212" s="9">
        <f t="shared" si="16"/>
        <v>2015</v>
      </c>
      <c r="F212" s="10" t="str">
        <f t="shared" si="17"/>
        <v>Sep</v>
      </c>
      <c r="G212" s="9">
        <f t="shared" si="18"/>
        <v>9</v>
      </c>
      <c r="H212" s="9">
        <f t="shared" si="15"/>
        <v>5</v>
      </c>
      <c r="I212" s="9" t="s">
        <v>32</v>
      </c>
      <c r="J212" s="9" t="s">
        <v>1226</v>
      </c>
      <c r="K212" s="9" t="s">
        <v>1227</v>
      </c>
      <c r="L212" s="9" t="s">
        <v>22</v>
      </c>
      <c r="M212" s="9" t="s">
        <v>23</v>
      </c>
      <c r="N212" s="9" t="s">
        <v>1228</v>
      </c>
      <c r="O212" s="9" t="s">
        <v>64</v>
      </c>
      <c r="P212" s="9">
        <v>75701</v>
      </c>
      <c r="Q212" s="9" t="s">
        <v>26</v>
      </c>
      <c r="R212" s="9" t="s">
        <v>1229</v>
      </c>
      <c r="S212" s="9" t="s">
        <v>66</v>
      </c>
      <c r="T212" s="9" t="s">
        <v>103</v>
      </c>
      <c r="U212" s="9" t="s">
        <v>1230</v>
      </c>
      <c r="V212" s="11">
        <v>51.183999999999997</v>
      </c>
      <c r="W212" s="9" t="str">
        <f t="shared" si="19"/>
        <v>Slow Delivery</v>
      </c>
    </row>
    <row r="213" spans="1:23" x14ac:dyDescent="0.25">
      <c r="A213" s="9">
        <v>4134</v>
      </c>
      <c r="B213" s="10" t="s">
        <v>1237</v>
      </c>
      <c r="C213" s="10">
        <v>42255</v>
      </c>
      <c r="D213" s="10">
        <v>42260</v>
      </c>
      <c r="E213" s="9">
        <f t="shared" si="16"/>
        <v>2015</v>
      </c>
      <c r="F213" s="10" t="str">
        <f t="shared" si="17"/>
        <v>Sep</v>
      </c>
      <c r="G213" s="9">
        <f t="shared" si="18"/>
        <v>9</v>
      </c>
      <c r="H213" s="9">
        <f t="shared" si="15"/>
        <v>5</v>
      </c>
      <c r="I213" s="9" t="s">
        <v>43</v>
      </c>
      <c r="J213" s="9" t="s">
        <v>1238</v>
      </c>
      <c r="K213" s="9" t="s">
        <v>1239</v>
      </c>
      <c r="L213" s="9" t="s">
        <v>22</v>
      </c>
      <c r="M213" s="9" t="s">
        <v>23</v>
      </c>
      <c r="N213" s="9" t="s">
        <v>932</v>
      </c>
      <c r="O213" s="9" t="s">
        <v>298</v>
      </c>
      <c r="P213" s="9">
        <v>23320</v>
      </c>
      <c r="Q213" s="9" t="s">
        <v>110</v>
      </c>
      <c r="R213" s="9" t="s">
        <v>1240</v>
      </c>
      <c r="S213" s="9" t="s">
        <v>66</v>
      </c>
      <c r="T213" s="9" t="s">
        <v>67</v>
      </c>
      <c r="U213" s="9" t="s">
        <v>1241</v>
      </c>
      <c r="V213" s="11">
        <v>45</v>
      </c>
      <c r="W213" s="9" t="str">
        <f t="shared" si="19"/>
        <v>Slow Delivery</v>
      </c>
    </row>
    <row r="214" spans="1:23" x14ac:dyDescent="0.25">
      <c r="A214" s="9">
        <v>8707</v>
      </c>
      <c r="B214" s="10" t="s">
        <v>1256</v>
      </c>
      <c r="C214" s="10">
        <v>42255</v>
      </c>
      <c r="D214" s="10">
        <v>42260</v>
      </c>
      <c r="E214" s="9">
        <f t="shared" si="16"/>
        <v>2015</v>
      </c>
      <c r="F214" s="10" t="str">
        <f t="shared" si="17"/>
        <v>Sep</v>
      </c>
      <c r="G214" s="9">
        <f t="shared" si="18"/>
        <v>9</v>
      </c>
      <c r="H214" s="9">
        <f t="shared" si="15"/>
        <v>5</v>
      </c>
      <c r="I214" s="9" t="s">
        <v>43</v>
      </c>
      <c r="J214" s="9" t="s">
        <v>1257</v>
      </c>
      <c r="K214" s="9" t="s">
        <v>1258</v>
      </c>
      <c r="L214" s="9" t="s">
        <v>46</v>
      </c>
      <c r="M214" s="9" t="s">
        <v>23</v>
      </c>
      <c r="N214" s="9" t="s">
        <v>47</v>
      </c>
      <c r="O214" s="9" t="s">
        <v>48</v>
      </c>
      <c r="P214" s="9">
        <v>10009</v>
      </c>
      <c r="Q214" s="9" t="s">
        <v>49</v>
      </c>
      <c r="R214" s="9" t="s">
        <v>1259</v>
      </c>
      <c r="S214" s="9" t="s">
        <v>39</v>
      </c>
      <c r="T214" s="9" t="s">
        <v>40</v>
      </c>
      <c r="U214" s="9" t="s">
        <v>1260</v>
      </c>
      <c r="V214" s="11">
        <v>172.76400000000001</v>
      </c>
      <c r="W214" s="9" t="str">
        <f t="shared" si="19"/>
        <v>Slow Delivery</v>
      </c>
    </row>
    <row r="215" spans="1:23" x14ac:dyDescent="0.25">
      <c r="A215" s="9">
        <v>9450</v>
      </c>
      <c r="B215" s="10" t="s">
        <v>1261</v>
      </c>
      <c r="C215" s="10">
        <v>42255</v>
      </c>
      <c r="D215" s="10">
        <v>42260</v>
      </c>
      <c r="E215" s="9">
        <f t="shared" si="16"/>
        <v>2015</v>
      </c>
      <c r="F215" s="10" t="str">
        <f t="shared" si="17"/>
        <v>Sep</v>
      </c>
      <c r="G215" s="9">
        <f t="shared" si="18"/>
        <v>9</v>
      </c>
      <c r="H215" s="9">
        <f t="shared" si="15"/>
        <v>5</v>
      </c>
      <c r="I215" s="9" t="s">
        <v>43</v>
      </c>
      <c r="J215" s="9" t="s">
        <v>1262</v>
      </c>
      <c r="K215" s="9" t="s">
        <v>1263</v>
      </c>
      <c r="L215" s="9" t="s">
        <v>22</v>
      </c>
      <c r="M215" s="9" t="s">
        <v>23</v>
      </c>
      <c r="N215" s="9" t="s">
        <v>143</v>
      </c>
      <c r="O215" s="9" t="s">
        <v>80</v>
      </c>
      <c r="P215" s="9">
        <v>94109</v>
      </c>
      <c r="Q215" s="9" t="s">
        <v>37</v>
      </c>
      <c r="R215" s="9" t="s">
        <v>1264</v>
      </c>
      <c r="S215" s="9" t="s">
        <v>66</v>
      </c>
      <c r="T215" s="9" t="s">
        <v>103</v>
      </c>
      <c r="U215" s="9" t="s">
        <v>1265</v>
      </c>
      <c r="V215" s="11">
        <v>8.6080000000000005</v>
      </c>
      <c r="W215" s="9" t="str">
        <f t="shared" si="19"/>
        <v>Slow Delivery</v>
      </c>
    </row>
    <row r="216" spans="1:23" x14ac:dyDescent="0.25">
      <c r="A216" s="9">
        <v>7982</v>
      </c>
      <c r="B216" s="10" t="s">
        <v>1435</v>
      </c>
      <c r="C216" s="10">
        <v>42257</v>
      </c>
      <c r="D216" s="10">
        <v>42260</v>
      </c>
      <c r="E216" s="9">
        <f t="shared" si="16"/>
        <v>2015</v>
      </c>
      <c r="F216" s="10" t="str">
        <f t="shared" si="17"/>
        <v>Sep</v>
      </c>
      <c r="G216" s="9">
        <f t="shared" si="18"/>
        <v>9</v>
      </c>
      <c r="H216" s="9">
        <f t="shared" si="15"/>
        <v>3</v>
      </c>
      <c r="I216" s="9" t="s">
        <v>19</v>
      </c>
      <c r="J216" s="9" t="s">
        <v>1436</v>
      </c>
      <c r="K216" s="9" t="s">
        <v>1437</v>
      </c>
      <c r="L216" s="9" t="s">
        <v>22</v>
      </c>
      <c r="M216" s="9" t="s">
        <v>23</v>
      </c>
      <c r="N216" s="9" t="s">
        <v>1438</v>
      </c>
      <c r="O216" s="9" t="s">
        <v>101</v>
      </c>
      <c r="P216" s="9">
        <v>7011</v>
      </c>
      <c r="Q216" s="9" t="s">
        <v>49</v>
      </c>
      <c r="R216" s="9" t="s">
        <v>1439</v>
      </c>
      <c r="S216" s="9" t="s">
        <v>66</v>
      </c>
      <c r="T216" s="9" t="s">
        <v>221</v>
      </c>
      <c r="U216" s="9" t="s">
        <v>1440</v>
      </c>
      <c r="V216" s="11">
        <v>81.92</v>
      </c>
      <c r="W216" s="9" t="str">
        <f t="shared" si="19"/>
        <v>Fast Delivery</v>
      </c>
    </row>
    <row r="217" spans="1:23" x14ac:dyDescent="0.25">
      <c r="A217" s="9">
        <v>9479</v>
      </c>
      <c r="B217" s="10" t="s">
        <v>1123</v>
      </c>
      <c r="C217" s="10">
        <v>42254</v>
      </c>
      <c r="D217" s="10">
        <v>42261</v>
      </c>
      <c r="E217" s="9">
        <f t="shared" si="16"/>
        <v>2015</v>
      </c>
      <c r="F217" s="10" t="str">
        <f t="shared" si="17"/>
        <v>Sep</v>
      </c>
      <c r="G217" s="9">
        <f t="shared" si="18"/>
        <v>9</v>
      </c>
      <c r="H217" s="9">
        <f t="shared" si="15"/>
        <v>7</v>
      </c>
      <c r="I217" s="9" t="s">
        <v>43</v>
      </c>
      <c r="J217" s="9" t="s">
        <v>1124</v>
      </c>
      <c r="K217" s="9" t="s">
        <v>1125</v>
      </c>
      <c r="L217" s="9" t="s">
        <v>22</v>
      </c>
      <c r="M217" s="9" t="s">
        <v>23</v>
      </c>
      <c r="N217" s="9" t="s">
        <v>1126</v>
      </c>
      <c r="O217" s="9" t="s">
        <v>57</v>
      </c>
      <c r="P217" s="9">
        <v>60543</v>
      </c>
      <c r="Q217" s="9" t="s">
        <v>26</v>
      </c>
      <c r="R217" s="9" t="s">
        <v>1127</v>
      </c>
      <c r="S217" s="9" t="s">
        <v>66</v>
      </c>
      <c r="T217" s="9" t="s">
        <v>67</v>
      </c>
      <c r="U217" s="9" t="s">
        <v>1128</v>
      </c>
      <c r="V217" s="11">
        <v>13.16</v>
      </c>
      <c r="W217" s="9" t="str">
        <f t="shared" si="19"/>
        <v>Slow Delivery</v>
      </c>
    </row>
    <row r="218" spans="1:23" x14ac:dyDescent="0.25">
      <c r="A218" s="9">
        <v>4850</v>
      </c>
      <c r="B218" s="10" t="s">
        <v>1247</v>
      </c>
      <c r="C218" s="10">
        <v>42255</v>
      </c>
      <c r="D218" s="10">
        <v>42261</v>
      </c>
      <c r="E218" s="9">
        <f t="shared" si="16"/>
        <v>2015</v>
      </c>
      <c r="F218" s="10" t="str">
        <f t="shared" si="17"/>
        <v>Sep</v>
      </c>
      <c r="G218" s="9">
        <f t="shared" si="18"/>
        <v>9</v>
      </c>
      <c r="H218" s="9">
        <f t="shared" si="15"/>
        <v>6</v>
      </c>
      <c r="I218" s="9" t="s">
        <v>43</v>
      </c>
      <c r="J218" s="9" t="s">
        <v>1248</v>
      </c>
      <c r="K218" s="9" t="s">
        <v>1249</v>
      </c>
      <c r="L218" s="9" t="s">
        <v>22</v>
      </c>
      <c r="M218" s="9" t="s">
        <v>23</v>
      </c>
      <c r="N218" s="9" t="s">
        <v>1250</v>
      </c>
      <c r="O218" s="9" t="s">
        <v>36</v>
      </c>
      <c r="P218" s="9">
        <v>99301</v>
      </c>
      <c r="Q218" s="9" t="s">
        <v>37</v>
      </c>
      <c r="R218" s="9" t="s">
        <v>913</v>
      </c>
      <c r="S218" s="9" t="s">
        <v>66</v>
      </c>
      <c r="T218" s="9" t="s">
        <v>158</v>
      </c>
      <c r="U218" s="9" t="s">
        <v>914</v>
      </c>
      <c r="V218" s="11">
        <v>5.88</v>
      </c>
      <c r="W218" s="9" t="str">
        <f t="shared" si="19"/>
        <v>Slow Delivery</v>
      </c>
    </row>
    <row r="219" spans="1:23" x14ac:dyDescent="0.25">
      <c r="A219" s="9">
        <v>3597</v>
      </c>
      <c r="B219" s="10" t="s">
        <v>1368</v>
      </c>
      <c r="C219" s="10">
        <v>42256</v>
      </c>
      <c r="D219" s="10">
        <v>42261</v>
      </c>
      <c r="E219" s="9">
        <f t="shared" si="16"/>
        <v>2015</v>
      </c>
      <c r="F219" s="10" t="str">
        <f t="shared" si="17"/>
        <v>Sep</v>
      </c>
      <c r="G219" s="9">
        <f t="shared" si="18"/>
        <v>9</v>
      </c>
      <c r="H219" s="9">
        <f t="shared" si="15"/>
        <v>5</v>
      </c>
      <c r="I219" s="9" t="s">
        <v>32</v>
      </c>
      <c r="J219" s="9" t="s">
        <v>1369</v>
      </c>
      <c r="K219" s="9" t="s">
        <v>1370</v>
      </c>
      <c r="L219" s="9" t="s">
        <v>22</v>
      </c>
      <c r="M219" s="9" t="s">
        <v>23</v>
      </c>
      <c r="N219" s="9" t="s">
        <v>149</v>
      </c>
      <c r="O219" s="9" t="s">
        <v>150</v>
      </c>
      <c r="P219" s="9">
        <v>19140</v>
      </c>
      <c r="Q219" s="9" t="s">
        <v>49</v>
      </c>
      <c r="R219" s="9" t="s">
        <v>1371</v>
      </c>
      <c r="S219" s="9" t="s">
        <v>66</v>
      </c>
      <c r="T219" s="9" t="s">
        <v>201</v>
      </c>
      <c r="U219" s="9" t="s">
        <v>1372</v>
      </c>
      <c r="V219" s="11">
        <v>15.552</v>
      </c>
      <c r="W219" s="9" t="str">
        <f t="shared" si="19"/>
        <v>Slow Delivery</v>
      </c>
    </row>
    <row r="220" spans="1:23" x14ac:dyDescent="0.25">
      <c r="A220" s="9">
        <v>5854</v>
      </c>
      <c r="B220" s="10" t="s">
        <v>1430</v>
      </c>
      <c r="C220" s="10">
        <v>42257</v>
      </c>
      <c r="D220" s="10">
        <v>42261</v>
      </c>
      <c r="E220" s="9">
        <f t="shared" si="16"/>
        <v>2015</v>
      </c>
      <c r="F220" s="10" t="str">
        <f t="shared" si="17"/>
        <v>Sep</v>
      </c>
      <c r="G220" s="9">
        <f t="shared" si="18"/>
        <v>9</v>
      </c>
      <c r="H220" s="9">
        <f t="shared" si="15"/>
        <v>4</v>
      </c>
      <c r="I220" s="9" t="s">
        <v>43</v>
      </c>
      <c r="J220" s="9" t="s">
        <v>1431</v>
      </c>
      <c r="K220" s="9" t="s">
        <v>1432</v>
      </c>
      <c r="L220" s="9" t="s">
        <v>46</v>
      </c>
      <c r="M220" s="9" t="s">
        <v>23</v>
      </c>
      <c r="N220" s="9" t="s">
        <v>297</v>
      </c>
      <c r="O220" s="9" t="s">
        <v>298</v>
      </c>
      <c r="P220" s="9">
        <v>23464</v>
      </c>
      <c r="Q220" s="9" t="s">
        <v>110</v>
      </c>
      <c r="R220" s="9" t="s">
        <v>1433</v>
      </c>
      <c r="S220" s="9" t="s">
        <v>66</v>
      </c>
      <c r="T220" s="9" t="s">
        <v>103</v>
      </c>
      <c r="U220" s="9" t="s">
        <v>1434</v>
      </c>
      <c r="V220" s="11">
        <v>9.64</v>
      </c>
      <c r="W220" s="9" t="str">
        <f t="shared" si="19"/>
        <v>Slow Delivery</v>
      </c>
    </row>
    <row r="221" spans="1:23" x14ac:dyDescent="0.25">
      <c r="A221" s="9">
        <v>5290</v>
      </c>
      <c r="B221" s="10" t="s">
        <v>1251</v>
      </c>
      <c r="C221" s="10">
        <v>42255</v>
      </c>
      <c r="D221" s="10">
        <v>42262</v>
      </c>
      <c r="E221" s="9">
        <f t="shared" si="16"/>
        <v>2015</v>
      </c>
      <c r="F221" s="10" t="str">
        <f t="shared" si="17"/>
        <v>Sep</v>
      </c>
      <c r="G221" s="9">
        <f t="shared" si="18"/>
        <v>9</v>
      </c>
      <c r="H221" s="9">
        <f t="shared" si="15"/>
        <v>7</v>
      </c>
      <c r="I221" s="9" t="s">
        <v>43</v>
      </c>
      <c r="J221" s="9" t="s">
        <v>1252</v>
      </c>
      <c r="K221" s="9" t="s">
        <v>1253</v>
      </c>
      <c r="L221" s="9" t="s">
        <v>22</v>
      </c>
      <c r="M221" s="9" t="s">
        <v>23</v>
      </c>
      <c r="N221" s="9" t="s">
        <v>72</v>
      </c>
      <c r="O221" s="9" t="s">
        <v>64</v>
      </c>
      <c r="P221" s="9">
        <v>77036</v>
      </c>
      <c r="Q221" s="9" t="s">
        <v>26</v>
      </c>
      <c r="R221" s="9" t="s">
        <v>1254</v>
      </c>
      <c r="S221" s="9" t="s">
        <v>66</v>
      </c>
      <c r="T221" s="9" t="s">
        <v>201</v>
      </c>
      <c r="U221" s="9" t="s">
        <v>1255</v>
      </c>
      <c r="V221" s="11">
        <v>17.904</v>
      </c>
      <c r="W221" s="9" t="str">
        <f t="shared" si="19"/>
        <v>Slow Delivery</v>
      </c>
    </row>
    <row r="222" spans="1:23" x14ac:dyDescent="0.25">
      <c r="A222" s="9">
        <v>6312</v>
      </c>
      <c r="B222" s="10" t="s">
        <v>1568</v>
      </c>
      <c r="C222" s="10">
        <v>42258</v>
      </c>
      <c r="D222" s="10">
        <v>42263</v>
      </c>
      <c r="E222" s="9">
        <f t="shared" si="16"/>
        <v>2015</v>
      </c>
      <c r="F222" s="10" t="str">
        <f t="shared" si="17"/>
        <v>Sep</v>
      </c>
      <c r="G222" s="9">
        <f t="shared" si="18"/>
        <v>9</v>
      </c>
      <c r="H222" s="9">
        <f t="shared" si="15"/>
        <v>5</v>
      </c>
      <c r="I222" s="9" t="s">
        <v>43</v>
      </c>
      <c r="J222" s="9" t="s">
        <v>1569</v>
      </c>
      <c r="K222" s="9" t="s">
        <v>1570</v>
      </c>
      <c r="L222" s="9" t="s">
        <v>22</v>
      </c>
      <c r="M222" s="9" t="s">
        <v>23</v>
      </c>
      <c r="N222" s="9" t="s">
        <v>1571</v>
      </c>
      <c r="O222" s="9" t="s">
        <v>80</v>
      </c>
      <c r="P222" s="9">
        <v>93030</v>
      </c>
      <c r="Q222" s="9" t="s">
        <v>37</v>
      </c>
      <c r="R222" s="9" t="s">
        <v>1572</v>
      </c>
      <c r="S222" s="9" t="s">
        <v>39</v>
      </c>
      <c r="T222" s="9" t="s">
        <v>112</v>
      </c>
      <c r="U222" s="9" t="s">
        <v>1573</v>
      </c>
      <c r="V222" s="11">
        <v>127.95</v>
      </c>
      <c r="W222" s="9" t="str">
        <f t="shared" si="19"/>
        <v>Slow Delivery</v>
      </c>
    </row>
    <row r="223" spans="1:23" x14ac:dyDescent="0.25">
      <c r="A223" s="9">
        <v>3161</v>
      </c>
      <c r="B223" s="10" t="s">
        <v>1673</v>
      </c>
      <c r="C223" s="10">
        <v>42259</v>
      </c>
      <c r="D223" s="10">
        <v>42263</v>
      </c>
      <c r="E223" s="9">
        <f t="shared" si="16"/>
        <v>2015</v>
      </c>
      <c r="F223" s="10" t="str">
        <f t="shared" si="17"/>
        <v>Sep</v>
      </c>
      <c r="G223" s="9">
        <f t="shared" si="18"/>
        <v>9</v>
      </c>
      <c r="H223" s="9">
        <f t="shared" si="15"/>
        <v>4</v>
      </c>
      <c r="I223" s="9" t="s">
        <v>32</v>
      </c>
      <c r="J223" s="9" t="s">
        <v>1674</v>
      </c>
      <c r="K223" s="9" t="s">
        <v>1675</v>
      </c>
      <c r="L223" s="9" t="s">
        <v>22</v>
      </c>
      <c r="M223" s="9" t="s">
        <v>23</v>
      </c>
      <c r="N223" s="9" t="s">
        <v>72</v>
      </c>
      <c r="O223" s="9" t="s">
        <v>64</v>
      </c>
      <c r="P223" s="9">
        <v>77070</v>
      </c>
      <c r="Q223" s="9" t="s">
        <v>26</v>
      </c>
      <c r="R223" s="9" t="s">
        <v>1676</v>
      </c>
      <c r="S223" s="9" t="s">
        <v>66</v>
      </c>
      <c r="T223" s="9" t="s">
        <v>103</v>
      </c>
      <c r="U223" s="9" t="s">
        <v>1677</v>
      </c>
      <c r="V223" s="11">
        <v>5.18</v>
      </c>
      <c r="W223" s="9" t="str">
        <f t="shared" si="19"/>
        <v>Slow Delivery</v>
      </c>
    </row>
    <row r="224" spans="1:23" x14ac:dyDescent="0.25">
      <c r="A224" s="9">
        <v>705</v>
      </c>
      <c r="B224" s="10" t="s">
        <v>1667</v>
      </c>
      <c r="C224" s="10">
        <v>42259</v>
      </c>
      <c r="D224" s="10">
        <v>42264</v>
      </c>
      <c r="E224" s="9">
        <f t="shared" si="16"/>
        <v>2015</v>
      </c>
      <c r="F224" s="10" t="str">
        <f t="shared" si="17"/>
        <v>Sep</v>
      </c>
      <c r="G224" s="9">
        <f t="shared" si="18"/>
        <v>9</v>
      </c>
      <c r="H224" s="9">
        <f t="shared" si="15"/>
        <v>5</v>
      </c>
      <c r="I224" s="9" t="s">
        <v>43</v>
      </c>
      <c r="J224" s="9" t="s">
        <v>1668</v>
      </c>
      <c r="K224" s="9" t="s">
        <v>1669</v>
      </c>
      <c r="L224" s="9" t="s">
        <v>87</v>
      </c>
      <c r="M224" s="9" t="s">
        <v>23</v>
      </c>
      <c r="N224" s="9" t="s">
        <v>1670</v>
      </c>
      <c r="O224" s="9" t="s">
        <v>137</v>
      </c>
      <c r="P224" s="9">
        <v>27511</v>
      </c>
      <c r="Q224" s="9" t="s">
        <v>110</v>
      </c>
      <c r="R224" s="9" t="s">
        <v>1671</v>
      </c>
      <c r="S224" s="9" t="s">
        <v>66</v>
      </c>
      <c r="T224" s="9" t="s">
        <v>201</v>
      </c>
      <c r="U224" s="9" t="s">
        <v>1672</v>
      </c>
      <c r="V224" s="11">
        <v>10.368</v>
      </c>
      <c r="W224" s="9" t="str">
        <f t="shared" si="19"/>
        <v>Slow Delivery</v>
      </c>
    </row>
    <row r="225" spans="1:23" x14ac:dyDescent="0.25">
      <c r="A225" s="9">
        <v>9426</v>
      </c>
      <c r="B225" s="10" t="s">
        <v>1683</v>
      </c>
      <c r="C225" s="10">
        <v>42259</v>
      </c>
      <c r="D225" s="10">
        <v>42264</v>
      </c>
      <c r="E225" s="9">
        <f t="shared" si="16"/>
        <v>2015</v>
      </c>
      <c r="F225" s="10" t="str">
        <f t="shared" si="17"/>
        <v>Sep</v>
      </c>
      <c r="G225" s="9">
        <f t="shared" si="18"/>
        <v>9</v>
      </c>
      <c r="H225" s="9">
        <f t="shared" si="15"/>
        <v>5</v>
      </c>
      <c r="I225" s="9" t="s">
        <v>32</v>
      </c>
      <c r="J225" s="9" t="s">
        <v>1684</v>
      </c>
      <c r="K225" s="9" t="s">
        <v>1685</v>
      </c>
      <c r="L225" s="9" t="s">
        <v>22</v>
      </c>
      <c r="M225" s="9" t="s">
        <v>23</v>
      </c>
      <c r="N225" s="9" t="s">
        <v>47</v>
      </c>
      <c r="O225" s="9" t="s">
        <v>48</v>
      </c>
      <c r="P225" s="9">
        <v>10035</v>
      </c>
      <c r="Q225" s="9" t="s">
        <v>49</v>
      </c>
      <c r="R225" s="9" t="s">
        <v>1686</v>
      </c>
      <c r="S225" s="9" t="s">
        <v>39</v>
      </c>
      <c r="T225" s="9" t="s">
        <v>40</v>
      </c>
      <c r="U225" s="9" t="s">
        <v>1687</v>
      </c>
      <c r="V225" s="11">
        <v>3785.2919999999999</v>
      </c>
      <c r="W225" s="9" t="str">
        <f t="shared" si="19"/>
        <v>Slow Delivery</v>
      </c>
    </row>
    <row r="226" spans="1:23" x14ac:dyDescent="0.25">
      <c r="A226" s="9">
        <v>5449</v>
      </c>
      <c r="B226" s="10" t="s">
        <v>1678</v>
      </c>
      <c r="C226" s="10">
        <v>42259</v>
      </c>
      <c r="D226" s="10">
        <v>42266</v>
      </c>
      <c r="E226" s="9">
        <f t="shared" si="16"/>
        <v>2015</v>
      </c>
      <c r="F226" s="10" t="str">
        <f t="shared" si="17"/>
        <v>Sep</v>
      </c>
      <c r="G226" s="9">
        <f t="shared" si="18"/>
        <v>9</v>
      </c>
      <c r="H226" s="9">
        <f t="shared" si="15"/>
        <v>7</v>
      </c>
      <c r="I226" s="9" t="s">
        <v>43</v>
      </c>
      <c r="J226" s="9" t="s">
        <v>1679</v>
      </c>
      <c r="K226" s="9" t="s">
        <v>1680</v>
      </c>
      <c r="L226" s="9" t="s">
        <v>46</v>
      </c>
      <c r="M226" s="9" t="s">
        <v>23</v>
      </c>
      <c r="N226" s="9" t="s">
        <v>1681</v>
      </c>
      <c r="O226" s="9" t="s">
        <v>1682</v>
      </c>
      <c r="P226" s="9">
        <v>66062</v>
      </c>
      <c r="Q226" s="9" t="s">
        <v>26</v>
      </c>
      <c r="R226" s="9" t="s">
        <v>563</v>
      </c>
      <c r="S226" s="9" t="s">
        <v>66</v>
      </c>
      <c r="T226" s="9" t="s">
        <v>564</v>
      </c>
      <c r="U226" s="9" t="s">
        <v>565</v>
      </c>
      <c r="V226" s="11">
        <v>357.93</v>
      </c>
      <c r="W226" s="9" t="str">
        <f t="shared" si="19"/>
        <v>Slow Delivery</v>
      </c>
    </row>
    <row r="227" spans="1:23" x14ac:dyDescent="0.25">
      <c r="A227" s="9">
        <v>492</v>
      </c>
      <c r="B227" s="10" t="s">
        <v>3773</v>
      </c>
      <c r="C227" s="10">
        <v>42261</v>
      </c>
      <c r="D227" s="10">
        <v>42266</v>
      </c>
      <c r="E227" s="9">
        <f t="shared" si="16"/>
        <v>2015</v>
      </c>
      <c r="F227" s="10" t="str">
        <f t="shared" si="17"/>
        <v>Sep</v>
      </c>
      <c r="G227" s="9">
        <f t="shared" si="18"/>
        <v>9</v>
      </c>
      <c r="H227" s="9">
        <f t="shared" si="15"/>
        <v>5</v>
      </c>
      <c r="I227" s="9" t="s">
        <v>43</v>
      </c>
      <c r="J227" s="9" t="s">
        <v>3774</v>
      </c>
      <c r="K227" s="9" t="s">
        <v>3775</v>
      </c>
      <c r="L227" s="9" t="s">
        <v>22</v>
      </c>
      <c r="M227" s="9" t="s">
        <v>23</v>
      </c>
      <c r="N227" s="9" t="s">
        <v>2166</v>
      </c>
      <c r="O227" s="9" t="s">
        <v>48</v>
      </c>
      <c r="P227" s="9">
        <v>14609</v>
      </c>
      <c r="Q227" s="9" t="s">
        <v>49</v>
      </c>
      <c r="R227" s="9" t="s">
        <v>3776</v>
      </c>
      <c r="S227" s="9" t="s">
        <v>66</v>
      </c>
      <c r="T227" s="9" t="s">
        <v>74</v>
      </c>
      <c r="U227" s="9" t="s">
        <v>3777</v>
      </c>
      <c r="V227" s="11">
        <v>449.15</v>
      </c>
      <c r="W227" s="9" t="str">
        <f t="shared" si="19"/>
        <v>Slow Delivery</v>
      </c>
    </row>
    <row r="228" spans="1:23" x14ac:dyDescent="0.25">
      <c r="A228" s="9">
        <v>7475</v>
      </c>
      <c r="B228" s="10" t="s">
        <v>925</v>
      </c>
      <c r="C228" s="10">
        <v>42010</v>
      </c>
      <c r="D228" s="10">
        <v>42014</v>
      </c>
      <c r="E228" s="9">
        <f t="shared" si="16"/>
        <v>2015</v>
      </c>
      <c r="F228" s="10" t="str">
        <f t="shared" si="17"/>
        <v>Jan</v>
      </c>
      <c r="G228" s="9">
        <f t="shared" si="18"/>
        <v>1</v>
      </c>
      <c r="H228" s="9">
        <f t="shared" si="15"/>
        <v>4</v>
      </c>
      <c r="I228" s="9" t="s">
        <v>43</v>
      </c>
      <c r="J228" s="9" t="s">
        <v>926</v>
      </c>
      <c r="K228" s="9" t="s">
        <v>927</v>
      </c>
      <c r="L228" s="9" t="s">
        <v>46</v>
      </c>
      <c r="M228" s="9" t="s">
        <v>23</v>
      </c>
      <c r="N228" s="9" t="s">
        <v>928</v>
      </c>
      <c r="O228" s="9" t="s">
        <v>207</v>
      </c>
      <c r="P228" s="9">
        <v>42420</v>
      </c>
      <c r="Q228" s="9" t="s">
        <v>110</v>
      </c>
      <c r="R228" s="9" t="s">
        <v>38</v>
      </c>
      <c r="S228" s="9" t="s">
        <v>39</v>
      </c>
      <c r="T228" s="9" t="s">
        <v>40</v>
      </c>
      <c r="U228" s="9" t="s">
        <v>41</v>
      </c>
      <c r="V228" s="11">
        <v>2573.8200000000002</v>
      </c>
      <c r="W228" s="9" t="str">
        <f t="shared" si="19"/>
        <v>Slow Delivery</v>
      </c>
    </row>
    <row r="229" spans="1:23" x14ac:dyDescent="0.25">
      <c r="A229" s="9">
        <v>8981</v>
      </c>
      <c r="B229" s="10" t="s">
        <v>935</v>
      </c>
      <c r="C229" s="10">
        <v>42041</v>
      </c>
      <c r="D229" s="10">
        <v>42045</v>
      </c>
      <c r="E229" s="9">
        <f t="shared" si="16"/>
        <v>2015</v>
      </c>
      <c r="F229" s="10" t="str">
        <f t="shared" si="17"/>
        <v>Feb</v>
      </c>
      <c r="G229" s="9">
        <f t="shared" si="18"/>
        <v>2</v>
      </c>
      <c r="H229" s="9">
        <f t="shared" si="15"/>
        <v>4</v>
      </c>
      <c r="I229" s="9" t="s">
        <v>32</v>
      </c>
      <c r="J229" s="9" t="s">
        <v>936</v>
      </c>
      <c r="K229" s="9" t="s">
        <v>937</v>
      </c>
      <c r="L229" s="9" t="s">
        <v>22</v>
      </c>
      <c r="M229" s="9" t="s">
        <v>23</v>
      </c>
      <c r="N229" s="9" t="s">
        <v>938</v>
      </c>
      <c r="O229" s="9" t="s">
        <v>57</v>
      </c>
      <c r="P229" s="9">
        <v>60441</v>
      </c>
      <c r="Q229" s="9" t="s">
        <v>26</v>
      </c>
      <c r="R229" s="9" t="s">
        <v>939</v>
      </c>
      <c r="S229" s="9" t="s">
        <v>66</v>
      </c>
      <c r="T229" s="9" t="s">
        <v>103</v>
      </c>
      <c r="U229" s="9" t="s">
        <v>940</v>
      </c>
      <c r="V229" s="11">
        <v>8.952</v>
      </c>
      <c r="W229" s="9" t="str">
        <f t="shared" si="19"/>
        <v>Slow Delivery</v>
      </c>
    </row>
    <row r="230" spans="1:23" x14ac:dyDescent="0.25">
      <c r="A230" s="9">
        <v>8736</v>
      </c>
      <c r="B230" s="10" t="s">
        <v>1050</v>
      </c>
      <c r="C230" s="10">
        <v>42042</v>
      </c>
      <c r="D230" s="10">
        <v>42045</v>
      </c>
      <c r="E230" s="9">
        <f t="shared" si="16"/>
        <v>2015</v>
      </c>
      <c r="F230" s="10" t="str">
        <f t="shared" si="17"/>
        <v>Feb</v>
      </c>
      <c r="G230" s="9">
        <f t="shared" si="18"/>
        <v>2</v>
      </c>
      <c r="H230" s="9">
        <f t="shared" si="15"/>
        <v>3</v>
      </c>
      <c r="I230" s="9" t="s">
        <v>32</v>
      </c>
      <c r="J230" s="9" t="s">
        <v>1051</v>
      </c>
      <c r="K230" s="9" t="s">
        <v>1052</v>
      </c>
      <c r="L230" s="9" t="s">
        <v>87</v>
      </c>
      <c r="M230" s="9" t="s">
        <v>23</v>
      </c>
      <c r="N230" s="9" t="s">
        <v>47</v>
      </c>
      <c r="O230" s="9" t="s">
        <v>48</v>
      </c>
      <c r="P230" s="9">
        <v>10024</v>
      </c>
      <c r="Q230" s="9" t="s">
        <v>49</v>
      </c>
      <c r="R230" s="9" t="s">
        <v>1053</v>
      </c>
      <c r="S230" s="9" t="s">
        <v>66</v>
      </c>
      <c r="T230" s="9" t="s">
        <v>74</v>
      </c>
      <c r="U230" s="9" t="s">
        <v>1054</v>
      </c>
      <c r="V230" s="11">
        <v>64.959999999999994</v>
      </c>
      <c r="W230" s="9" t="str">
        <f t="shared" si="19"/>
        <v>Fast Delivery</v>
      </c>
    </row>
    <row r="231" spans="1:23" x14ac:dyDescent="0.25">
      <c r="A231" s="9">
        <v>869</v>
      </c>
      <c r="B231" s="10" t="s">
        <v>941</v>
      </c>
      <c r="C231" s="10">
        <v>42100</v>
      </c>
      <c r="D231" s="10">
        <v>42104</v>
      </c>
      <c r="E231" s="9">
        <f t="shared" si="16"/>
        <v>2015</v>
      </c>
      <c r="F231" s="10" t="str">
        <f t="shared" si="17"/>
        <v>Apr</v>
      </c>
      <c r="G231" s="9">
        <f t="shared" si="18"/>
        <v>4</v>
      </c>
      <c r="H231" s="9">
        <f t="shared" si="15"/>
        <v>4</v>
      </c>
      <c r="I231" s="9" t="s">
        <v>43</v>
      </c>
      <c r="J231" s="9" t="s">
        <v>942</v>
      </c>
      <c r="K231" s="9" t="s">
        <v>943</v>
      </c>
      <c r="L231" s="9" t="s">
        <v>87</v>
      </c>
      <c r="M231" s="9" t="s">
        <v>23</v>
      </c>
      <c r="N231" s="9" t="s">
        <v>562</v>
      </c>
      <c r="O231" s="9" t="s">
        <v>150</v>
      </c>
      <c r="P231" s="9">
        <v>17602</v>
      </c>
      <c r="Q231" s="9" t="s">
        <v>49</v>
      </c>
      <c r="R231" s="9" t="s">
        <v>944</v>
      </c>
      <c r="S231" s="9" t="s">
        <v>66</v>
      </c>
      <c r="T231" s="9" t="s">
        <v>103</v>
      </c>
      <c r="U231" s="9" t="s">
        <v>945</v>
      </c>
      <c r="V231" s="11">
        <v>44.91</v>
      </c>
      <c r="W231" s="9" t="str">
        <f t="shared" si="19"/>
        <v>Slow Delivery</v>
      </c>
    </row>
    <row r="232" spans="1:23" x14ac:dyDescent="0.25">
      <c r="A232" s="9">
        <v>8839</v>
      </c>
      <c r="B232" s="10" t="s">
        <v>961</v>
      </c>
      <c r="C232" s="10">
        <v>42100</v>
      </c>
      <c r="D232" s="10">
        <v>42104</v>
      </c>
      <c r="E232" s="9">
        <f t="shared" si="16"/>
        <v>2015</v>
      </c>
      <c r="F232" s="10" t="str">
        <f t="shared" si="17"/>
        <v>Apr</v>
      </c>
      <c r="G232" s="9">
        <f t="shared" si="18"/>
        <v>4</v>
      </c>
      <c r="H232" s="9">
        <f t="shared" si="15"/>
        <v>4</v>
      </c>
      <c r="I232" s="9" t="s">
        <v>32</v>
      </c>
      <c r="J232" s="9" t="s">
        <v>962</v>
      </c>
      <c r="K232" s="9" t="s">
        <v>963</v>
      </c>
      <c r="L232" s="9" t="s">
        <v>87</v>
      </c>
      <c r="M232" s="9" t="s">
        <v>23</v>
      </c>
      <c r="N232" s="9" t="s">
        <v>213</v>
      </c>
      <c r="O232" s="9" t="s">
        <v>80</v>
      </c>
      <c r="P232" s="9">
        <v>90004</v>
      </c>
      <c r="Q232" s="9" t="s">
        <v>37</v>
      </c>
      <c r="R232" s="9" t="s">
        <v>662</v>
      </c>
      <c r="S232" s="9" t="s">
        <v>66</v>
      </c>
      <c r="T232" s="9" t="s">
        <v>158</v>
      </c>
      <c r="U232" s="9" t="s">
        <v>663</v>
      </c>
      <c r="V232" s="11">
        <v>70.95</v>
      </c>
      <c r="W232" s="9" t="str">
        <f t="shared" si="19"/>
        <v>Slow Delivery</v>
      </c>
    </row>
    <row r="233" spans="1:23" x14ac:dyDescent="0.25">
      <c r="A233" s="9">
        <v>3482</v>
      </c>
      <c r="B233" s="10" t="s">
        <v>1071</v>
      </c>
      <c r="C233" s="10">
        <v>42101</v>
      </c>
      <c r="D233" s="10">
        <v>42104</v>
      </c>
      <c r="E233" s="9">
        <f t="shared" si="16"/>
        <v>2015</v>
      </c>
      <c r="F233" s="10" t="str">
        <f t="shared" si="17"/>
        <v>Apr</v>
      </c>
      <c r="G233" s="9">
        <f t="shared" si="18"/>
        <v>4</v>
      </c>
      <c r="H233" s="9">
        <f t="shared" si="15"/>
        <v>3</v>
      </c>
      <c r="I233" s="9" t="s">
        <v>19</v>
      </c>
      <c r="J233" s="9" t="s">
        <v>1072</v>
      </c>
      <c r="K233" s="9" t="s">
        <v>1073</v>
      </c>
      <c r="L233" s="9" t="s">
        <v>22</v>
      </c>
      <c r="M233" s="9" t="s">
        <v>23</v>
      </c>
      <c r="N233" s="9" t="s">
        <v>1074</v>
      </c>
      <c r="O233" s="9" t="s">
        <v>1075</v>
      </c>
      <c r="P233" s="9">
        <v>36608</v>
      </c>
      <c r="Q233" s="9" t="s">
        <v>110</v>
      </c>
      <c r="R233" s="9" t="s">
        <v>1076</v>
      </c>
      <c r="S233" s="9" t="s">
        <v>39</v>
      </c>
      <c r="T233" s="9" t="s">
        <v>112</v>
      </c>
      <c r="U233" s="9" t="s">
        <v>1077</v>
      </c>
      <c r="V233" s="11">
        <v>8.9600000000000009</v>
      </c>
      <c r="W233" s="9" t="str">
        <f t="shared" si="19"/>
        <v>Fast Delivery</v>
      </c>
    </row>
    <row r="234" spans="1:23" x14ac:dyDescent="0.25">
      <c r="A234" s="9">
        <v>3862</v>
      </c>
      <c r="B234" s="10" t="s">
        <v>488</v>
      </c>
      <c r="C234" s="10">
        <v>42127</v>
      </c>
      <c r="D234" s="10">
        <v>42134</v>
      </c>
      <c r="E234" s="9">
        <f t="shared" si="16"/>
        <v>2015</v>
      </c>
      <c r="F234" s="10" t="str">
        <f t="shared" si="17"/>
        <v>May</v>
      </c>
      <c r="G234" s="9">
        <f t="shared" si="18"/>
        <v>5</v>
      </c>
      <c r="H234" s="9">
        <f t="shared" si="15"/>
        <v>7</v>
      </c>
      <c r="I234" s="9" t="s">
        <v>43</v>
      </c>
      <c r="J234" s="9" t="s">
        <v>489</v>
      </c>
      <c r="K234" s="9" t="s">
        <v>490</v>
      </c>
      <c r="L234" s="9" t="s">
        <v>22</v>
      </c>
      <c r="M234" s="9" t="s">
        <v>23</v>
      </c>
      <c r="N234" s="9" t="s">
        <v>491</v>
      </c>
      <c r="O234" s="9" t="s">
        <v>48</v>
      </c>
      <c r="P234" s="9">
        <v>10701</v>
      </c>
      <c r="Q234" s="9" t="s">
        <v>49</v>
      </c>
      <c r="R234" s="9" t="s">
        <v>492</v>
      </c>
      <c r="S234" s="9" t="s">
        <v>66</v>
      </c>
      <c r="T234" s="9" t="s">
        <v>103</v>
      </c>
      <c r="U234" s="9" t="s">
        <v>493</v>
      </c>
      <c r="V234" s="11">
        <v>40.176000000000002</v>
      </c>
      <c r="W234" s="9" t="str">
        <f t="shared" si="19"/>
        <v>Slow Delivery</v>
      </c>
    </row>
    <row r="235" spans="1:23" x14ac:dyDescent="0.25">
      <c r="A235" s="9">
        <v>1335</v>
      </c>
      <c r="B235" s="10" t="s">
        <v>964</v>
      </c>
      <c r="C235" s="10">
        <v>42130</v>
      </c>
      <c r="D235" s="10">
        <v>42134</v>
      </c>
      <c r="E235" s="9">
        <f t="shared" si="16"/>
        <v>2015</v>
      </c>
      <c r="F235" s="10" t="str">
        <f t="shared" si="17"/>
        <v>May</v>
      </c>
      <c r="G235" s="9">
        <f t="shared" si="18"/>
        <v>5</v>
      </c>
      <c r="H235" s="9">
        <f t="shared" si="15"/>
        <v>4</v>
      </c>
      <c r="I235" s="9" t="s">
        <v>43</v>
      </c>
      <c r="J235" s="9" t="s">
        <v>965</v>
      </c>
      <c r="K235" s="9" t="s">
        <v>966</v>
      </c>
      <c r="L235" s="9" t="s">
        <v>46</v>
      </c>
      <c r="M235" s="9" t="s">
        <v>23</v>
      </c>
      <c r="N235" s="9" t="s">
        <v>213</v>
      </c>
      <c r="O235" s="9" t="s">
        <v>80</v>
      </c>
      <c r="P235" s="9">
        <v>90049</v>
      </c>
      <c r="Q235" s="9" t="s">
        <v>37</v>
      </c>
      <c r="R235" s="9" t="s">
        <v>967</v>
      </c>
      <c r="S235" s="9" t="s">
        <v>66</v>
      </c>
      <c r="T235" s="9" t="s">
        <v>103</v>
      </c>
      <c r="U235" s="9" t="s">
        <v>968</v>
      </c>
      <c r="V235" s="11">
        <v>140.73599999999999</v>
      </c>
      <c r="W235" s="9" t="str">
        <f t="shared" si="19"/>
        <v>Slow Delivery</v>
      </c>
    </row>
    <row r="236" spans="1:23" x14ac:dyDescent="0.25">
      <c r="A236" s="9">
        <v>8800</v>
      </c>
      <c r="B236" s="10" t="s">
        <v>1172</v>
      </c>
      <c r="C236" s="10">
        <v>42132</v>
      </c>
      <c r="D236" s="10">
        <v>42134</v>
      </c>
      <c r="E236" s="9">
        <f t="shared" si="16"/>
        <v>2015</v>
      </c>
      <c r="F236" s="10" t="str">
        <f t="shared" si="17"/>
        <v>May</v>
      </c>
      <c r="G236" s="9">
        <f t="shared" si="18"/>
        <v>5</v>
      </c>
      <c r="H236" s="9">
        <f t="shared" si="15"/>
        <v>2</v>
      </c>
      <c r="I236" s="9" t="s">
        <v>19</v>
      </c>
      <c r="J236" s="9" t="s">
        <v>1173</v>
      </c>
      <c r="K236" s="9" t="s">
        <v>1174</v>
      </c>
      <c r="L236" s="9" t="s">
        <v>22</v>
      </c>
      <c r="M236" s="9" t="s">
        <v>23</v>
      </c>
      <c r="N236" s="9" t="s">
        <v>149</v>
      </c>
      <c r="O236" s="9" t="s">
        <v>150</v>
      </c>
      <c r="P236" s="9">
        <v>19134</v>
      </c>
      <c r="Q236" s="9" t="s">
        <v>49</v>
      </c>
      <c r="R236" s="9" t="s">
        <v>1175</v>
      </c>
      <c r="S236" s="9" t="s">
        <v>28</v>
      </c>
      <c r="T236" s="9" t="s">
        <v>252</v>
      </c>
      <c r="U236" s="9" t="s">
        <v>1176</v>
      </c>
      <c r="V236" s="11">
        <v>1799.97</v>
      </c>
      <c r="W236" s="9" t="str">
        <f t="shared" si="19"/>
        <v>Fast Delivery</v>
      </c>
    </row>
    <row r="237" spans="1:23" x14ac:dyDescent="0.25">
      <c r="A237" s="9">
        <v>6473</v>
      </c>
      <c r="B237" s="10" t="s">
        <v>984</v>
      </c>
      <c r="C237" s="10">
        <v>42161</v>
      </c>
      <c r="D237" s="10">
        <v>42165</v>
      </c>
      <c r="E237" s="9">
        <f t="shared" si="16"/>
        <v>2015</v>
      </c>
      <c r="F237" s="10" t="str">
        <f t="shared" si="17"/>
        <v>Jun</v>
      </c>
      <c r="G237" s="9">
        <f t="shared" si="18"/>
        <v>6</v>
      </c>
      <c r="H237" s="9">
        <f t="shared" si="15"/>
        <v>4</v>
      </c>
      <c r="I237" s="9" t="s">
        <v>43</v>
      </c>
      <c r="J237" s="9" t="s">
        <v>985</v>
      </c>
      <c r="K237" s="9" t="s">
        <v>986</v>
      </c>
      <c r="L237" s="9" t="s">
        <v>46</v>
      </c>
      <c r="M237" s="9" t="s">
        <v>23</v>
      </c>
      <c r="N237" s="9" t="s">
        <v>72</v>
      </c>
      <c r="O237" s="9" t="s">
        <v>64</v>
      </c>
      <c r="P237" s="9">
        <v>77070</v>
      </c>
      <c r="Q237" s="9" t="s">
        <v>26</v>
      </c>
      <c r="R237" s="9" t="s">
        <v>987</v>
      </c>
      <c r="S237" s="9" t="s">
        <v>66</v>
      </c>
      <c r="T237" s="9" t="s">
        <v>82</v>
      </c>
      <c r="U237" s="9" t="s">
        <v>988</v>
      </c>
      <c r="V237" s="11">
        <v>100.24</v>
      </c>
      <c r="W237" s="9" t="str">
        <f t="shared" si="19"/>
        <v>Slow Delivery</v>
      </c>
    </row>
    <row r="238" spans="1:23" x14ac:dyDescent="0.25">
      <c r="A238" s="9">
        <v>394</v>
      </c>
      <c r="B238" s="10" t="s">
        <v>1090</v>
      </c>
      <c r="C238" s="10">
        <v>42162</v>
      </c>
      <c r="D238" s="10">
        <v>42165</v>
      </c>
      <c r="E238" s="9">
        <f t="shared" si="16"/>
        <v>2015</v>
      </c>
      <c r="F238" s="10" t="str">
        <f t="shared" si="17"/>
        <v>Jun</v>
      </c>
      <c r="G238" s="9">
        <f t="shared" si="18"/>
        <v>6</v>
      </c>
      <c r="H238" s="9">
        <f t="shared" si="15"/>
        <v>3</v>
      </c>
      <c r="I238" s="9" t="s">
        <v>32</v>
      </c>
      <c r="J238" s="9" t="s">
        <v>1091</v>
      </c>
      <c r="K238" s="9" t="s">
        <v>1092</v>
      </c>
      <c r="L238" s="9" t="s">
        <v>87</v>
      </c>
      <c r="M238" s="9" t="s">
        <v>23</v>
      </c>
      <c r="N238" s="9" t="s">
        <v>1093</v>
      </c>
      <c r="O238" s="9" t="s">
        <v>57</v>
      </c>
      <c r="P238" s="9">
        <v>61604</v>
      </c>
      <c r="Q238" s="9" t="s">
        <v>26</v>
      </c>
      <c r="R238" s="9" t="s">
        <v>977</v>
      </c>
      <c r="S238" s="9" t="s">
        <v>66</v>
      </c>
      <c r="T238" s="9" t="s">
        <v>103</v>
      </c>
      <c r="U238" s="9" t="s">
        <v>978</v>
      </c>
      <c r="V238" s="11">
        <v>12.462</v>
      </c>
      <c r="W238" s="9" t="str">
        <f t="shared" si="19"/>
        <v>Fast Delivery</v>
      </c>
    </row>
    <row r="239" spans="1:23" x14ac:dyDescent="0.25">
      <c r="A239" s="9">
        <v>4780</v>
      </c>
      <c r="B239" s="10" t="s">
        <v>1187</v>
      </c>
      <c r="C239" s="10">
        <v>42193</v>
      </c>
      <c r="D239" s="10">
        <v>42195</v>
      </c>
      <c r="E239" s="9">
        <f t="shared" si="16"/>
        <v>2015</v>
      </c>
      <c r="F239" s="10" t="str">
        <f t="shared" si="17"/>
        <v>Jul</v>
      </c>
      <c r="G239" s="9">
        <f t="shared" si="18"/>
        <v>7</v>
      </c>
      <c r="H239" s="9">
        <f t="shared" si="15"/>
        <v>2</v>
      </c>
      <c r="I239" s="9" t="s">
        <v>19</v>
      </c>
      <c r="J239" s="9" t="s">
        <v>1188</v>
      </c>
      <c r="K239" s="9" t="s">
        <v>1189</v>
      </c>
      <c r="L239" s="9" t="s">
        <v>22</v>
      </c>
      <c r="M239" s="9" t="s">
        <v>23</v>
      </c>
      <c r="N239" s="9" t="s">
        <v>1190</v>
      </c>
      <c r="O239" s="9" t="s">
        <v>48</v>
      </c>
      <c r="P239" s="9">
        <v>14215</v>
      </c>
      <c r="Q239" s="9" t="s">
        <v>49</v>
      </c>
      <c r="R239" s="9" t="s">
        <v>1191</v>
      </c>
      <c r="S239" s="9" t="s">
        <v>39</v>
      </c>
      <c r="T239" s="9" t="s">
        <v>40</v>
      </c>
      <c r="U239" s="9" t="s">
        <v>1192</v>
      </c>
      <c r="V239" s="11">
        <v>63.881999999999998</v>
      </c>
      <c r="W239" s="9" t="str">
        <f t="shared" si="19"/>
        <v>Fast Delivery</v>
      </c>
    </row>
    <row r="240" spans="1:23" x14ac:dyDescent="0.25">
      <c r="A240" s="9">
        <v>8955</v>
      </c>
      <c r="B240" s="10" t="s">
        <v>1214</v>
      </c>
      <c r="C240" s="10">
        <v>42224</v>
      </c>
      <c r="D240" s="10">
        <v>42226</v>
      </c>
      <c r="E240" s="9">
        <f t="shared" si="16"/>
        <v>2015</v>
      </c>
      <c r="F240" s="10" t="str">
        <f t="shared" si="17"/>
        <v>Aug</v>
      </c>
      <c r="G240" s="9">
        <f t="shared" si="18"/>
        <v>8</v>
      </c>
      <c r="H240" s="9">
        <f t="shared" si="15"/>
        <v>2</v>
      </c>
      <c r="I240" s="9" t="s">
        <v>32</v>
      </c>
      <c r="J240" s="9" t="s">
        <v>1215</v>
      </c>
      <c r="K240" s="9" t="s">
        <v>1216</v>
      </c>
      <c r="L240" s="9" t="s">
        <v>22</v>
      </c>
      <c r="M240" s="9" t="s">
        <v>23</v>
      </c>
      <c r="N240" s="9" t="s">
        <v>243</v>
      </c>
      <c r="O240" s="9" t="s">
        <v>130</v>
      </c>
      <c r="P240" s="9">
        <v>32216</v>
      </c>
      <c r="Q240" s="9" t="s">
        <v>110</v>
      </c>
      <c r="R240" s="9" t="s">
        <v>1217</v>
      </c>
      <c r="S240" s="9" t="s">
        <v>39</v>
      </c>
      <c r="T240" s="9" t="s">
        <v>1218</v>
      </c>
      <c r="U240" s="9" t="s">
        <v>1219</v>
      </c>
      <c r="V240" s="11">
        <v>155.45599999999999</v>
      </c>
      <c r="W240" s="9" t="str">
        <f t="shared" si="19"/>
        <v>Fast Delivery</v>
      </c>
    </row>
    <row r="241" spans="1:23" x14ac:dyDescent="0.25">
      <c r="A241" s="9">
        <v>2516</v>
      </c>
      <c r="B241" s="10" t="s">
        <v>843</v>
      </c>
      <c r="C241" s="10">
        <v>42252</v>
      </c>
      <c r="D241" s="10">
        <v>42257</v>
      </c>
      <c r="E241" s="9">
        <f t="shared" si="16"/>
        <v>2015</v>
      </c>
      <c r="F241" s="10" t="str">
        <f t="shared" si="17"/>
        <v>Sep</v>
      </c>
      <c r="G241" s="9">
        <f t="shared" si="18"/>
        <v>9</v>
      </c>
      <c r="H241" s="9">
        <f t="shared" si="15"/>
        <v>5</v>
      </c>
      <c r="I241" s="9" t="s">
        <v>43</v>
      </c>
      <c r="J241" s="9" t="s">
        <v>844</v>
      </c>
      <c r="K241" s="9" t="s">
        <v>845</v>
      </c>
      <c r="L241" s="9" t="s">
        <v>22</v>
      </c>
      <c r="M241" s="9" t="s">
        <v>23</v>
      </c>
      <c r="N241" s="9" t="s">
        <v>846</v>
      </c>
      <c r="O241" s="9" t="s">
        <v>250</v>
      </c>
      <c r="P241" s="9">
        <v>43402</v>
      </c>
      <c r="Q241" s="9" t="s">
        <v>49</v>
      </c>
      <c r="R241" s="9" t="s">
        <v>847</v>
      </c>
      <c r="S241" s="9" t="s">
        <v>66</v>
      </c>
      <c r="T241" s="9" t="s">
        <v>74</v>
      </c>
      <c r="U241" s="9" t="s">
        <v>848</v>
      </c>
      <c r="V241" s="11">
        <v>264.32</v>
      </c>
      <c r="W241" s="9" t="str">
        <f t="shared" si="19"/>
        <v>Slow Delivery</v>
      </c>
    </row>
    <row r="242" spans="1:23" x14ac:dyDescent="0.25">
      <c r="A242" s="9">
        <v>6020</v>
      </c>
      <c r="B242" s="10" t="s">
        <v>854</v>
      </c>
      <c r="C242" s="10">
        <v>42282</v>
      </c>
      <c r="D242" s="10">
        <v>42287</v>
      </c>
      <c r="E242" s="9">
        <f t="shared" si="16"/>
        <v>2015</v>
      </c>
      <c r="F242" s="10" t="str">
        <f t="shared" si="17"/>
        <v>Oct</v>
      </c>
      <c r="G242" s="9">
        <f t="shared" si="18"/>
        <v>10</v>
      </c>
      <c r="H242" s="9">
        <f t="shared" si="15"/>
        <v>5</v>
      </c>
      <c r="I242" s="9" t="s">
        <v>32</v>
      </c>
      <c r="J242" s="9" t="s">
        <v>855</v>
      </c>
      <c r="K242" s="9" t="s">
        <v>856</v>
      </c>
      <c r="L242" s="9" t="s">
        <v>22</v>
      </c>
      <c r="M242" s="9" t="s">
        <v>23</v>
      </c>
      <c r="N242" s="9" t="s">
        <v>249</v>
      </c>
      <c r="O242" s="9" t="s">
        <v>250</v>
      </c>
      <c r="P242" s="9">
        <v>43229</v>
      </c>
      <c r="Q242" s="9" t="s">
        <v>49</v>
      </c>
      <c r="R242" s="9" t="s">
        <v>857</v>
      </c>
      <c r="S242" s="9" t="s">
        <v>66</v>
      </c>
      <c r="T242" s="9" t="s">
        <v>221</v>
      </c>
      <c r="U242" s="9" t="s">
        <v>858</v>
      </c>
      <c r="V242" s="11">
        <v>91.92</v>
      </c>
      <c r="W242" s="9" t="str">
        <f t="shared" si="19"/>
        <v>Slow Delivery</v>
      </c>
    </row>
    <row r="243" spans="1:23" x14ac:dyDescent="0.25">
      <c r="A243" s="9">
        <v>482</v>
      </c>
      <c r="B243" s="10" t="s">
        <v>1015</v>
      </c>
      <c r="C243" s="10">
        <v>42283</v>
      </c>
      <c r="D243" s="10">
        <v>42287</v>
      </c>
      <c r="E243" s="9">
        <f t="shared" si="16"/>
        <v>2015</v>
      </c>
      <c r="F243" s="10" t="str">
        <f t="shared" si="17"/>
        <v>Oct</v>
      </c>
      <c r="G243" s="9">
        <f t="shared" si="18"/>
        <v>10</v>
      </c>
      <c r="H243" s="9">
        <f t="shared" si="15"/>
        <v>4</v>
      </c>
      <c r="I243" s="9" t="s">
        <v>43</v>
      </c>
      <c r="J243" s="9" t="s">
        <v>1016</v>
      </c>
      <c r="K243" s="9" t="s">
        <v>1017</v>
      </c>
      <c r="L243" s="9" t="s">
        <v>22</v>
      </c>
      <c r="M243" s="9" t="s">
        <v>23</v>
      </c>
      <c r="N243" s="9" t="s">
        <v>268</v>
      </c>
      <c r="O243" s="9" t="s">
        <v>80</v>
      </c>
      <c r="P243" s="9">
        <v>92024</v>
      </c>
      <c r="Q243" s="9" t="s">
        <v>37</v>
      </c>
      <c r="R243" s="9" t="s">
        <v>1018</v>
      </c>
      <c r="S243" s="9" t="s">
        <v>28</v>
      </c>
      <c r="T243" s="9" t="s">
        <v>29</v>
      </c>
      <c r="U243" s="9" t="s">
        <v>1019</v>
      </c>
      <c r="V243" s="11">
        <v>9.09</v>
      </c>
      <c r="W243" s="9" t="str">
        <f t="shared" si="19"/>
        <v>Slow Delivery</v>
      </c>
    </row>
    <row r="244" spans="1:23" x14ac:dyDescent="0.25">
      <c r="A244" s="9">
        <v>4533</v>
      </c>
      <c r="B244" s="10" t="s">
        <v>1441</v>
      </c>
      <c r="C244" s="10">
        <v>42287</v>
      </c>
      <c r="D244" s="10">
        <v>42287</v>
      </c>
      <c r="E244" s="9">
        <f t="shared" si="16"/>
        <v>2015</v>
      </c>
      <c r="F244" s="10" t="str">
        <f t="shared" si="17"/>
        <v>Oct</v>
      </c>
      <c r="G244" s="9">
        <f t="shared" si="18"/>
        <v>10</v>
      </c>
      <c r="H244" s="9">
        <f t="shared" si="15"/>
        <v>0</v>
      </c>
      <c r="I244" s="9" t="s">
        <v>302</v>
      </c>
      <c r="J244" s="9" t="s">
        <v>1442</v>
      </c>
      <c r="K244" s="9" t="s">
        <v>1443</v>
      </c>
      <c r="L244" s="9" t="s">
        <v>46</v>
      </c>
      <c r="M244" s="9" t="s">
        <v>23</v>
      </c>
      <c r="N244" s="9" t="s">
        <v>1444</v>
      </c>
      <c r="O244" s="9" t="s">
        <v>80</v>
      </c>
      <c r="P244" s="9">
        <v>95336</v>
      </c>
      <c r="Q244" s="9" t="s">
        <v>37</v>
      </c>
      <c r="R244" s="9" t="s">
        <v>1445</v>
      </c>
      <c r="S244" s="9" t="s">
        <v>39</v>
      </c>
      <c r="T244" s="9" t="s">
        <v>40</v>
      </c>
      <c r="U244" s="9" t="s">
        <v>1446</v>
      </c>
      <c r="V244" s="11">
        <v>122.352</v>
      </c>
      <c r="W244" s="9" t="str">
        <f t="shared" si="19"/>
        <v>Fast Delivery</v>
      </c>
    </row>
    <row r="245" spans="1:23" x14ac:dyDescent="0.25">
      <c r="A245" s="9">
        <v>8873</v>
      </c>
      <c r="B245" s="10" t="s">
        <v>1447</v>
      </c>
      <c r="C245" s="10">
        <v>42287</v>
      </c>
      <c r="D245" s="10">
        <v>42287</v>
      </c>
      <c r="E245" s="9">
        <f t="shared" si="16"/>
        <v>2015</v>
      </c>
      <c r="F245" s="10" t="str">
        <f t="shared" si="17"/>
        <v>Oct</v>
      </c>
      <c r="G245" s="9">
        <f t="shared" si="18"/>
        <v>10</v>
      </c>
      <c r="H245" s="9">
        <f t="shared" si="15"/>
        <v>0</v>
      </c>
      <c r="I245" s="9" t="s">
        <v>302</v>
      </c>
      <c r="J245" s="9" t="s">
        <v>1448</v>
      </c>
      <c r="K245" s="9" t="s">
        <v>1449</v>
      </c>
      <c r="L245" s="9" t="s">
        <v>22</v>
      </c>
      <c r="M245" s="9" t="s">
        <v>23</v>
      </c>
      <c r="N245" s="9" t="s">
        <v>249</v>
      </c>
      <c r="O245" s="9" t="s">
        <v>250</v>
      </c>
      <c r="P245" s="9">
        <v>43229</v>
      </c>
      <c r="Q245" s="9" t="s">
        <v>49</v>
      </c>
      <c r="R245" s="9" t="s">
        <v>1450</v>
      </c>
      <c r="S245" s="9" t="s">
        <v>28</v>
      </c>
      <c r="T245" s="9" t="s">
        <v>364</v>
      </c>
      <c r="U245" s="9" t="s">
        <v>1451</v>
      </c>
      <c r="V245" s="11">
        <v>101.994</v>
      </c>
      <c r="W245" s="9" t="str">
        <f t="shared" si="19"/>
        <v>Fast Delivery</v>
      </c>
    </row>
    <row r="246" spans="1:23" x14ac:dyDescent="0.25">
      <c r="A246" s="9">
        <v>9275</v>
      </c>
      <c r="B246" s="10" t="s">
        <v>1452</v>
      </c>
      <c r="C246" s="10">
        <v>42287</v>
      </c>
      <c r="D246" s="10">
        <v>42287</v>
      </c>
      <c r="E246" s="9">
        <f t="shared" si="16"/>
        <v>2015</v>
      </c>
      <c r="F246" s="10" t="str">
        <f t="shared" si="17"/>
        <v>Oct</v>
      </c>
      <c r="G246" s="9">
        <f t="shared" si="18"/>
        <v>10</v>
      </c>
      <c r="H246" s="9">
        <f t="shared" si="15"/>
        <v>0</v>
      </c>
      <c r="I246" s="9" t="s">
        <v>302</v>
      </c>
      <c r="J246" s="9" t="s">
        <v>1453</v>
      </c>
      <c r="K246" s="9" t="s">
        <v>1454</v>
      </c>
      <c r="L246" s="9" t="s">
        <v>87</v>
      </c>
      <c r="M246" s="9" t="s">
        <v>23</v>
      </c>
      <c r="N246" s="9" t="s">
        <v>1455</v>
      </c>
      <c r="O246" s="9" t="s">
        <v>1456</v>
      </c>
      <c r="P246" s="9">
        <v>87105</v>
      </c>
      <c r="Q246" s="9" t="s">
        <v>37</v>
      </c>
      <c r="R246" s="9" t="s">
        <v>1457</v>
      </c>
      <c r="S246" s="9" t="s">
        <v>66</v>
      </c>
      <c r="T246" s="9" t="s">
        <v>158</v>
      </c>
      <c r="U246" s="9" t="s">
        <v>1458</v>
      </c>
      <c r="V246" s="11">
        <v>255.85</v>
      </c>
      <c r="W246" s="9" t="str">
        <f t="shared" si="19"/>
        <v>Fast Delivery</v>
      </c>
    </row>
    <row r="247" spans="1:23" x14ac:dyDescent="0.25">
      <c r="A247" s="9">
        <v>4996</v>
      </c>
      <c r="B247" s="10" t="s">
        <v>728</v>
      </c>
      <c r="C247" s="10">
        <v>42312</v>
      </c>
      <c r="D247" s="10">
        <v>42318</v>
      </c>
      <c r="E247" s="9">
        <f t="shared" si="16"/>
        <v>2015</v>
      </c>
      <c r="F247" s="10" t="str">
        <f t="shared" si="17"/>
        <v>Nov</v>
      </c>
      <c r="G247" s="9">
        <f t="shared" si="18"/>
        <v>11</v>
      </c>
      <c r="H247" s="9">
        <f t="shared" si="15"/>
        <v>6</v>
      </c>
      <c r="I247" s="9" t="s">
        <v>43</v>
      </c>
      <c r="J247" s="9" t="s">
        <v>729</v>
      </c>
      <c r="K247" s="9" t="s">
        <v>730</v>
      </c>
      <c r="L247" s="9" t="s">
        <v>46</v>
      </c>
      <c r="M247" s="9" t="s">
        <v>23</v>
      </c>
      <c r="N247" s="9" t="s">
        <v>47</v>
      </c>
      <c r="O247" s="9" t="s">
        <v>48</v>
      </c>
      <c r="P247" s="9">
        <v>10011</v>
      </c>
      <c r="Q247" s="9" t="s">
        <v>49</v>
      </c>
      <c r="R247" s="9" t="s">
        <v>731</v>
      </c>
      <c r="S247" s="9" t="s">
        <v>66</v>
      </c>
      <c r="T247" s="9" t="s">
        <v>103</v>
      </c>
      <c r="U247" s="9" t="s">
        <v>732</v>
      </c>
      <c r="V247" s="11">
        <v>52.064</v>
      </c>
      <c r="W247" s="9" t="str">
        <f t="shared" si="19"/>
        <v>Slow Delivery</v>
      </c>
    </row>
    <row r="248" spans="1:23" x14ac:dyDescent="0.25">
      <c r="A248" s="9">
        <v>6684</v>
      </c>
      <c r="B248" s="10" t="s">
        <v>865</v>
      </c>
      <c r="C248" s="10">
        <v>42313</v>
      </c>
      <c r="D248" s="10">
        <v>42318</v>
      </c>
      <c r="E248" s="9">
        <f t="shared" si="16"/>
        <v>2015</v>
      </c>
      <c r="F248" s="10" t="str">
        <f t="shared" si="17"/>
        <v>Nov</v>
      </c>
      <c r="G248" s="9">
        <f t="shared" si="18"/>
        <v>11</v>
      </c>
      <c r="H248" s="9">
        <f t="shared" si="15"/>
        <v>5</v>
      </c>
      <c r="I248" s="9" t="s">
        <v>43</v>
      </c>
      <c r="J248" s="9" t="s">
        <v>866</v>
      </c>
      <c r="K248" s="9" t="s">
        <v>867</v>
      </c>
      <c r="L248" s="9" t="s">
        <v>46</v>
      </c>
      <c r="M248" s="9" t="s">
        <v>23</v>
      </c>
      <c r="N248" s="9" t="s">
        <v>213</v>
      </c>
      <c r="O248" s="9" t="s">
        <v>80</v>
      </c>
      <c r="P248" s="9">
        <v>90008</v>
      </c>
      <c r="Q248" s="9" t="s">
        <v>37</v>
      </c>
      <c r="R248" s="9" t="s">
        <v>868</v>
      </c>
      <c r="S248" s="9" t="s">
        <v>39</v>
      </c>
      <c r="T248" s="9" t="s">
        <v>112</v>
      </c>
      <c r="U248" s="9" t="s">
        <v>869</v>
      </c>
      <c r="V248" s="11">
        <v>20.04</v>
      </c>
      <c r="W248" s="9" t="str">
        <f t="shared" si="19"/>
        <v>Slow Delivery</v>
      </c>
    </row>
    <row r="249" spans="1:23" x14ac:dyDescent="0.25">
      <c r="A249" s="9">
        <v>8683</v>
      </c>
      <c r="B249" s="10" t="s">
        <v>870</v>
      </c>
      <c r="C249" s="10">
        <v>42313</v>
      </c>
      <c r="D249" s="10">
        <v>42318</v>
      </c>
      <c r="E249" s="9">
        <f t="shared" si="16"/>
        <v>2015</v>
      </c>
      <c r="F249" s="10" t="str">
        <f t="shared" si="17"/>
        <v>Nov</v>
      </c>
      <c r="G249" s="9">
        <f t="shared" si="18"/>
        <v>11</v>
      </c>
      <c r="H249" s="9">
        <f t="shared" si="15"/>
        <v>5</v>
      </c>
      <c r="I249" s="9" t="s">
        <v>43</v>
      </c>
      <c r="J249" s="9" t="s">
        <v>871</v>
      </c>
      <c r="K249" s="9" t="s">
        <v>872</v>
      </c>
      <c r="L249" s="9" t="s">
        <v>46</v>
      </c>
      <c r="M249" s="9" t="s">
        <v>23</v>
      </c>
      <c r="N249" s="9" t="s">
        <v>790</v>
      </c>
      <c r="O249" s="9" t="s">
        <v>298</v>
      </c>
      <c r="P249" s="9">
        <v>22204</v>
      </c>
      <c r="Q249" s="9" t="s">
        <v>110</v>
      </c>
      <c r="R249" s="9" t="s">
        <v>873</v>
      </c>
      <c r="S249" s="9" t="s">
        <v>28</v>
      </c>
      <c r="T249" s="9" t="s">
        <v>29</v>
      </c>
      <c r="U249" s="9" t="s">
        <v>874</v>
      </c>
      <c r="V249" s="11">
        <v>47.79</v>
      </c>
      <c r="W249" s="9" t="str">
        <f t="shared" si="19"/>
        <v>Slow Delivery</v>
      </c>
    </row>
    <row r="250" spans="1:23" x14ac:dyDescent="0.25">
      <c r="A250" s="9">
        <v>9711</v>
      </c>
      <c r="B250" s="10" t="s">
        <v>875</v>
      </c>
      <c r="C250" s="10">
        <v>42313</v>
      </c>
      <c r="D250" s="10">
        <v>42318</v>
      </c>
      <c r="E250" s="9">
        <f t="shared" si="16"/>
        <v>2015</v>
      </c>
      <c r="F250" s="10" t="str">
        <f t="shared" si="17"/>
        <v>Nov</v>
      </c>
      <c r="G250" s="9">
        <f t="shared" si="18"/>
        <v>11</v>
      </c>
      <c r="H250" s="9">
        <f t="shared" si="15"/>
        <v>5</v>
      </c>
      <c r="I250" s="9" t="s">
        <v>43</v>
      </c>
      <c r="J250" s="9" t="s">
        <v>876</v>
      </c>
      <c r="K250" s="9" t="s">
        <v>877</v>
      </c>
      <c r="L250" s="9" t="s">
        <v>22</v>
      </c>
      <c r="M250" s="9" t="s">
        <v>23</v>
      </c>
      <c r="N250" s="9" t="s">
        <v>149</v>
      </c>
      <c r="O250" s="9" t="s">
        <v>150</v>
      </c>
      <c r="P250" s="9">
        <v>19143</v>
      </c>
      <c r="Q250" s="9" t="s">
        <v>49</v>
      </c>
      <c r="R250" s="9" t="s">
        <v>878</v>
      </c>
      <c r="S250" s="9" t="s">
        <v>39</v>
      </c>
      <c r="T250" s="9" t="s">
        <v>112</v>
      </c>
      <c r="U250" s="9" t="s">
        <v>879</v>
      </c>
      <c r="V250" s="11">
        <v>273.56799999999998</v>
      </c>
      <c r="W250" s="9" t="str">
        <f t="shared" si="19"/>
        <v>Slow Delivery</v>
      </c>
    </row>
    <row r="251" spans="1:23" x14ac:dyDescent="0.25">
      <c r="A251" s="9">
        <v>68</v>
      </c>
      <c r="B251" s="10" t="s">
        <v>886</v>
      </c>
      <c r="C251" s="10">
        <v>42343</v>
      </c>
      <c r="D251" s="10">
        <v>42348</v>
      </c>
      <c r="E251" s="9">
        <f t="shared" si="16"/>
        <v>2015</v>
      </c>
      <c r="F251" s="10" t="str">
        <f t="shared" si="17"/>
        <v>Dec</v>
      </c>
      <c r="G251" s="9">
        <f t="shared" si="18"/>
        <v>12</v>
      </c>
      <c r="H251" s="9">
        <f t="shared" si="15"/>
        <v>5</v>
      </c>
      <c r="I251" s="9" t="s">
        <v>43</v>
      </c>
      <c r="J251" s="9" t="s">
        <v>887</v>
      </c>
      <c r="K251" s="9" t="s">
        <v>888</v>
      </c>
      <c r="L251" s="9" t="s">
        <v>87</v>
      </c>
      <c r="M251" s="9" t="s">
        <v>23</v>
      </c>
      <c r="N251" s="9" t="s">
        <v>889</v>
      </c>
      <c r="O251" s="9" t="s">
        <v>382</v>
      </c>
      <c r="P251" s="9">
        <v>85234</v>
      </c>
      <c r="Q251" s="9" t="s">
        <v>37</v>
      </c>
      <c r="R251" s="9" t="s">
        <v>890</v>
      </c>
      <c r="S251" s="9" t="s">
        <v>66</v>
      </c>
      <c r="T251" s="9" t="s">
        <v>158</v>
      </c>
      <c r="U251" s="9" t="s">
        <v>891</v>
      </c>
      <c r="V251" s="11">
        <v>1113.0239999999999</v>
      </c>
      <c r="W251" s="9" t="str">
        <f t="shared" si="19"/>
        <v>Slow Delivery</v>
      </c>
    </row>
    <row r="252" spans="1:23" x14ac:dyDescent="0.25">
      <c r="A252" s="9">
        <v>7569</v>
      </c>
      <c r="B252" s="10" t="s">
        <v>910</v>
      </c>
      <c r="C252" s="10">
        <v>42343</v>
      </c>
      <c r="D252" s="10">
        <v>42348</v>
      </c>
      <c r="E252" s="9">
        <f t="shared" si="16"/>
        <v>2015</v>
      </c>
      <c r="F252" s="10" t="str">
        <f t="shared" si="17"/>
        <v>Dec</v>
      </c>
      <c r="G252" s="9">
        <f t="shared" si="18"/>
        <v>12</v>
      </c>
      <c r="H252" s="9">
        <f t="shared" si="15"/>
        <v>5</v>
      </c>
      <c r="I252" s="9" t="s">
        <v>43</v>
      </c>
      <c r="J252" s="9" t="s">
        <v>911</v>
      </c>
      <c r="K252" s="9" t="s">
        <v>912</v>
      </c>
      <c r="L252" s="9" t="s">
        <v>22</v>
      </c>
      <c r="M252" s="9" t="s">
        <v>23</v>
      </c>
      <c r="N252" s="9" t="s">
        <v>213</v>
      </c>
      <c r="O252" s="9" t="s">
        <v>80</v>
      </c>
      <c r="P252" s="9">
        <v>90045</v>
      </c>
      <c r="Q252" s="9" t="s">
        <v>37</v>
      </c>
      <c r="R252" s="9" t="s">
        <v>913</v>
      </c>
      <c r="S252" s="9" t="s">
        <v>66</v>
      </c>
      <c r="T252" s="9" t="s">
        <v>158</v>
      </c>
      <c r="U252" s="9" t="s">
        <v>914</v>
      </c>
      <c r="V252" s="11">
        <v>26.46</v>
      </c>
      <c r="W252" s="9" t="str">
        <f t="shared" si="19"/>
        <v>Slow Delivery</v>
      </c>
    </row>
    <row r="253" spans="1:23" x14ac:dyDescent="0.25">
      <c r="A253" s="9">
        <v>7237</v>
      </c>
      <c r="B253" s="10" t="s">
        <v>1140</v>
      </c>
      <c r="C253" s="10">
        <v>42345</v>
      </c>
      <c r="D253" s="10">
        <v>42348</v>
      </c>
      <c r="E253" s="9">
        <f t="shared" si="16"/>
        <v>2015</v>
      </c>
      <c r="F253" s="10" t="str">
        <f t="shared" si="17"/>
        <v>Dec</v>
      </c>
      <c r="G253" s="9">
        <f t="shared" si="18"/>
        <v>12</v>
      </c>
      <c r="H253" s="9">
        <f t="shared" si="15"/>
        <v>3</v>
      </c>
      <c r="I253" s="9" t="s">
        <v>19</v>
      </c>
      <c r="J253" s="9" t="s">
        <v>1141</v>
      </c>
      <c r="K253" s="9" t="s">
        <v>1142</v>
      </c>
      <c r="L253" s="9" t="s">
        <v>22</v>
      </c>
      <c r="M253" s="9" t="s">
        <v>23</v>
      </c>
      <c r="N253" s="9" t="s">
        <v>213</v>
      </c>
      <c r="O253" s="9" t="s">
        <v>80</v>
      </c>
      <c r="P253" s="9">
        <v>90049</v>
      </c>
      <c r="Q253" s="9" t="s">
        <v>37</v>
      </c>
      <c r="R253" s="9" t="s">
        <v>1143</v>
      </c>
      <c r="S253" s="9" t="s">
        <v>66</v>
      </c>
      <c r="T253" s="9" t="s">
        <v>158</v>
      </c>
      <c r="U253" s="9" t="s">
        <v>1144</v>
      </c>
      <c r="V253" s="11">
        <v>8.64</v>
      </c>
      <c r="W253" s="9" t="str">
        <f t="shared" si="19"/>
        <v>Fast Delivery</v>
      </c>
    </row>
    <row r="254" spans="1:23" x14ac:dyDescent="0.25">
      <c r="A254" s="9">
        <v>3715</v>
      </c>
      <c r="B254" s="10" t="s">
        <v>1285</v>
      </c>
      <c r="C254" s="10">
        <v>42346</v>
      </c>
      <c r="D254" s="10">
        <v>42348</v>
      </c>
      <c r="E254" s="9">
        <f t="shared" si="16"/>
        <v>2015</v>
      </c>
      <c r="F254" s="10" t="str">
        <f t="shared" si="17"/>
        <v>Dec</v>
      </c>
      <c r="G254" s="9">
        <f t="shared" si="18"/>
        <v>12</v>
      </c>
      <c r="H254" s="9">
        <f t="shared" si="15"/>
        <v>2</v>
      </c>
      <c r="I254" s="9" t="s">
        <v>32</v>
      </c>
      <c r="J254" s="9" t="s">
        <v>1286</v>
      </c>
      <c r="K254" s="9" t="s">
        <v>1287</v>
      </c>
      <c r="L254" s="9" t="s">
        <v>22</v>
      </c>
      <c r="M254" s="9" t="s">
        <v>23</v>
      </c>
      <c r="N254" s="9" t="s">
        <v>1288</v>
      </c>
      <c r="O254" s="9" t="s">
        <v>36</v>
      </c>
      <c r="P254" s="9">
        <v>98502</v>
      </c>
      <c r="Q254" s="9" t="s">
        <v>37</v>
      </c>
      <c r="R254" s="9" t="s">
        <v>1289</v>
      </c>
      <c r="S254" s="9" t="s">
        <v>66</v>
      </c>
      <c r="T254" s="9" t="s">
        <v>201</v>
      </c>
      <c r="U254" s="9" t="s">
        <v>1290</v>
      </c>
      <c r="V254" s="11">
        <v>45.68</v>
      </c>
      <c r="W254" s="9" t="str">
        <f t="shared" si="19"/>
        <v>Fast Delivery</v>
      </c>
    </row>
    <row r="255" spans="1:23" x14ac:dyDescent="0.25">
      <c r="A255" s="9">
        <v>8853</v>
      </c>
      <c r="B255" s="10" t="s">
        <v>1271</v>
      </c>
      <c r="C255" s="10">
        <v>42285</v>
      </c>
      <c r="D255" s="10">
        <v>42290</v>
      </c>
      <c r="E255" s="9">
        <f t="shared" si="16"/>
        <v>2015</v>
      </c>
      <c r="F255" s="10" t="str">
        <f t="shared" si="17"/>
        <v>Oct</v>
      </c>
      <c r="G255" s="9">
        <f t="shared" si="18"/>
        <v>10</v>
      </c>
      <c r="H255" s="9">
        <f t="shared" si="15"/>
        <v>5</v>
      </c>
      <c r="I255" s="9" t="s">
        <v>32</v>
      </c>
      <c r="J255" s="9" t="s">
        <v>1272</v>
      </c>
      <c r="K255" s="9" t="s">
        <v>1273</v>
      </c>
      <c r="L255" s="9" t="s">
        <v>22</v>
      </c>
      <c r="M255" s="9" t="s">
        <v>23</v>
      </c>
      <c r="N255" s="9" t="s">
        <v>47</v>
      </c>
      <c r="O255" s="9" t="s">
        <v>48</v>
      </c>
      <c r="P255" s="9">
        <v>10011</v>
      </c>
      <c r="Q255" s="9" t="s">
        <v>49</v>
      </c>
      <c r="R255" s="9" t="s">
        <v>1274</v>
      </c>
      <c r="S255" s="9" t="s">
        <v>66</v>
      </c>
      <c r="T255" s="9" t="s">
        <v>201</v>
      </c>
      <c r="U255" s="9" t="s">
        <v>1275</v>
      </c>
      <c r="V255" s="11">
        <v>123.92</v>
      </c>
      <c r="W255" s="9" t="str">
        <f t="shared" si="19"/>
        <v>Slow Delivery</v>
      </c>
    </row>
    <row r="256" spans="1:23" x14ac:dyDescent="0.25">
      <c r="A256" s="9">
        <v>4168</v>
      </c>
      <c r="B256" s="10" t="s">
        <v>1584</v>
      </c>
      <c r="C256" s="10">
        <v>42288</v>
      </c>
      <c r="D256" s="10">
        <v>42290</v>
      </c>
      <c r="E256" s="9">
        <f t="shared" si="16"/>
        <v>2015</v>
      </c>
      <c r="F256" s="10" t="str">
        <f t="shared" si="17"/>
        <v>Oct</v>
      </c>
      <c r="G256" s="9">
        <f t="shared" si="18"/>
        <v>10</v>
      </c>
      <c r="H256" s="9">
        <f t="shared" si="15"/>
        <v>2</v>
      </c>
      <c r="I256" s="9" t="s">
        <v>19</v>
      </c>
      <c r="J256" s="9" t="s">
        <v>1585</v>
      </c>
      <c r="K256" s="9" t="s">
        <v>1586</v>
      </c>
      <c r="L256" s="9" t="s">
        <v>22</v>
      </c>
      <c r="M256" s="9" t="s">
        <v>23</v>
      </c>
      <c r="N256" s="9" t="s">
        <v>1587</v>
      </c>
      <c r="O256" s="9" t="s">
        <v>80</v>
      </c>
      <c r="P256" s="9">
        <v>91104</v>
      </c>
      <c r="Q256" s="9" t="s">
        <v>37</v>
      </c>
      <c r="R256" s="9" t="s">
        <v>1588</v>
      </c>
      <c r="S256" s="9" t="s">
        <v>66</v>
      </c>
      <c r="T256" s="9" t="s">
        <v>74</v>
      </c>
      <c r="U256" s="9" t="s">
        <v>1589</v>
      </c>
      <c r="V256" s="11">
        <v>31.92</v>
      </c>
      <c r="W256" s="9" t="str">
        <f t="shared" si="19"/>
        <v>Fast Delivery</v>
      </c>
    </row>
    <row r="257" spans="1:23" x14ac:dyDescent="0.25">
      <c r="A257" s="9">
        <v>9459</v>
      </c>
      <c r="B257" s="10" t="s">
        <v>1378</v>
      </c>
      <c r="C257" s="10">
        <v>42286</v>
      </c>
      <c r="D257" s="10">
        <v>42291</v>
      </c>
      <c r="E257" s="9">
        <f t="shared" si="16"/>
        <v>2015</v>
      </c>
      <c r="F257" s="10" t="str">
        <f t="shared" si="17"/>
        <v>Oct</v>
      </c>
      <c r="G257" s="9">
        <f t="shared" si="18"/>
        <v>10</v>
      </c>
      <c r="H257" s="9">
        <f t="shared" si="15"/>
        <v>5</v>
      </c>
      <c r="I257" s="9" t="s">
        <v>43</v>
      </c>
      <c r="J257" s="9" t="s">
        <v>1379</v>
      </c>
      <c r="K257" s="9" t="s">
        <v>1380</v>
      </c>
      <c r="L257" s="9" t="s">
        <v>22</v>
      </c>
      <c r="M257" s="9" t="s">
        <v>23</v>
      </c>
      <c r="N257" s="9" t="s">
        <v>143</v>
      </c>
      <c r="O257" s="9" t="s">
        <v>80</v>
      </c>
      <c r="P257" s="9">
        <v>94122</v>
      </c>
      <c r="Q257" s="9" t="s">
        <v>37</v>
      </c>
      <c r="R257" s="9" t="s">
        <v>1381</v>
      </c>
      <c r="S257" s="9" t="s">
        <v>66</v>
      </c>
      <c r="T257" s="9" t="s">
        <v>158</v>
      </c>
      <c r="U257" s="9" t="s">
        <v>1382</v>
      </c>
      <c r="V257" s="11">
        <v>144.6</v>
      </c>
      <c r="W257" s="9" t="str">
        <f t="shared" si="19"/>
        <v>Slow Delivery</v>
      </c>
    </row>
    <row r="258" spans="1:23" x14ac:dyDescent="0.25">
      <c r="A258" s="9">
        <v>3266</v>
      </c>
      <c r="B258" s="10" t="s">
        <v>1574</v>
      </c>
      <c r="C258" s="10">
        <v>42288</v>
      </c>
      <c r="D258" s="10">
        <v>42292</v>
      </c>
      <c r="E258" s="9">
        <f t="shared" si="16"/>
        <v>2015</v>
      </c>
      <c r="F258" s="10" t="str">
        <f t="shared" si="17"/>
        <v>Oct</v>
      </c>
      <c r="G258" s="9">
        <f t="shared" si="18"/>
        <v>10</v>
      </c>
      <c r="H258" s="9">
        <f t="shared" ref="H258:H321" si="20">D258-C258</f>
        <v>4</v>
      </c>
      <c r="I258" s="9" t="s">
        <v>43</v>
      </c>
      <c r="J258" s="9" t="s">
        <v>1575</v>
      </c>
      <c r="K258" s="9" t="s">
        <v>1576</v>
      </c>
      <c r="L258" s="9" t="s">
        <v>22</v>
      </c>
      <c r="M258" s="9" t="s">
        <v>23</v>
      </c>
      <c r="N258" s="9" t="s">
        <v>149</v>
      </c>
      <c r="O258" s="9" t="s">
        <v>150</v>
      </c>
      <c r="P258" s="9">
        <v>19120</v>
      </c>
      <c r="Q258" s="9" t="s">
        <v>49</v>
      </c>
      <c r="R258" s="9" t="s">
        <v>1577</v>
      </c>
      <c r="S258" s="9" t="s">
        <v>66</v>
      </c>
      <c r="T258" s="9" t="s">
        <v>74</v>
      </c>
      <c r="U258" s="9" t="s">
        <v>1578</v>
      </c>
      <c r="V258" s="11">
        <v>281.904</v>
      </c>
      <c r="W258" s="9" t="str">
        <f t="shared" si="19"/>
        <v>Slow Delivery</v>
      </c>
    </row>
    <row r="259" spans="1:23" x14ac:dyDescent="0.25">
      <c r="A259" s="9">
        <v>5928</v>
      </c>
      <c r="B259" s="10" t="s">
        <v>1590</v>
      </c>
      <c r="C259" s="10">
        <v>42288</v>
      </c>
      <c r="D259" s="10">
        <v>42292</v>
      </c>
      <c r="E259" s="9">
        <f t="shared" ref="E259:E322" si="21">YEAR(C259)</f>
        <v>2015</v>
      </c>
      <c r="F259" s="10" t="str">
        <f t="shared" ref="F259:F322" si="22">TEXT(C259,"mmm")</f>
        <v>Oct</v>
      </c>
      <c r="G259" s="9">
        <f t="shared" ref="G259:G322" si="23">MONTH(C259)</f>
        <v>10</v>
      </c>
      <c r="H259" s="9">
        <f t="shared" si="20"/>
        <v>4</v>
      </c>
      <c r="I259" s="9" t="s">
        <v>43</v>
      </c>
      <c r="J259" s="9" t="s">
        <v>1591</v>
      </c>
      <c r="K259" s="9" t="s">
        <v>1592</v>
      </c>
      <c r="L259" s="9" t="s">
        <v>87</v>
      </c>
      <c r="M259" s="9" t="s">
        <v>23</v>
      </c>
      <c r="N259" s="9" t="s">
        <v>369</v>
      </c>
      <c r="O259" s="9" t="s">
        <v>109</v>
      </c>
      <c r="P259" s="9">
        <v>72701</v>
      </c>
      <c r="Q259" s="9" t="s">
        <v>110</v>
      </c>
      <c r="R259" s="9" t="s">
        <v>138</v>
      </c>
      <c r="S259" s="9" t="s">
        <v>66</v>
      </c>
      <c r="T259" s="9" t="s">
        <v>82</v>
      </c>
      <c r="U259" s="9" t="s">
        <v>139</v>
      </c>
      <c r="V259" s="11">
        <v>7.31</v>
      </c>
      <c r="W259" s="9" t="str">
        <f t="shared" ref="W259:W322" si="24">IF(H259&lt;=3,"Fast Delivery","Slow Delivery")</f>
        <v>Slow Delivery</v>
      </c>
    </row>
    <row r="260" spans="1:23" x14ac:dyDescent="0.25">
      <c r="A260" s="9">
        <v>6215</v>
      </c>
      <c r="B260" s="10" t="s">
        <v>1593</v>
      </c>
      <c r="C260" s="10">
        <v>42288</v>
      </c>
      <c r="D260" s="10">
        <v>42292</v>
      </c>
      <c r="E260" s="9">
        <f t="shared" si="21"/>
        <v>2015</v>
      </c>
      <c r="F260" s="10" t="str">
        <f t="shared" si="22"/>
        <v>Oct</v>
      </c>
      <c r="G260" s="9">
        <f t="shared" si="23"/>
        <v>10</v>
      </c>
      <c r="H260" s="9">
        <f t="shared" si="20"/>
        <v>4</v>
      </c>
      <c r="I260" s="9" t="s">
        <v>43</v>
      </c>
      <c r="J260" s="9" t="s">
        <v>1594</v>
      </c>
      <c r="K260" s="9" t="s">
        <v>1595</v>
      </c>
      <c r="L260" s="9" t="s">
        <v>22</v>
      </c>
      <c r="M260" s="9" t="s">
        <v>23</v>
      </c>
      <c r="N260" s="9" t="s">
        <v>1596</v>
      </c>
      <c r="O260" s="9" t="s">
        <v>80</v>
      </c>
      <c r="P260" s="9">
        <v>90278</v>
      </c>
      <c r="Q260" s="9" t="s">
        <v>37</v>
      </c>
      <c r="R260" s="9" t="s">
        <v>1597</v>
      </c>
      <c r="S260" s="9" t="s">
        <v>66</v>
      </c>
      <c r="T260" s="9" t="s">
        <v>280</v>
      </c>
      <c r="U260" s="9" t="s">
        <v>1598</v>
      </c>
      <c r="V260" s="11">
        <v>7.64</v>
      </c>
      <c r="W260" s="9" t="str">
        <f t="shared" si="24"/>
        <v>Slow Delivery</v>
      </c>
    </row>
    <row r="261" spans="1:23" x14ac:dyDescent="0.25">
      <c r="A261" s="9">
        <v>4001</v>
      </c>
      <c r="B261" s="10" t="s">
        <v>1579</v>
      </c>
      <c r="C261" s="10">
        <v>42288</v>
      </c>
      <c r="D261" s="10">
        <v>42293</v>
      </c>
      <c r="E261" s="9">
        <f t="shared" si="21"/>
        <v>2015</v>
      </c>
      <c r="F261" s="10" t="str">
        <f t="shared" si="22"/>
        <v>Oct</v>
      </c>
      <c r="G261" s="9">
        <f t="shared" si="23"/>
        <v>10</v>
      </c>
      <c r="H261" s="9">
        <f t="shared" si="20"/>
        <v>5</v>
      </c>
      <c r="I261" s="9" t="s">
        <v>43</v>
      </c>
      <c r="J261" s="9" t="s">
        <v>1580</v>
      </c>
      <c r="K261" s="9" t="s">
        <v>1581</v>
      </c>
      <c r="L261" s="9" t="s">
        <v>46</v>
      </c>
      <c r="M261" s="9" t="s">
        <v>23</v>
      </c>
      <c r="N261" s="9" t="s">
        <v>35</v>
      </c>
      <c r="O261" s="9" t="s">
        <v>36</v>
      </c>
      <c r="P261" s="9">
        <v>98115</v>
      </c>
      <c r="Q261" s="9" t="s">
        <v>37</v>
      </c>
      <c r="R261" s="9" t="s">
        <v>1582</v>
      </c>
      <c r="S261" s="9" t="s">
        <v>39</v>
      </c>
      <c r="T261" s="9" t="s">
        <v>112</v>
      </c>
      <c r="U261" s="9" t="s">
        <v>1583</v>
      </c>
      <c r="V261" s="11">
        <v>63.47</v>
      </c>
      <c r="W261" s="9" t="str">
        <f t="shared" si="24"/>
        <v>Slow Delivery</v>
      </c>
    </row>
    <row r="262" spans="1:23" x14ac:dyDescent="0.25">
      <c r="A262" s="9">
        <v>9440</v>
      </c>
      <c r="B262" s="10" t="s">
        <v>1688</v>
      </c>
      <c r="C262" s="10">
        <v>42289</v>
      </c>
      <c r="D262" s="10">
        <v>42294</v>
      </c>
      <c r="E262" s="9">
        <f t="shared" si="21"/>
        <v>2015</v>
      </c>
      <c r="F262" s="10" t="str">
        <f t="shared" si="22"/>
        <v>Oct</v>
      </c>
      <c r="G262" s="9">
        <f t="shared" si="23"/>
        <v>10</v>
      </c>
      <c r="H262" s="9">
        <f t="shared" si="20"/>
        <v>5</v>
      </c>
      <c r="I262" s="9" t="s">
        <v>43</v>
      </c>
      <c r="J262" s="9" t="s">
        <v>1689</v>
      </c>
      <c r="K262" s="9" t="s">
        <v>1690</v>
      </c>
      <c r="L262" s="9" t="s">
        <v>87</v>
      </c>
      <c r="M262" s="9" t="s">
        <v>23</v>
      </c>
      <c r="N262" s="9" t="s">
        <v>199</v>
      </c>
      <c r="O262" s="9" t="s">
        <v>57</v>
      </c>
      <c r="P262" s="9">
        <v>60623</v>
      </c>
      <c r="Q262" s="9" t="s">
        <v>26</v>
      </c>
      <c r="R262" s="9" t="s">
        <v>1691</v>
      </c>
      <c r="S262" s="9" t="s">
        <v>66</v>
      </c>
      <c r="T262" s="9" t="s">
        <v>564</v>
      </c>
      <c r="U262" s="9" t="s">
        <v>1692</v>
      </c>
      <c r="V262" s="11">
        <v>22.24</v>
      </c>
      <c r="W262" s="9" t="str">
        <f t="shared" si="24"/>
        <v>Slow Delivery</v>
      </c>
    </row>
    <row r="263" spans="1:23" x14ac:dyDescent="0.25">
      <c r="A263" s="9">
        <v>4898</v>
      </c>
      <c r="B263" s="10" t="s">
        <v>3813</v>
      </c>
      <c r="C263" s="10">
        <v>42292</v>
      </c>
      <c r="D263" s="10">
        <v>42294</v>
      </c>
      <c r="E263" s="9">
        <f t="shared" si="21"/>
        <v>2015</v>
      </c>
      <c r="F263" s="10" t="str">
        <f t="shared" si="22"/>
        <v>Oct</v>
      </c>
      <c r="G263" s="9">
        <f t="shared" si="23"/>
        <v>10</v>
      </c>
      <c r="H263" s="9">
        <f t="shared" si="20"/>
        <v>2</v>
      </c>
      <c r="I263" s="9" t="s">
        <v>19</v>
      </c>
      <c r="J263" s="9" t="s">
        <v>3814</v>
      </c>
      <c r="K263" s="9" t="s">
        <v>3815</v>
      </c>
      <c r="L263" s="9" t="s">
        <v>22</v>
      </c>
      <c r="M263" s="9" t="s">
        <v>23</v>
      </c>
      <c r="N263" s="9" t="s">
        <v>3270</v>
      </c>
      <c r="O263" s="9" t="s">
        <v>250</v>
      </c>
      <c r="P263" s="9">
        <v>44134</v>
      </c>
      <c r="Q263" s="9" t="s">
        <v>49</v>
      </c>
      <c r="R263" s="9" t="s">
        <v>3816</v>
      </c>
      <c r="S263" s="9" t="s">
        <v>39</v>
      </c>
      <c r="T263" s="9" t="s">
        <v>40</v>
      </c>
      <c r="U263" s="9" t="s">
        <v>3817</v>
      </c>
      <c r="V263" s="11">
        <v>183.37200000000001</v>
      </c>
      <c r="W263" s="9" t="str">
        <f t="shared" si="24"/>
        <v>Fast Delivery</v>
      </c>
    </row>
    <row r="264" spans="1:23" x14ac:dyDescent="0.25">
      <c r="A264" s="9">
        <v>7665</v>
      </c>
      <c r="B264" s="10" t="s">
        <v>3951</v>
      </c>
      <c r="C264" s="10">
        <v>42299</v>
      </c>
      <c r="D264" s="10">
        <v>42303</v>
      </c>
      <c r="E264" s="9">
        <f t="shared" si="21"/>
        <v>2015</v>
      </c>
      <c r="F264" s="10" t="str">
        <f t="shared" si="22"/>
        <v>Oct</v>
      </c>
      <c r="G264" s="9">
        <f t="shared" si="23"/>
        <v>10</v>
      </c>
      <c r="H264" s="9">
        <f t="shared" si="20"/>
        <v>4</v>
      </c>
      <c r="I264" s="9" t="s">
        <v>43</v>
      </c>
      <c r="J264" s="9" t="s">
        <v>3952</v>
      </c>
      <c r="K264" s="9" t="s">
        <v>3953</v>
      </c>
      <c r="L264" s="9" t="s">
        <v>87</v>
      </c>
      <c r="M264" s="9" t="s">
        <v>23</v>
      </c>
      <c r="N264" s="9" t="s">
        <v>3954</v>
      </c>
      <c r="O264" s="9" t="s">
        <v>643</v>
      </c>
      <c r="P264" s="9">
        <v>71111</v>
      </c>
      <c r="Q264" s="9" t="s">
        <v>110</v>
      </c>
      <c r="R264" s="9" t="s">
        <v>3955</v>
      </c>
      <c r="S264" s="9" t="s">
        <v>39</v>
      </c>
      <c r="T264" s="9" t="s">
        <v>112</v>
      </c>
      <c r="U264" s="9" t="s">
        <v>3956</v>
      </c>
      <c r="V264" s="11">
        <v>129.91999999999999</v>
      </c>
      <c r="W264" s="9" t="str">
        <f t="shared" si="24"/>
        <v>Slow Delivery</v>
      </c>
    </row>
    <row r="265" spans="1:23" x14ac:dyDescent="0.25">
      <c r="A265" s="9">
        <v>5254</v>
      </c>
      <c r="B265" s="10" t="s">
        <v>1060</v>
      </c>
      <c r="C265" s="10">
        <v>42070</v>
      </c>
      <c r="D265" s="10">
        <v>42074</v>
      </c>
      <c r="E265" s="9">
        <f t="shared" si="21"/>
        <v>2015</v>
      </c>
      <c r="F265" s="10" t="str">
        <f t="shared" si="22"/>
        <v>Mar</v>
      </c>
      <c r="G265" s="9">
        <f t="shared" si="23"/>
        <v>3</v>
      </c>
      <c r="H265" s="9">
        <f t="shared" si="20"/>
        <v>4</v>
      </c>
      <c r="I265" s="9" t="s">
        <v>32</v>
      </c>
      <c r="J265" s="9" t="s">
        <v>1061</v>
      </c>
      <c r="K265" s="9" t="s">
        <v>1062</v>
      </c>
      <c r="L265" s="9" t="s">
        <v>46</v>
      </c>
      <c r="M265" s="9" t="s">
        <v>23</v>
      </c>
      <c r="N265" s="9" t="s">
        <v>1063</v>
      </c>
      <c r="O265" s="9" t="s">
        <v>36</v>
      </c>
      <c r="P265" s="9">
        <v>98198</v>
      </c>
      <c r="Q265" s="9" t="s">
        <v>37</v>
      </c>
      <c r="R265" s="9" t="s">
        <v>1064</v>
      </c>
      <c r="S265" s="9" t="s">
        <v>66</v>
      </c>
      <c r="T265" s="9" t="s">
        <v>103</v>
      </c>
      <c r="U265" s="9" t="s">
        <v>1065</v>
      </c>
      <c r="V265" s="11">
        <v>107.648</v>
      </c>
      <c r="W265" s="9" t="str">
        <f t="shared" si="24"/>
        <v>Slow Delivery</v>
      </c>
    </row>
    <row r="266" spans="1:23" x14ac:dyDescent="0.25">
      <c r="A266" s="9">
        <v>4410</v>
      </c>
      <c r="B266" s="10" t="s">
        <v>969</v>
      </c>
      <c r="C266" s="10">
        <v>42130</v>
      </c>
      <c r="D266" s="10">
        <v>42135</v>
      </c>
      <c r="E266" s="9">
        <f t="shared" si="21"/>
        <v>2015</v>
      </c>
      <c r="F266" s="10" t="str">
        <f t="shared" si="22"/>
        <v>May</v>
      </c>
      <c r="G266" s="9">
        <f t="shared" si="23"/>
        <v>5</v>
      </c>
      <c r="H266" s="9">
        <f t="shared" si="20"/>
        <v>5</v>
      </c>
      <c r="I266" s="9" t="s">
        <v>43</v>
      </c>
      <c r="J266" s="9" t="s">
        <v>970</v>
      </c>
      <c r="K266" s="9" t="s">
        <v>971</v>
      </c>
      <c r="L266" s="9" t="s">
        <v>46</v>
      </c>
      <c r="M266" s="9" t="s">
        <v>23</v>
      </c>
      <c r="N266" s="9" t="s">
        <v>213</v>
      </c>
      <c r="O266" s="9" t="s">
        <v>80</v>
      </c>
      <c r="P266" s="9">
        <v>90004</v>
      </c>
      <c r="Q266" s="9" t="s">
        <v>37</v>
      </c>
      <c r="R266" s="9" t="s">
        <v>972</v>
      </c>
      <c r="S266" s="9" t="s">
        <v>66</v>
      </c>
      <c r="T266" s="9" t="s">
        <v>82</v>
      </c>
      <c r="U266" s="9" t="s">
        <v>973</v>
      </c>
      <c r="V266" s="11">
        <v>5.78</v>
      </c>
      <c r="W266" s="9" t="str">
        <f t="shared" si="24"/>
        <v>Slow Delivery</v>
      </c>
    </row>
    <row r="267" spans="1:23" x14ac:dyDescent="0.25">
      <c r="A267" s="9">
        <v>2140</v>
      </c>
      <c r="B267" s="10" t="s">
        <v>974</v>
      </c>
      <c r="C267" s="10">
        <v>42161</v>
      </c>
      <c r="D267" s="10">
        <v>42166</v>
      </c>
      <c r="E267" s="9">
        <f t="shared" si="21"/>
        <v>2015</v>
      </c>
      <c r="F267" s="10" t="str">
        <f t="shared" si="22"/>
        <v>Jun</v>
      </c>
      <c r="G267" s="9">
        <f t="shared" si="23"/>
        <v>6</v>
      </c>
      <c r="H267" s="9">
        <f t="shared" si="20"/>
        <v>5</v>
      </c>
      <c r="I267" s="9" t="s">
        <v>43</v>
      </c>
      <c r="J267" s="9" t="s">
        <v>975</v>
      </c>
      <c r="K267" s="9" t="s">
        <v>976</v>
      </c>
      <c r="L267" s="9" t="s">
        <v>87</v>
      </c>
      <c r="M267" s="9" t="s">
        <v>23</v>
      </c>
      <c r="N267" s="9" t="s">
        <v>219</v>
      </c>
      <c r="O267" s="9" t="s">
        <v>48</v>
      </c>
      <c r="P267" s="9">
        <v>11561</v>
      </c>
      <c r="Q267" s="9" t="s">
        <v>49</v>
      </c>
      <c r="R267" s="9" t="s">
        <v>977</v>
      </c>
      <c r="S267" s="9" t="s">
        <v>66</v>
      </c>
      <c r="T267" s="9" t="s">
        <v>103</v>
      </c>
      <c r="U267" s="9" t="s">
        <v>978</v>
      </c>
      <c r="V267" s="11">
        <v>149.54400000000001</v>
      </c>
      <c r="W267" s="9" t="str">
        <f t="shared" si="24"/>
        <v>Slow Delivery</v>
      </c>
    </row>
    <row r="268" spans="1:23" x14ac:dyDescent="0.25">
      <c r="A268" s="9">
        <v>4722</v>
      </c>
      <c r="B268" s="10" t="s">
        <v>1094</v>
      </c>
      <c r="C268" s="10">
        <v>42162</v>
      </c>
      <c r="D268" s="10">
        <v>42166</v>
      </c>
      <c r="E268" s="9">
        <f t="shared" si="21"/>
        <v>2015</v>
      </c>
      <c r="F268" s="10" t="str">
        <f t="shared" si="22"/>
        <v>Jun</v>
      </c>
      <c r="G268" s="9">
        <f t="shared" si="23"/>
        <v>6</v>
      </c>
      <c r="H268" s="9">
        <f t="shared" si="20"/>
        <v>4</v>
      </c>
      <c r="I268" s="9" t="s">
        <v>32</v>
      </c>
      <c r="J268" s="9" t="s">
        <v>1095</v>
      </c>
      <c r="K268" s="9" t="s">
        <v>1096</v>
      </c>
      <c r="L268" s="9" t="s">
        <v>22</v>
      </c>
      <c r="M268" s="9" t="s">
        <v>23</v>
      </c>
      <c r="N268" s="9" t="s">
        <v>682</v>
      </c>
      <c r="O268" s="9" t="s">
        <v>57</v>
      </c>
      <c r="P268" s="9">
        <v>60505</v>
      </c>
      <c r="Q268" s="9" t="s">
        <v>26</v>
      </c>
      <c r="R268" s="9" t="s">
        <v>1097</v>
      </c>
      <c r="S268" s="9" t="s">
        <v>39</v>
      </c>
      <c r="T268" s="9" t="s">
        <v>480</v>
      </c>
      <c r="U268" s="9" t="s">
        <v>1098</v>
      </c>
      <c r="V268" s="11">
        <v>268.935</v>
      </c>
      <c r="W268" s="9" t="str">
        <f t="shared" si="24"/>
        <v>Slow Delivery</v>
      </c>
    </row>
    <row r="269" spans="1:23" x14ac:dyDescent="0.25">
      <c r="A269" s="9">
        <v>1812</v>
      </c>
      <c r="B269" s="10" t="s">
        <v>1320</v>
      </c>
      <c r="C269" s="10">
        <v>42164</v>
      </c>
      <c r="D269" s="10">
        <v>42166</v>
      </c>
      <c r="E269" s="9">
        <f t="shared" si="21"/>
        <v>2015</v>
      </c>
      <c r="F269" s="10" t="str">
        <f t="shared" si="22"/>
        <v>Jun</v>
      </c>
      <c r="G269" s="9">
        <f t="shared" si="23"/>
        <v>6</v>
      </c>
      <c r="H269" s="9">
        <f t="shared" si="20"/>
        <v>2</v>
      </c>
      <c r="I269" s="9" t="s">
        <v>32</v>
      </c>
      <c r="J269" s="9" t="s">
        <v>1321</v>
      </c>
      <c r="K269" s="9" t="s">
        <v>1322</v>
      </c>
      <c r="L269" s="9" t="s">
        <v>22</v>
      </c>
      <c r="M269" s="9" t="s">
        <v>23</v>
      </c>
      <c r="N269" s="9" t="s">
        <v>1323</v>
      </c>
      <c r="O269" s="9" t="s">
        <v>298</v>
      </c>
      <c r="P269" s="9">
        <v>22801</v>
      </c>
      <c r="Q269" s="9" t="s">
        <v>110</v>
      </c>
      <c r="R269" s="9" t="s">
        <v>1324</v>
      </c>
      <c r="S269" s="9" t="s">
        <v>39</v>
      </c>
      <c r="T269" s="9" t="s">
        <v>480</v>
      </c>
      <c r="U269" s="9" t="s">
        <v>1325</v>
      </c>
      <c r="V269" s="11">
        <v>1441.3</v>
      </c>
      <c r="W269" s="9" t="str">
        <f t="shared" si="24"/>
        <v>Fast Delivery</v>
      </c>
    </row>
    <row r="270" spans="1:23" x14ac:dyDescent="0.25">
      <c r="A270" s="9">
        <v>3791</v>
      </c>
      <c r="B270" s="10" t="s">
        <v>804</v>
      </c>
      <c r="C270" s="10">
        <v>42190</v>
      </c>
      <c r="D270" s="10">
        <v>42196</v>
      </c>
      <c r="E270" s="9">
        <f t="shared" si="21"/>
        <v>2015</v>
      </c>
      <c r="F270" s="10" t="str">
        <f t="shared" si="22"/>
        <v>Jul</v>
      </c>
      <c r="G270" s="9">
        <f t="shared" si="23"/>
        <v>7</v>
      </c>
      <c r="H270" s="9">
        <f t="shared" si="20"/>
        <v>6</v>
      </c>
      <c r="I270" s="9" t="s">
        <v>43</v>
      </c>
      <c r="J270" s="9" t="s">
        <v>805</v>
      </c>
      <c r="K270" s="9" t="s">
        <v>806</v>
      </c>
      <c r="L270" s="9" t="s">
        <v>46</v>
      </c>
      <c r="M270" s="9" t="s">
        <v>23</v>
      </c>
      <c r="N270" s="9" t="s">
        <v>213</v>
      </c>
      <c r="O270" s="9" t="s">
        <v>80</v>
      </c>
      <c r="P270" s="9">
        <v>90004</v>
      </c>
      <c r="Q270" s="9" t="s">
        <v>37</v>
      </c>
      <c r="R270" s="9" t="s">
        <v>807</v>
      </c>
      <c r="S270" s="9" t="s">
        <v>66</v>
      </c>
      <c r="T270" s="9" t="s">
        <v>103</v>
      </c>
      <c r="U270" s="9" t="s">
        <v>808</v>
      </c>
      <c r="V270" s="11">
        <v>180.96</v>
      </c>
      <c r="W270" s="9" t="str">
        <f t="shared" si="24"/>
        <v>Slow Delivery</v>
      </c>
    </row>
    <row r="271" spans="1:23" x14ac:dyDescent="0.25">
      <c r="A271" s="9">
        <v>4398</v>
      </c>
      <c r="B271" s="10" t="s">
        <v>1099</v>
      </c>
      <c r="C271" s="10">
        <v>42192</v>
      </c>
      <c r="D271" s="10">
        <v>42196</v>
      </c>
      <c r="E271" s="9">
        <f t="shared" si="21"/>
        <v>2015</v>
      </c>
      <c r="F271" s="10" t="str">
        <f t="shared" si="22"/>
        <v>Jul</v>
      </c>
      <c r="G271" s="9">
        <f t="shared" si="23"/>
        <v>7</v>
      </c>
      <c r="H271" s="9">
        <f t="shared" si="20"/>
        <v>4</v>
      </c>
      <c r="I271" s="9" t="s">
        <v>43</v>
      </c>
      <c r="J271" s="9" t="s">
        <v>1100</v>
      </c>
      <c r="K271" s="9" t="s">
        <v>1101</v>
      </c>
      <c r="L271" s="9" t="s">
        <v>22</v>
      </c>
      <c r="M271" s="9" t="s">
        <v>23</v>
      </c>
      <c r="N271" s="9" t="s">
        <v>149</v>
      </c>
      <c r="O271" s="9" t="s">
        <v>150</v>
      </c>
      <c r="P271" s="9">
        <v>19120</v>
      </c>
      <c r="Q271" s="9" t="s">
        <v>49</v>
      </c>
      <c r="R271" s="9" t="s">
        <v>535</v>
      </c>
      <c r="S271" s="9" t="s">
        <v>39</v>
      </c>
      <c r="T271" s="9" t="s">
        <v>40</v>
      </c>
      <c r="U271" s="9" t="s">
        <v>536</v>
      </c>
      <c r="V271" s="11">
        <v>172.18600000000001</v>
      </c>
      <c r="W271" s="9" t="str">
        <f t="shared" si="24"/>
        <v>Slow Delivery</v>
      </c>
    </row>
    <row r="272" spans="1:23" x14ac:dyDescent="0.25">
      <c r="A272" s="9">
        <v>5358</v>
      </c>
      <c r="B272" s="10" t="s">
        <v>826</v>
      </c>
      <c r="C272" s="10">
        <v>42221</v>
      </c>
      <c r="D272" s="10">
        <v>42227</v>
      </c>
      <c r="E272" s="9">
        <f t="shared" si="21"/>
        <v>2015</v>
      </c>
      <c r="F272" s="10" t="str">
        <f t="shared" si="22"/>
        <v>Aug</v>
      </c>
      <c r="G272" s="9">
        <f t="shared" si="23"/>
        <v>8</v>
      </c>
      <c r="H272" s="9">
        <f t="shared" si="20"/>
        <v>6</v>
      </c>
      <c r="I272" s="9" t="s">
        <v>43</v>
      </c>
      <c r="J272" s="9" t="s">
        <v>827</v>
      </c>
      <c r="K272" s="9" t="s">
        <v>828</v>
      </c>
      <c r="L272" s="9" t="s">
        <v>22</v>
      </c>
      <c r="M272" s="9" t="s">
        <v>23</v>
      </c>
      <c r="N272" s="9" t="s">
        <v>143</v>
      </c>
      <c r="O272" s="9" t="s">
        <v>80</v>
      </c>
      <c r="P272" s="9">
        <v>94122</v>
      </c>
      <c r="Q272" s="9" t="s">
        <v>37</v>
      </c>
      <c r="R272" s="9" t="s">
        <v>829</v>
      </c>
      <c r="S272" s="9" t="s">
        <v>28</v>
      </c>
      <c r="T272" s="9" t="s">
        <v>29</v>
      </c>
      <c r="U272" s="9" t="s">
        <v>830</v>
      </c>
      <c r="V272" s="11">
        <v>16.36</v>
      </c>
      <c r="W272" s="9" t="str">
        <f t="shared" si="24"/>
        <v>Slow Delivery</v>
      </c>
    </row>
    <row r="273" spans="1:23" x14ac:dyDescent="0.25">
      <c r="A273" s="9">
        <v>3773</v>
      </c>
      <c r="B273" s="10" t="s">
        <v>1000</v>
      </c>
      <c r="C273" s="10">
        <v>42222</v>
      </c>
      <c r="D273" s="10">
        <v>42227</v>
      </c>
      <c r="E273" s="9">
        <f t="shared" si="21"/>
        <v>2015</v>
      </c>
      <c r="F273" s="10" t="str">
        <f t="shared" si="22"/>
        <v>Aug</v>
      </c>
      <c r="G273" s="9">
        <f t="shared" si="23"/>
        <v>8</v>
      </c>
      <c r="H273" s="9">
        <f t="shared" si="20"/>
        <v>5</v>
      </c>
      <c r="I273" s="9" t="s">
        <v>32</v>
      </c>
      <c r="J273" s="9" t="s">
        <v>1001</v>
      </c>
      <c r="K273" s="9" t="s">
        <v>1002</v>
      </c>
      <c r="L273" s="9" t="s">
        <v>22</v>
      </c>
      <c r="M273" s="9" t="s">
        <v>23</v>
      </c>
      <c r="N273" s="9" t="s">
        <v>1003</v>
      </c>
      <c r="O273" s="9" t="s">
        <v>1004</v>
      </c>
      <c r="P273" s="9">
        <v>29203</v>
      </c>
      <c r="Q273" s="9" t="s">
        <v>110</v>
      </c>
      <c r="R273" s="9" t="s">
        <v>414</v>
      </c>
      <c r="S273" s="9" t="s">
        <v>28</v>
      </c>
      <c r="T273" s="9" t="s">
        <v>29</v>
      </c>
      <c r="U273" s="9" t="s">
        <v>415</v>
      </c>
      <c r="V273" s="11">
        <v>62.91</v>
      </c>
      <c r="W273" s="9" t="str">
        <f t="shared" si="24"/>
        <v>Slow Delivery</v>
      </c>
    </row>
    <row r="274" spans="1:23" x14ac:dyDescent="0.25">
      <c r="A274" s="9">
        <v>8544</v>
      </c>
      <c r="B274" s="10" t="s">
        <v>1005</v>
      </c>
      <c r="C274" s="10">
        <v>42222</v>
      </c>
      <c r="D274" s="10">
        <v>42227</v>
      </c>
      <c r="E274" s="9">
        <f t="shared" si="21"/>
        <v>2015</v>
      </c>
      <c r="F274" s="10" t="str">
        <f t="shared" si="22"/>
        <v>Aug</v>
      </c>
      <c r="G274" s="9">
        <f t="shared" si="23"/>
        <v>8</v>
      </c>
      <c r="H274" s="9">
        <f t="shared" si="20"/>
        <v>5</v>
      </c>
      <c r="I274" s="9" t="s">
        <v>43</v>
      </c>
      <c r="J274" s="9" t="s">
        <v>1006</v>
      </c>
      <c r="K274" s="9" t="s">
        <v>1007</v>
      </c>
      <c r="L274" s="9" t="s">
        <v>22</v>
      </c>
      <c r="M274" s="9" t="s">
        <v>23</v>
      </c>
      <c r="N274" s="9" t="s">
        <v>47</v>
      </c>
      <c r="O274" s="9" t="s">
        <v>48</v>
      </c>
      <c r="P274" s="9">
        <v>10035</v>
      </c>
      <c r="Q274" s="9" t="s">
        <v>49</v>
      </c>
      <c r="R274" s="9" t="s">
        <v>1008</v>
      </c>
      <c r="S274" s="9" t="s">
        <v>28</v>
      </c>
      <c r="T274" s="9" t="s">
        <v>29</v>
      </c>
      <c r="U274" s="9" t="s">
        <v>1009</v>
      </c>
      <c r="V274" s="11">
        <v>199.98</v>
      </c>
      <c r="W274" s="9" t="str">
        <f t="shared" si="24"/>
        <v>Slow Delivery</v>
      </c>
    </row>
    <row r="275" spans="1:23" x14ac:dyDescent="0.25">
      <c r="A275" s="9">
        <v>2751</v>
      </c>
      <c r="B275" s="10" t="s">
        <v>1206</v>
      </c>
      <c r="C275" s="10">
        <v>42224</v>
      </c>
      <c r="D275" s="10">
        <v>42227</v>
      </c>
      <c r="E275" s="9">
        <f t="shared" si="21"/>
        <v>2015</v>
      </c>
      <c r="F275" s="10" t="str">
        <f t="shared" si="22"/>
        <v>Aug</v>
      </c>
      <c r="G275" s="9">
        <f t="shared" si="23"/>
        <v>8</v>
      </c>
      <c r="H275" s="9">
        <f t="shared" si="20"/>
        <v>3</v>
      </c>
      <c r="I275" s="9" t="s">
        <v>32</v>
      </c>
      <c r="J275" s="9" t="s">
        <v>1207</v>
      </c>
      <c r="K275" s="9" t="s">
        <v>1208</v>
      </c>
      <c r="L275" s="9" t="s">
        <v>22</v>
      </c>
      <c r="M275" s="9" t="s">
        <v>23</v>
      </c>
      <c r="N275" s="9" t="s">
        <v>1209</v>
      </c>
      <c r="O275" s="9" t="s">
        <v>80</v>
      </c>
      <c r="P275" s="9">
        <v>95687</v>
      </c>
      <c r="Q275" s="9" t="s">
        <v>37</v>
      </c>
      <c r="R275" s="9" t="s">
        <v>546</v>
      </c>
      <c r="S275" s="9" t="s">
        <v>66</v>
      </c>
      <c r="T275" s="9" t="s">
        <v>74</v>
      </c>
      <c r="U275" s="9" t="s">
        <v>547</v>
      </c>
      <c r="V275" s="11">
        <v>423.28</v>
      </c>
      <c r="W275" s="9" t="str">
        <f t="shared" si="24"/>
        <v>Fast Delivery</v>
      </c>
    </row>
    <row r="276" spans="1:23" x14ac:dyDescent="0.25">
      <c r="A276" s="9">
        <v>1279</v>
      </c>
      <c r="B276" s="10" t="s">
        <v>1231</v>
      </c>
      <c r="C276" s="10">
        <v>42255</v>
      </c>
      <c r="D276" s="10">
        <v>42258</v>
      </c>
      <c r="E276" s="9">
        <f t="shared" si="21"/>
        <v>2015</v>
      </c>
      <c r="F276" s="10" t="str">
        <f t="shared" si="22"/>
        <v>Sep</v>
      </c>
      <c r="G276" s="9">
        <f t="shared" si="23"/>
        <v>9</v>
      </c>
      <c r="H276" s="9">
        <f t="shared" si="20"/>
        <v>3</v>
      </c>
      <c r="I276" s="9" t="s">
        <v>19</v>
      </c>
      <c r="J276" s="9" t="s">
        <v>1232</v>
      </c>
      <c r="K276" s="9" t="s">
        <v>1233</v>
      </c>
      <c r="L276" s="9" t="s">
        <v>87</v>
      </c>
      <c r="M276" s="9" t="s">
        <v>23</v>
      </c>
      <c r="N276" s="9" t="s">
        <v>1234</v>
      </c>
      <c r="O276" s="9" t="s">
        <v>286</v>
      </c>
      <c r="P276" s="9">
        <v>31204</v>
      </c>
      <c r="Q276" s="9" t="s">
        <v>110</v>
      </c>
      <c r="R276" s="9" t="s">
        <v>1235</v>
      </c>
      <c r="S276" s="9" t="s">
        <v>28</v>
      </c>
      <c r="T276" s="9" t="s">
        <v>29</v>
      </c>
      <c r="U276" s="9" t="s">
        <v>1236</v>
      </c>
      <c r="V276" s="11">
        <v>32.97</v>
      </c>
      <c r="W276" s="9" t="str">
        <f t="shared" si="24"/>
        <v>Fast Delivery</v>
      </c>
    </row>
    <row r="277" spans="1:23" x14ac:dyDescent="0.25">
      <c r="A277" s="9">
        <v>8017</v>
      </c>
      <c r="B277" s="10" t="s">
        <v>1373</v>
      </c>
      <c r="C277" s="10">
        <v>42256</v>
      </c>
      <c r="D277" s="10">
        <v>42258</v>
      </c>
      <c r="E277" s="9">
        <f t="shared" si="21"/>
        <v>2015</v>
      </c>
      <c r="F277" s="10" t="str">
        <f t="shared" si="22"/>
        <v>Sep</v>
      </c>
      <c r="G277" s="9">
        <f t="shared" si="23"/>
        <v>9</v>
      </c>
      <c r="H277" s="9">
        <f t="shared" si="20"/>
        <v>2</v>
      </c>
      <c r="I277" s="9" t="s">
        <v>19</v>
      </c>
      <c r="J277" s="9" t="s">
        <v>1374</v>
      </c>
      <c r="K277" s="9" t="s">
        <v>1375</v>
      </c>
      <c r="L277" s="9" t="s">
        <v>46</v>
      </c>
      <c r="M277" s="9" t="s">
        <v>23</v>
      </c>
      <c r="N277" s="9" t="s">
        <v>562</v>
      </c>
      <c r="O277" s="9" t="s">
        <v>250</v>
      </c>
      <c r="P277" s="9">
        <v>43130</v>
      </c>
      <c r="Q277" s="9" t="s">
        <v>49</v>
      </c>
      <c r="R277" s="9" t="s">
        <v>1376</v>
      </c>
      <c r="S277" s="9" t="s">
        <v>39</v>
      </c>
      <c r="T277" s="9" t="s">
        <v>112</v>
      </c>
      <c r="U277" s="9" t="s">
        <v>1377</v>
      </c>
      <c r="V277" s="11">
        <v>60.671999999999997</v>
      </c>
      <c r="W277" s="9" t="str">
        <f t="shared" si="24"/>
        <v>Fast Delivery</v>
      </c>
    </row>
    <row r="278" spans="1:23" x14ac:dyDescent="0.25">
      <c r="A278" s="9">
        <v>4309</v>
      </c>
      <c r="B278" s="10" t="s">
        <v>723</v>
      </c>
      <c r="C278" s="10">
        <v>42312</v>
      </c>
      <c r="D278" s="10">
        <v>42319</v>
      </c>
      <c r="E278" s="9">
        <f t="shared" si="21"/>
        <v>2015</v>
      </c>
      <c r="F278" s="10" t="str">
        <f t="shared" si="22"/>
        <v>Nov</v>
      </c>
      <c r="G278" s="9">
        <f t="shared" si="23"/>
        <v>11</v>
      </c>
      <c r="H278" s="9">
        <f t="shared" si="20"/>
        <v>7</v>
      </c>
      <c r="I278" s="9" t="s">
        <v>43</v>
      </c>
      <c r="J278" s="9" t="s">
        <v>724</v>
      </c>
      <c r="K278" s="9" t="s">
        <v>725</v>
      </c>
      <c r="L278" s="9" t="s">
        <v>22</v>
      </c>
      <c r="M278" s="9" t="s">
        <v>23</v>
      </c>
      <c r="N278" s="9" t="s">
        <v>213</v>
      </c>
      <c r="O278" s="9" t="s">
        <v>80</v>
      </c>
      <c r="P278" s="9">
        <v>90045</v>
      </c>
      <c r="Q278" s="9" t="s">
        <v>37</v>
      </c>
      <c r="R278" s="9" t="s">
        <v>726</v>
      </c>
      <c r="S278" s="9" t="s">
        <v>28</v>
      </c>
      <c r="T278" s="9" t="s">
        <v>51</v>
      </c>
      <c r="U278" s="9" t="s">
        <v>727</v>
      </c>
      <c r="V278" s="11">
        <v>666.34400000000005</v>
      </c>
      <c r="W278" s="9" t="str">
        <f t="shared" si="24"/>
        <v>Slow Delivery</v>
      </c>
    </row>
    <row r="279" spans="1:23" x14ac:dyDescent="0.25">
      <c r="A279" s="9">
        <v>5654</v>
      </c>
      <c r="B279" s="10" t="s">
        <v>733</v>
      </c>
      <c r="C279" s="10">
        <v>42312</v>
      </c>
      <c r="D279" s="10">
        <v>42319</v>
      </c>
      <c r="E279" s="9">
        <f t="shared" si="21"/>
        <v>2015</v>
      </c>
      <c r="F279" s="10" t="str">
        <f t="shared" si="22"/>
        <v>Nov</v>
      </c>
      <c r="G279" s="9">
        <f t="shared" si="23"/>
        <v>11</v>
      </c>
      <c r="H279" s="9">
        <f t="shared" si="20"/>
        <v>7</v>
      </c>
      <c r="I279" s="9" t="s">
        <v>43</v>
      </c>
      <c r="J279" s="9" t="s">
        <v>734</v>
      </c>
      <c r="K279" s="9" t="s">
        <v>735</v>
      </c>
      <c r="L279" s="9" t="s">
        <v>87</v>
      </c>
      <c r="M279" s="9" t="s">
        <v>23</v>
      </c>
      <c r="N279" s="9" t="s">
        <v>219</v>
      </c>
      <c r="O279" s="9" t="s">
        <v>80</v>
      </c>
      <c r="P279" s="9">
        <v>90805</v>
      </c>
      <c r="Q279" s="9" t="s">
        <v>37</v>
      </c>
      <c r="R279" s="9" t="s">
        <v>736</v>
      </c>
      <c r="S279" s="9" t="s">
        <v>66</v>
      </c>
      <c r="T279" s="9" t="s">
        <v>158</v>
      </c>
      <c r="U279" s="9" t="s">
        <v>737</v>
      </c>
      <c r="V279" s="11">
        <v>2.94</v>
      </c>
      <c r="W279" s="9" t="str">
        <f t="shared" si="24"/>
        <v>Slow Delivery</v>
      </c>
    </row>
    <row r="280" spans="1:23" x14ac:dyDescent="0.25">
      <c r="A280" s="9">
        <v>472</v>
      </c>
      <c r="B280" s="10" t="s">
        <v>1383</v>
      </c>
      <c r="C280" s="10">
        <v>42317</v>
      </c>
      <c r="D280" s="10">
        <v>42319</v>
      </c>
      <c r="E280" s="9">
        <f t="shared" si="21"/>
        <v>2015</v>
      </c>
      <c r="F280" s="10" t="str">
        <f t="shared" si="22"/>
        <v>Nov</v>
      </c>
      <c r="G280" s="9">
        <f t="shared" si="23"/>
        <v>11</v>
      </c>
      <c r="H280" s="9">
        <f t="shared" si="20"/>
        <v>2</v>
      </c>
      <c r="I280" s="9" t="s">
        <v>32</v>
      </c>
      <c r="J280" s="9" t="s">
        <v>1384</v>
      </c>
      <c r="K280" s="9" t="s">
        <v>1385</v>
      </c>
      <c r="L280" s="9" t="s">
        <v>22</v>
      </c>
      <c r="M280" s="9" t="s">
        <v>23</v>
      </c>
      <c r="N280" s="9" t="s">
        <v>143</v>
      </c>
      <c r="O280" s="9" t="s">
        <v>80</v>
      </c>
      <c r="P280" s="9">
        <v>94110</v>
      </c>
      <c r="Q280" s="9" t="s">
        <v>37</v>
      </c>
      <c r="R280" s="9" t="s">
        <v>1386</v>
      </c>
      <c r="S280" s="9" t="s">
        <v>66</v>
      </c>
      <c r="T280" s="9" t="s">
        <v>74</v>
      </c>
      <c r="U280" s="9" t="s">
        <v>1387</v>
      </c>
      <c r="V280" s="11">
        <v>340.92</v>
      </c>
      <c r="W280" s="9" t="str">
        <f t="shared" si="24"/>
        <v>Fast Delivery</v>
      </c>
    </row>
    <row r="281" spans="1:23" x14ac:dyDescent="0.25">
      <c r="A281" s="9">
        <v>2984</v>
      </c>
      <c r="B281" s="10" t="s">
        <v>1028</v>
      </c>
      <c r="C281" s="10">
        <v>42344</v>
      </c>
      <c r="D281" s="10">
        <v>42349</v>
      </c>
      <c r="E281" s="9">
        <f t="shared" si="21"/>
        <v>2015</v>
      </c>
      <c r="F281" s="10" t="str">
        <f t="shared" si="22"/>
        <v>Dec</v>
      </c>
      <c r="G281" s="9">
        <f t="shared" si="23"/>
        <v>12</v>
      </c>
      <c r="H281" s="9">
        <f t="shared" si="20"/>
        <v>5</v>
      </c>
      <c r="I281" s="9" t="s">
        <v>32</v>
      </c>
      <c r="J281" s="9" t="s">
        <v>1029</v>
      </c>
      <c r="K281" s="9" t="s">
        <v>1030</v>
      </c>
      <c r="L281" s="9" t="s">
        <v>22</v>
      </c>
      <c r="M281" s="9" t="s">
        <v>23</v>
      </c>
      <c r="N281" s="9" t="s">
        <v>335</v>
      </c>
      <c r="O281" s="9" t="s">
        <v>188</v>
      </c>
      <c r="P281" s="9">
        <v>97477</v>
      </c>
      <c r="Q281" s="9" t="s">
        <v>37</v>
      </c>
      <c r="R281" s="9" t="s">
        <v>1031</v>
      </c>
      <c r="S281" s="9" t="s">
        <v>66</v>
      </c>
      <c r="T281" s="9" t="s">
        <v>74</v>
      </c>
      <c r="U281" s="9" t="s">
        <v>1032</v>
      </c>
      <c r="V281" s="11">
        <v>53.423999999999999</v>
      </c>
      <c r="W281" s="9" t="str">
        <f t="shared" si="24"/>
        <v>Slow Delivery</v>
      </c>
    </row>
    <row r="282" spans="1:23" x14ac:dyDescent="0.25">
      <c r="A282" s="9">
        <v>8138</v>
      </c>
      <c r="B282" s="10" t="s">
        <v>1388</v>
      </c>
      <c r="C282" s="10">
        <v>42317</v>
      </c>
      <c r="D282" s="10">
        <v>42321</v>
      </c>
      <c r="E282" s="9">
        <f t="shared" si="21"/>
        <v>2015</v>
      </c>
      <c r="F282" s="10" t="str">
        <f t="shared" si="22"/>
        <v>Nov</v>
      </c>
      <c r="G282" s="9">
        <f t="shared" si="23"/>
        <v>11</v>
      </c>
      <c r="H282" s="9">
        <f t="shared" si="20"/>
        <v>4</v>
      </c>
      <c r="I282" s="9" t="s">
        <v>43</v>
      </c>
      <c r="J282" s="9" t="s">
        <v>1389</v>
      </c>
      <c r="K282" s="9" t="s">
        <v>1390</v>
      </c>
      <c r="L282" s="9" t="s">
        <v>46</v>
      </c>
      <c r="M282" s="9" t="s">
        <v>23</v>
      </c>
      <c r="N282" s="9" t="s">
        <v>47</v>
      </c>
      <c r="O282" s="9" t="s">
        <v>48</v>
      </c>
      <c r="P282" s="9">
        <v>10035</v>
      </c>
      <c r="Q282" s="9" t="s">
        <v>49</v>
      </c>
      <c r="R282" s="9" t="s">
        <v>1391</v>
      </c>
      <c r="S282" s="9" t="s">
        <v>39</v>
      </c>
      <c r="T282" s="9" t="s">
        <v>112</v>
      </c>
      <c r="U282" s="9" t="s">
        <v>1392</v>
      </c>
      <c r="V282" s="11">
        <v>56.52</v>
      </c>
      <c r="W282" s="9" t="str">
        <f t="shared" si="24"/>
        <v>Slow Delivery</v>
      </c>
    </row>
    <row r="283" spans="1:23" x14ac:dyDescent="0.25">
      <c r="A283" s="9">
        <v>982</v>
      </c>
      <c r="B283" s="10" t="s">
        <v>1604</v>
      </c>
      <c r="C283" s="10">
        <v>42319</v>
      </c>
      <c r="D283" s="10">
        <v>42322</v>
      </c>
      <c r="E283" s="9">
        <f t="shared" si="21"/>
        <v>2015</v>
      </c>
      <c r="F283" s="10" t="str">
        <f t="shared" si="22"/>
        <v>Nov</v>
      </c>
      <c r="G283" s="9">
        <f t="shared" si="23"/>
        <v>11</v>
      </c>
      <c r="H283" s="9">
        <f t="shared" si="20"/>
        <v>3</v>
      </c>
      <c r="I283" s="9" t="s">
        <v>32</v>
      </c>
      <c r="J283" s="9" t="s">
        <v>1605</v>
      </c>
      <c r="K283" s="9" t="s">
        <v>1606</v>
      </c>
      <c r="L283" s="9" t="s">
        <v>22</v>
      </c>
      <c r="M283" s="9" t="s">
        <v>23</v>
      </c>
      <c r="N283" s="9" t="s">
        <v>1607</v>
      </c>
      <c r="O283" s="9" t="s">
        <v>181</v>
      </c>
      <c r="P283" s="9">
        <v>80027</v>
      </c>
      <c r="Q283" s="9" t="s">
        <v>37</v>
      </c>
      <c r="R283" s="9" t="s">
        <v>1608</v>
      </c>
      <c r="S283" s="9" t="s">
        <v>66</v>
      </c>
      <c r="T283" s="9" t="s">
        <v>158</v>
      </c>
      <c r="U283" s="9" t="s">
        <v>1609</v>
      </c>
      <c r="V283" s="11">
        <v>3.3919999999999999</v>
      </c>
      <c r="W283" s="9" t="str">
        <f t="shared" si="24"/>
        <v>Fast Delivery</v>
      </c>
    </row>
    <row r="284" spans="1:23" x14ac:dyDescent="0.25">
      <c r="A284" s="9">
        <v>3325</v>
      </c>
      <c r="B284" s="10" t="s">
        <v>1610</v>
      </c>
      <c r="C284" s="10">
        <v>42319</v>
      </c>
      <c r="D284" s="10">
        <v>42323</v>
      </c>
      <c r="E284" s="9">
        <f t="shared" si="21"/>
        <v>2015</v>
      </c>
      <c r="F284" s="10" t="str">
        <f t="shared" si="22"/>
        <v>Nov</v>
      </c>
      <c r="G284" s="9">
        <f t="shared" si="23"/>
        <v>11</v>
      </c>
      <c r="H284" s="9">
        <f t="shared" si="20"/>
        <v>4</v>
      </c>
      <c r="I284" s="9" t="s">
        <v>43</v>
      </c>
      <c r="J284" s="9" t="s">
        <v>1611</v>
      </c>
      <c r="K284" s="9" t="s">
        <v>1612</v>
      </c>
      <c r="L284" s="9" t="s">
        <v>22</v>
      </c>
      <c r="M284" s="9" t="s">
        <v>23</v>
      </c>
      <c r="N284" s="9" t="s">
        <v>72</v>
      </c>
      <c r="O284" s="9" t="s">
        <v>64</v>
      </c>
      <c r="P284" s="9">
        <v>77095</v>
      </c>
      <c r="Q284" s="9" t="s">
        <v>26</v>
      </c>
      <c r="R284" s="9" t="s">
        <v>370</v>
      </c>
      <c r="S284" s="9" t="s">
        <v>66</v>
      </c>
      <c r="T284" s="9" t="s">
        <v>103</v>
      </c>
      <c r="U284" s="9" t="s">
        <v>371</v>
      </c>
      <c r="V284" s="11">
        <v>896.99</v>
      </c>
      <c r="W284" s="9" t="str">
        <f t="shared" si="24"/>
        <v>Slow Delivery</v>
      </c>
    </row>
    <row r="285" spans="1:23" x14ac:dyDescent="0.25">
      <c r="A285" s="9">
        <v>5955</v>
      </c>
      <c r="B285" s="10" t="s">
        <v>1618</v>
      </c>
      <c r="C285" s="10">
        <v>42319</v>
      </c>
      <c r="D285" s="10">
        <v>42323</v>
      </c>
      <c r="E285" s="9">
        <f t="shared" si="21"/>
        <v>2015</v>
      </c>
      <c r="F285" s="10" t="str">
        <f t="shared" si="22"/>
        <v>Nov</v>
      </c>
      <c r="G285" s="9">
        <f t="shared" si="23"/>
        <v>11</v>
      </c>
      <c r="H285" s="9">
        <f t="shared" si="20"/>
        <v>4</v>
      </c>
      <c r="I285" s="9" t="s">
        <v>32</v>
      </c>
      <c r="J285" s="9" t="s">
        <v>1619</v>
      </c>
      <c r="K285" s="9" t="s">
        <v>1620</v>
      </c>
      <c r="L285" s="9" t="s">
        <v>87</v>
      </c>
      <c r="M285" s="9" t="s">
        <v>23</v>
      </c>
      <c r="N285" s="9" t="s">
        <v>1621</v>
      </c>
      <c r="O285" s="9" t="s">
        <v>150</v>
      </c>
      <c r="P285" s="9">
        <v>19601</v>
      </c>
      <c r="Q285" s="9" t="s">
        <v>49</v>
      </c>
      <c r="R285" s="9" t="s">
        <v>1622</v>
      </c>
      <c r="S285" s="9" t="s">
        <v>39</v>
      </c>
      <c r="T285" s="9" t="s">
        <v>112</v>
      </c>
      <c r="U285" s="9" t="s">
        <v>1623</v>
      </c>
      <c r="V285" s="11">
        <v>23.968</v>
      </c>
      <c r="W285" s="9" t="str">
        <f t="shared" si="24"/>
        <v>Slow Delivery</v>
      </c>
    </row>
    <row r="286" spans="1:23" x14ac:dyDescent="0.25">
      <c r="A286" s="9">
        <v>2413</v>
      </c>
      <c r="B286" s="10" t="s">
        <v>1698</v>
      </c>
      <c r="C286" s="10">
        <v>42320</v>
      </c>
      <c r="D286" s="10">
        <v>42324</v>
      </c>
      <c r="E286" s="9">
        <f t="shared" si="21"/>
        <v>2015</v>
      </c>
      <c r="F286" s="10" t="str">
        <f t="shared" si="22"/>
        <v>Nov</v>
      </c>
      <c r="G286" s="9">
        <f t="shared" si="23"/>
        <v>11</v>
      </c>
      <c r="H286" s="9">
        <f t="shared" si="20"/>
        <v>4</v>
      </c>
      <c r="I286" s="9" t="s">
        <v>43</v>
      </c>
      <c r="J286" s="9" t="s">
        <v>1699</v>
      </c>
      <c r="K286" s="9" t="s">
        <v>1700</v>
      </c>
      <c r="L286" s="9" t="s">
        <v>22</v>
      </c>
      <c r="M286" s="9" t="s">
        <v>23</v>
      </c>
      <c r="N286" s="9" t="s">
        <v>213</v>
      </c>
      <c r="O286" s="9" t="s">
        <v>80</v>
      </c>
      <c r="P286" s="9">
        <v>90045</v>
      </c>
      <c r="Q286" s="9" t="s">
        <v>37</v>
      </c>
      <c r="R286" s="9" t="s">
        <v>1701</v>
      </c>
      <c r="S286" s="9" t="s">
        <v>66</v>
      </c>
      <c r="T286" s="9" t="s">
        <v>201</v>
      </c>
      <c r="U286" s="9" t="s">
        <v>1702</v>
      </c>
      <c r="V286" s="11">
        <v>11.96</v>
      </c>
      <c r="W286" s="9" t="str">
        <f t="shared" si="24"/>
        <v>Slow Delivery</v>
      </c>
    </row>
    <row r="287" spans="1:23" x14ac:dyDescent="0.25">
      <c r="A287" s="9">
        <v>5551</v>
      </c>
      <c r="B287" s="10" t="s">
        <v>1703</v>
      </c>
      <c r="C287" s="10">
        <v>42320</v>
      </c>
      <c r="D287" s="10">
        <v>42324</v>
      </c>
      <c r="E287" s="9">
        <f t="shared" si="21"/>
        <v>2015</v>
      </c>
      <c r="F287" s="10" t="str">
        <f t="shared" si="22"/>
        <v>Nov</v>
      </c>
      <c r="G287" s="9">
        <f t="shared" si="23"/>
        <v>11</v>
      </c>
      <c r="H287" s="9">
        <f t="shared" si="20"/>
        <v>4</v>
      </c>
      <c r="I287" s="9" t="s">
        <v>43</v>
      </c>
      <c r="J287" s="9" t="s">
        <v>1704</v>
      </c>
      <c r="K287" s="9" t="s">
        <v>1705</v>
      </c>
      <c r="L287" s="9" t="s">
        <v>87</v>
      </c>
      <c r="M287" s="9" t="s">
        <v>23</v>
      </c>
      <c r="N287" s="9" t="s">
        <v>72</v>
      </c>
      <c r="O287" s="9" t="s">
        <v>64</v>
      </c>
      <c r="P287" s="9">
        <v>77036</v>
      </c>
      <c r="Q287" s="9" t="s">
        <v>26</v>
      </c>
      <c r="R287" s="9" t="s">
        <v>1706</v>
      </c>
      <c r="S287" s="9" t="s">
        <v>66</v>
      </c>
      <c r="T287" s="9" t="s">
        <v>158</v>
      </c>
      <c r="U287" s="9" t="s">
        <v>1707</v>
      </c>
      <c r="V287" s="11">
        <v>2.6720000000000002</v>
      </c>
      <c r="W287" s="9" t="str">
        <f t="shared" si="24"/>
        <v>Slow Delivery</v>
      </c>
    </row>
    <row r="288" spans="1:23" x14ac:dyDescent="0.25">
      <c r="A288" s="9">
        <v>17</v>
      </c>
      <c r="B288" s="10" t="s">
        <v>1599</v>
      </c>
      <c r="C288" s="10">
        <v>42319</v>
      </c>
      <c r="D288" s="10">
        <v>42326</v>
      </c>
      <c r="E288" s="9">
        <f t="shared" si="21"/>
        <v>2015</v>
      </c>
      <c r="F288" s="10" t="str">
        <f t="shared" si="22"/>
        <v>Nov</v>
      </c>
      <c r="G288" s="9">
        <f t="shared" si="23"/>
        <v>11</v>
      </c>
      <c r="H288" s="9">
        <f t="shared" si="20"/>
        <v>7</v>
      </c>
      <c r="I288" s="9" t="s">
        <v>43</v>
      </c>
      <c r="J288" s="9" t="s">
        <v>1600</v>
      </c>
      <c r="K288" s="9" t="s">
        <v>1601</v>
      </c>
      <c r="L288" s="9" t="s">
        <v>22</v>
      </c>
      <c r="M288" s="9" t="s">
        <v>23</v>
      </c>
      <c r="N288" s="9" t="s">
        <v>232</v>
      </c>
      <c r="O288" s="9" t="s">
        <v>25</v>
      </c>
      <c r="P288" s="9">
        <v>53711</v>
      </c>
      <c r="Q288" s="9" t="s">
        <v>26</v>
      </c>
      <c r="R288" s="9" t="s">
        <v>1602</v>
      </c>
      <c r="S288" s="9" t="s">
        <v>66</v>
      </c>
      <c r="T288" s="9" t="s">
        <v>74</v>
      </c>
      <c r="U288" s="9" t="s">
        <v>1603</v>
      </c>
      <c r="V288" s="11">
        <v>665.88</v>
      </c>
      <c r="W288" s="9" t="str">
        <f t="shared" si="24"/>
        <v>Slow Delivery</v>
      </c>
    </row>
    <row r="289" spans="1:23" x14ac:dyDescent="0.25">
      <c r="A289" s="9">
        <v>5779</v>
      </c>
      <c r="B289" s="10" t="s">
        <v>1613</v>
      </c>
      <c r="C289" s="10">
        <v>42319</v>
      </c>
      <c r="D289" s="10">
        <v>42326</v>
      </c>
      <c r="E289" s="9">
        <f t="shared" si="21"/>
        <v>2015</v>
      </c>
      <c r="F289" s="10" t="str">
        <f t="shared" si="22"/>
        <v>Nov</v>
      </c>
      <c r="G289" s="9">
        <f t="shared" si="23"/>
        <v>11</v>
      </c>
      <c r="H289" s="9">
        <f t="shared" si="20"/>
        <v>7</v>
      </c>
      <c r="I289" s="9" t="s">
        <v>43</v>
      </c>
      <c r="J289" s="9" t="s">
        <v>1614</v>
      </c>
      <c r="K289" s="9" t="s">
        <v>1615</v>
      </c>
      <c r="L289" s="9" t="s">
        <v>22</v>
      </c>
      <c r="M289" s="9" t="s">
        <v>23</v>
      </c>
      <c r="N289" s="9" t="s">
        <v>213</v>
      </c>
      <c r="O289" s="9" t="s">
        <v>80</v>
      </c>
      <c r="P289" s="9">
        <v>90008</v>
      </c>
      <c r="Q289" s="9" t="s">
        <v>37</v>
      </c>
      <c r="R289" s="9" t="s">
        <v>1616</v>
      </c>
      <c r="S289" s="9" t="s">
        <v>66</v>
      </c>
      <c r="T289" s="9" t="s">
        <v>158</v>
      </c>
      <c r="U289" s="9" t="s">
        <v>1617</v>
      </c>
      <c r="V289" s="11">
        <v>30.48</v>
      </c>
      <c r="W289" s="9" t="str">
        <f t="shared" si="24"/>
        <v>Slow Delivery</v>
      </c>
    </row>
    <row r="290" spans="1:23" x14ac:dyDescent="0.25">
      <c r="A290" s="9">
        <v>3602</v>
      </c>
      <c r="B290" s="10" t="s">
        <v>3866</v>
      </c>
      <c r="C290" s="10">
        <v>42325</v>
      </c>
      <c r="D290" s="10">
        <v>42332</v>
      </c>
      <c r="E290" s="9">
        <f t="shared" si="21"/>
        <v>2015</v>
      </c>
      <c r="F290" s="10" t="str">
        <f t="shared" si="22"/>
        <v>Nov</v>
      </c>
      <c r="G290" s="9">
        <f t="shared" si="23"/>
        <v>11</v>
      </c>
      <c r="H290" s="9">
        <f t="shared" si="20"/>
        <v>7</v>
      </c>
      <c r="I290" s="9" t="s">
        <v>43</v>
      </c>
      <c r="J290" s="9" t="s">
        <v>3867</v>
      </c>
      <c r="K290" s="9" t="s">
        <v>3868</v>
      </c>
      <c r="L290" s="9" t="s">
        <v>22</v>
      </c>
      <c r="M290" s="9" t="s">
        <v>23</v>
      </c>
      <c r="N290" s="9" t="s">
        <v>149</v>
      </c>
      <c r="O290" s="9" t="s">
        <v>150</v>
      </c>
      <c r="P290" s="9">
        <v>19143</v>
      </c>
      <c r="Q290" s="9" t="s">
        <v>49</v>
      </c>
      <c r="R290" s="9" t="s">
        <v>1492</v>
      </c>
      <c r="S290" s="9" t="s">
        <v>66</v>
      </c>
      <c r="T290" s="9" t="s">
        <v>201</v>
      </c>
      <c r="U290" s="9" t="s">
        <v>1493</v>
      </c>
      <c r="V290" s="11">
        <v>12.448</v>
      </c>
      <c r="W290" s="9" t="str">
        <f t="shared" si="24"/>
        <v>Slow Delivery</v>
      </c>
    </row>
    <row r="291" spans="1:23" x14ac:dyDescent="0.25">
      <c r="A291" s="9">
        <v>5392</v>
      </c>
      <c r="B291" s="10" t="s">
        <v>3909</v>
      </c>
      <c r="C291" s="10">
        <v>42327</v>
      </c>
      <c r="D291" s="10">
        <v>42333</v>
      </c>
      <c r="E291" s="9">
        <f t="shared" si="21"/>
        <v>2015</v>
      </c>
      <c r="F291" s="10" t="str">
        <f t="shared" si="22"/>
        <v>Nov</v>
      </c>
      <c r="G291" s="9">
        <f t="shared" si="23"/>
        <v>11</v>
      </c>
      <c r="H291" s="9">
        <f t="shared" si="20"/>
        <v>6</v>
      </c>
      <c r="I291" s="9" t="s">
        <v>43</v>
      </c>
      <c r="J291" s="9" t="s">
        <v>3910</v>
      </c>
      <c r="K291" s="9" t="s">
        <v>3911</v>
      </c>
      <c r="L291" s="9" t="s">
        <v>87</v>
      </c>
      <c r="M291" s="9" t="s">
        <v>23</v>
      </c>
      <c r="N291" s="9" t="s">
        <v>463</v>
      </c>
      <c r="O291" s="9" t="s">
        <v>1475</v>
      </c>
      <c r="P291" s="9">
        <v>19805</v>
      </c>
      <c r="Q291" s="9" t="s">
        <v>49</v>
      </c>
      <c r="R291" s="9" t="s">
        <v>933</v>
      </c>
      <c r="S291" s="9" t="s">
        <v>66</v>
      </c>
      <c r="T291" s="9" t="s">
        <v>82</v>
      </c>
      <c r="U291" s="9" t="s">
        <v>934</v>
      </c>
      <c r="V291" s="11">
        <v>22.5</v>
      </c>
      <c r="W291" s="9" t="str">
        <f t="shared" si="24"/>
        <v>Slow Delivery</v>
      </c>
    </row>
    <row r="292" spans="1:23" x14ac:dyDescent="0.25">
      <c r="A292" s="9">
        <v>1760</v>
      </c>
      <c r="B292" s="10" t="s">
        <v>743</v>
      </c>
      <c r="C292" s="10">
        <v>42009</v>
      </c>
      <c r="D292" s="10">
        <v>42016</v>
      </c>
      <c r="E292" s="9">
        <f t="shared" si="21"/>
        <v>2015</v>
      </c>
      <c r="F292" s="10" t="str">
        <f t="shared" si="22"/>
        <v>Jan</v>
      </c>
      <c r="G292" s="9">
        <f t="shared" si="23"/>
        <v>1</v>
      </c>
      <c r="H292" s="9">
        <f t="shared" si="20"/>
        <v>7</v>
      </c>
      <c r="I292" s="9" t="s">
        <v>43</v>
      </c>
      <c r="J292" s="9" t="s">
        <v>744</v>
      </c>
      <c r="K292" s="9" t="s">
        <v>745</v>
      </c>
      <c r="L292" s="9" t="s">
        <v>22</v>
      </c>
      <c r="M292" s="9" t="s">
        <v>23</v>
      </c>
      <c r="N292" s="9" t="s">
        <v>149</v>
      </c>
      <c r="O292" s="9" t="s">
        <v>150</v>
      </c>
      <c r="P292" s="9">
        <v>19143</v>
      </c>
      <c r="Q292" s="9" t="s">
        <v>49</v>
      </c>
      <c r="R292" s="9" t="s">
        <v>746</v>
      </c>
      <c r="S292" s="9" t="s">
        <v>66</v>
      </c>
      <c r="T292" s="9" t="s">
        <v>158</v>
      </c>
      <c r="U292" s="9" t="s">
        <v>747</v>
      </c>
      <c r="V292" s="11">
        <v>19.536000000000001</v>
      </c>
      <c r="W292" s="9" t="str">
        <f t="shared" si="24"/>
        <v>Slow Delivery</v>
      </c>
    </row>
    <row r="293" spans="1:23" x14ac:dyDescent="0.25">
      <c r="A293" s="9">
        <v>7661</v>
      </c>
      <c r="B293" s="10" t="s">
        <v>1038</v>
      </c>
      <c r="C293" s="10">
        <v>42011</v>
      </c>
      <c r="D293" s="10">
        <v>42016</v>
      </c>
      <c r="E293" s="9">
        <f t="shared" si="21"/>
        <v>2015</v>
      </c>
      <c r="F293" s="10" t="str">
        <f t="shared" si="22"/>
        <v>Jan</v>
      </c>
      <c r="G293" s="9">
        <f t="shared" si="23"/>
        <v>1</v>
      </c>
      <c r="H293" s="9">
        <f t="shared" si="20"/>
        <v>5</v>
      </c>
      <c r="I293" s="9" t="s">
        <v>43</v>
      </c>
      <c r="J293" s="9" t="s">
        <v>1039</v>
      </c>
      <c r="K293" s="9" t="s">
        <v>1040</v>
      </c>
      <c r="L293" s="9" t="s">
        <v>22</v>
      </c>
      <c r="M293" s="9" t="s">
        <v>23</v>
      </c>
      <c r="N293" s="9" t="s">
        <v>1041</v>
      </c>
      <c r="O293" s="9" t="s">
        <v>64</v>
      </c>
      <c r="P293" s="9">
        <v>77340</v>
      </c>
      <c r="Q293" s="9" t="s">
        <v>26</v>
      </c>
      <c r="R293" s="9" t="s">
        <v>1042</v>
      </c>
      <c r="S293" s="9" t="s">
        <v>39</v>
      </c>
      <c r="T293" s="9" t="s">
        <v>112</v>
      </c>
      <c r="U293" s="9" t="s">
        <v>1043</v>
      </c>
      <c r="V293" s="11">
        <v>76.727999999999994</v>
      </c>
      <c r="W293" s="9" t="str">
        <f t="shared" si="24"/>
        <v>Slow Delivery</v>
      </c>
    </row>
    <row r="294" spans="1:23" x14ac:dyDescent="0.25">
      <c r="A294" s="9">
        <v>850</v>
      </c>
      <c r="B294" s="10" t="s">
        <v>1044</v>
      </c>
      <c r="C294" s="10">
        <v>42042</v>
      </c>
      <c r="D294" s="10">
        <v>42047</v>
      </c>
      <c r="E294" s="9">
        <f t="shared" si="21"/>
        <v>2015</v>
      </c>
      <c r="F294" s="10" t="str">
        <f t="shared" si="22"/>
        <v>Feb</v>
      </c>
      <c r="G294" s="9">
        <f t="shared" si="23"/>
        <v>2</v>
      </c>
      <c r="H294" s="9">
        <f t="shared" si="20"/>
        <v>5</v>
      </c>
      <c r="I294" s="9" t="s">
        <v>43</v>
      </c>
      <c r="J294" s="9" t="s">
        <v>1045</v>
      </c>
      <c r="K294" s="9" t="s">
        <v>1046</v>
      </c>
      <c r="L294" s="9" t="s">
        <v>87</v>
      </c>
      <c r="M294" s="9" t="s">
        <v>23</v>
      </c>
      <c r="N294" s="9" t="s">
        <v>1047</v>
      </c>
      <c r="O294" s="9" t="s">
        <v>101</v>
      </c>
      <c r="P294" s="9">
        <v>7036</v>
      </c>
      <c r="Q294" s="9" t="s">
        <v>49</v>
      </c>
      <c r="R294" s="9" t="s">
        <v>1048</v>
      </c>
      <c r="S294" s="9" t="s">
        <v>28</v>
      </c>
      <c r="T294" s="9" t="s">
        <v>29</v>
      </c>
      <c r="U294" s="9" t="s">
        <v>1049</v>
      </c>
      <c r="V294" s="11">
        <v>115.36</v>
      </c>
      <c r="W294" s="9" t="str">
        <f t="shared" si="24"/>
        <v>Slow Delivery</v>
      </c>
    </row>
    <row r="295" spans="1:23" x14ac:dyDescent="0.25">
      <c r="A295" s="9">
        <v>9641</v>
      </c>
      <c r="B295" s="10" t="s">
        <v>1066</v>
      </c>
      <c r="C295" s="10">
        <v>42070</v>
      </c>
      <c r="D295" s="10">
        <v>42075</v>
      </c>
      <c r="E295" s="9">
        <f t="shared" si="21"/>
        <v>2015</v>
      </c>
      <c r="F295" s="10" t="str">
        <f t="shared" si="22"/>
        <v>Mar</v>
      </c>
      <c r="G295" s="9">
        <f t="shared" si="23"/>
        <v>3</v>
      </c>
      <c r="H295" s="9">
        <f t="shared" si="20"/>
        <v>5</v>
      </c>
      <c r="I295" s="9" t="s">
        <v>43</v>
      </c>
      <c r="J295" s="9" t="s">
        <v>1067</v>
      </c>
      <c r="K295" s="9" t="s">
        <v>1068</v>
      </c>
      <c r="L295" s="9" t="s">
        <v>87</v>
      </c>
      <c r="M295" s="9" t="s">
        <v>23</v>
      </c>
      <c r="N295" s="9" t="s">
        <v>35</v>
      </c>
      <c r="O295" s="9" t="s">
        <v>36</v>
      </c>
      <c r="P295" s="9">
        <v>98103</v>
      </c>
      <c r="Q295" s="9" t="s">
        <v>37</v>
      </c>
      <c r="R295" s="9" t="s">
        <v>1069</v>
      </c>
      <c r="S295" s="9" t="s">
        <v>66</v>
      </c>
      <c r="T295" s="9" t="s">
        <v>158</v>
      </c>
      <c r="U295" s="9" t="s">
        <v>1070</v>
      </c>
      <c r="V295" s="11">
        <v>20.65</v>
      </c>
      <c r="W295" s="9" t="str">
        <f t="shared" si="24"/>
        <v>Slow Delivery</v>
      </c>
    </row>
    <row r="296" spans="1:23" x14ac:dyDescent="0.25">
      <c r="A296" s="9">
        <v>5036</v>
      </c>
      <c r="B296" s="10" t="s">
        <v>951</v>
      </c>
      <c r="C296" s="10">
        <v>42100</v>
      </c>
      <c r="D296" s="10">
        <v>42106</v>
      </c>
      <c r="E296" s="9">
        <f t="shared" si="21"/>
        <v>2015</v>
      </c>
      <c r="F296" s="10" t="str">
        <f t="shared" si="22"/>
        <v>Apr</v>
      </c>
      <c r="G296" s="9">
        <f t="shared" si="23"/>
        <v>4</v>
      </c>
      <c r="H296" s="9">
        <f t="shared" si="20"/>
        <v>6</v>
      </c>
      <c r="I296" s="9" t="s">
        <v>43</v>
      </c>
      <c r="J296" s="9" t="s">
        <v>952</v>
      </c>
      <c r="K296" s="9" t="s">
        <v>953</v>
      </c>
      <c r="L296" s="9" t="s">
        <v>87</v>
      </c>
      <c r="M296" s="9" t="s">
        <v>23</v>
      </c>
      <c r="N296" s="9" t="s">
        <v>35</v>
      </c>
      <c r="O296" s="9" t="s">
        <v>36</v>
      </c>
      <c r="P296" s="9">
        <v>98115</v>
      </c>
      <c r="Q296" s="9" t="s">
        <v>37</v>
      </c>
      <c r="R296" s="9" t="s">
        <v>954</v>
      </c>
      <c r="S296" s="9" t="s">
        <v>39</v>
      </c>
      <c r="T296" s="9" t="s">
        <v>480</v>
      </c>
      <c r="U296" s="9" t="s">
        <v>955</v>
      </c>
      <c r="V296" s="11">
        <v>653.54999999999995</v>
      </c>
      <c r="W296" s="9" t="str">
        <f t="shared" si="24"/>
        <v>Slow Delivery</v>
      </c>
    </row>
    <row r="297" spans="1:23" x14ac:dyDescent="0.25">
      <c r="A297" s="9">
        <v>6016</v>
      </c>
      <c r="B297" s="10" t="s">
        <v>956</v>
      </c>
      <c r="C297" s="10">
        <v>42100</v>
      </c>
      <c r="D297" s="10">
        <v>42106</v>
      </c>
      <c r="E297" s="9">
        <f t="shared" si="21"/>
        <v>2015</v>
      </c>
      <c r="F297" s="10" t="str">
        <f t="shared" si="22"/>
        <v>Apr</v>
      </c>
      <c r="G297" s="9">
        <f t="shared" si="23"/>
        <v>4</v>
      </c>
      <c r="H297" s="9">
        <f t="shared" si="20"/>
        <v>6</v>
      </c>
      <c r="I297" s="9" t="s">
        <v>43</v>
      </c>
      <c r="J297" s="9" t="s">
        <v>957</v>
      </c>
      <c r="K297" s="9" t="s">
        <v>958</v>
      </c>
      <c r="L297" s="9" t="s">
        <v>87</v>
      </c>
      <c r="M297" s="9" t="s">
        <v>23</v>
      </c>
      <c r="N297" s="9" t="s">
        <v>213</v>
      </c>
      <c r="O297" s="9" t="s">
        <v>80</v>
      </c>
      <c r="P297" s="9">
        <v>90049</v>
      </c>
      <c r="Q297" s="9" t="s">
        <v>37</v>
      </c>
      <c r="R297" s="9" t="s">
        <v>959</v>
      </c>
      <c r="S297" s="9" t="s">
        <v>39</v>
      </c>
      <c r="T297" s="9" t="s">
        <v>112</v>
      </c>
      <c r="U297" s="9" t="s">
        <v>960</v>
      </c>
      <c r="V297" s="11">
        <v>91.96</v>
      </c>
      <c r="W297" s="9" t="str">
        <f t="shared" si="24"/>
        <v>Slow Delivery</v>
      </c>
    </row>
    <row r="298" spans="1:23" x14ac:dyDescent="0.25">
      <c r="A298" s="9">
        <v>5927</v>
      </c>
      <c r="B298" s="10" t="s">
        <v>1155</v>
      </c>
      <c r="C298" s="10">
        <v>42102</v>
      </c>
      <c r="D298" s="10">
        <v>42106</v>
      </c>
      <c r="E298" s="9">
        <f t="shared" si="21"/>
        <v>2015</v>
      </c>
      <c r="F298" s="10" t="str">
        <f t="shared" si="22"/>
        <v>Apr</v>
      </c>
      <c r="G298" s="9">
        <f t="shared" si="23"/>
        <v>4</v>
      </c>
      <c r="H298" s="9">
        <f t="shared" si="20"/>
        <v>4</v>
      </c>
      <c r="I298" s="9" t="s">
        <v>43</v>
      </c>
      <c r="J298" s="9" t="s">
        <v>1156</v>
      </c>
      <c r="K298" s="9" t="s">
        <v>1157</v>
      </c>
      <c r="L298" s="9" t="s">
        <v>87</v>
      </c>
      <c r="M298" s="9" t="s">
        <v>23</v>
      </c>
      <c r="N298" s="9" t="s">
        <v>767</v>
      </c>
      <c r="O298" s="9" t="s">
        <v>1075</v>
      </c>
      <c r="P298" s="9">
        <v>35601</v>
      </c>
      <c r="Q298" s="9" t="s">
        <v>110</v>
      </c>
      <c r="R298" s="9" t="s">
        <v>1158</v>
      </c>
      <c r="S298" s="9" t="s">
        <v>39</v>
      </c>
      <c r="T298" s="9" t="s">
        <v>480</v>
      </c>
      <c r="U298" s="9" t="s">
        <v>1159</v>
      </c>
      <c r="V298" s="11">
        <v>1215.92</v>
      </c>
      <c r="W298" s="9" t="str">
        <f t="shared" si="24"/>
        <v>Slow Delivery</v>
      </c>
    </row>
    <row r="299" spans="1:23" x14ac:dyDescent="0.25">
      <c r="A299" s="9">
        <v>7410</v>
      </c>
      <c r="B299" s="10" t="s">
        <v>1166</v>
      </c>
      <c r="C299" s="10">
        <v>42102</v>
      </c>
      <c r="D299" s="10">
        <v>42106</v>
      </c>
      <c r="E299" s="9">
        <f t="shared" si="21"/>
        <v>2015</v>
      </c>
      <c r="F299" s="10" t="str">
        <f t="shared" si="22"/>
        <v>Apr</v>
      </c>
      <c r="G299" s="9">
        <f t="shared" si="23"/>
        <v>4</v>
      </c>
      <c r="H299" s="9">
        <f t="shared" si="20"/>
        <v>4</v>
      </c>
      <c r="I299" s="9" t="s">
        <v>43</v>
      </c>
      <c r="J299" s="9" t="s">
        <v>1167</v>
      </c>
      <c r="K299" s="9" t="s">
        <v>1168</v>
      </c>
      <c r="L299" s="9" t="s">
        <v>22</v>
      </c>
      <c r="M299" s="9" t="s">
        <v>23</v>
      </c>
      <c r="N299" s="9" t="s">
        <v>1169</v>
      </c>
      <c r="O299" s="9" t="s">
        <v>250</v>
      </c>
      <c r="P299" s="9">
        <v>43615</v>
      </c>
      <c r="Q299" s="9" t="s">
        <v>49</v>
      </c>
      <c r="R299" s="9" t="s">
        <v>1170</v>
      </c>
      <c r="S299" s="9" t="s">
        <v>39</v>
      </c>
      <c r="T299" s="9" t="s">
        <v>480</v>
      </c>
      <c r="U299" s="9" t="s">
        <v>1171</v>
      </c>
      <c r="V299" s="11">
        <v>172.11</v>
      </c>
      <c r="W299" s="9" t="str">
        <f t="shared" si="24"/>
        <v>Slow Delivery</v>
      </c>
    </row>
    <row r="300" spans="1:23" x14ac:dyDescent="0.25">
      <c r="A300" s="9">
        <v>6563</v>
      </c>
      <c r="B300" s="10" t="s">
        <v>1084</v>
      </c>
      <c r="C300" s="10">
        <v>42131</v>
      </c>
      <c r="D300" s="10">
        <v>42136</v>
      </c>
      <c r="E300" s="9">
        <f t="shared" si="21"/>
        <v>2015</v>
      </c>
      <c r="F300" s="10" t="str">
        <f t="shared" si="22"/>
        <v>May</v>
      </c>
      <c r="G300" s="9">
        <f t="shared" si="23"/>
        <v>5</v>
      </c>
      <c r="H300" s="9">
        <f t="shared" si="20"/>
        <v>5</v>
      </c>
      <c r="I300" s="9" t="s">
        <v>43</v>
      </c>
      <c r="J300" s="9" t="s">
        <v>1085</v>
      </c>
      <c r="K300" s="9" t="s">
        <v>1086</v>
      </c>
      <c r="L300" s="9" t="s">
        <v>22</v>
      </c>
      <c r="M300" s="9" t="s">
        <v>23</v>
      </c>
      <c r="N300" s="9" t="s">
        <v>1087</v>
      </c>
      <c r="O300" s="9" t="s">
        <v>89</v>
      </c>
      <c r="P300" s="9">
        <v>1841</v>
      </c>
      <c r="Q300" s="9" t="s">
        <v>49</v>
      </c>
      <c r="R300" s="9" t="s">
        <v>1088</v>
      </c>
      <c r="S300" s="9" t="s">
        <v>66</v>
      </c>
      <c r="T300" s="9" t="s">
        <v>103</v>
      </c>
      <c r="U300" s="9" t="s">
        <v>1089</v>
      </c>
      <c r="V300" s="11">
        <v>16.14</v>
      </c>
      <c r="W300" s="9" t="str">
        <f t="shared" si="24"/>
        <v>Slow Delivery</v>
      </c>
    </row>
    <row r="301" spans="1:23" x14ac:dyDescent="0.25">
      <c r="A301" s="9">
        <v>6301</v>
      </c>
      <c r="B301" s="10" t="s">
        <v>979</v>
      </c>
      <c r="C301" s="10">
        <v>42161</v>
      </c>
      <c r="D301" s="10">
        <v>42167</v>
      </c>
      <c r="E301" s="9">
        <f t="shared" si="21"/>
        <v>2015</v>
      </c>
      <c r="F301" s="10" t="str">
        <f t="shared" si="22"/>
        <v>Jun</v>
      </c>
      <c r="G301" s="9">
        <f t="shared" si="23"/>
        <v>6</v>
      </c>
      <c r="H301" s="9">
        <f t="shared" si="20"/>
        <v>6</v>
      </c>
      <c r="I301" s="9" t="s">
        <v>43</v>
      </c>
      <c r="J301" s="9" t="s">
        <v>980</v>
      </c>
      <c r="K301" s="9" t="s">
        <v>981</v>
      </c>
      <c r="L301" s="9" t="s">
        <v>22</v>
      </c>
      <c r="M301" s="9" t="s">
        <v>23</v>
      </c>
      <c r="N301" s="9" t="s">
        <v>199</v>
      </c>
      <c r="O301" s="9" t="s">
        <v>57</v>
      </c>
      <c r="P301" s="9">
        <v>60623</v>
      </c>
      <c r="Q301" s="9" t="s">
        <v>26</v>
      </c>
      <c r="R301" s="9" t="s">
        <v>982</v>
      </c>
      <c r="S301" s="9" t="s">
        <v>66</v>
      </c>
      <c r="T301" s="9" t="s">
        <v>103</v>
      </c>
      <c r="U301" s="9" t="s">
        <v>983</v>
      </c>
      <c r="V301" s="11">
        <v>24.588000000000001</v>
      </c>
      <c r="W301" s="9" t="str">
        <f t="shared" si="24"/>
        <v>Slow Delivery</v>
      </c>
    </row>
    <row r="302" spans="1:23" x14ac:dyDescent="0.25">
      <c r="A302" s="9">
        <v>3885</v>
      </c>
      <c r="B302" s="10" t="s">
        <v>809</v>
      </c>
      <c r="C302" s="10">
        <v>42190</v>
      </c>
      <c r="D302" s="10">
        <v>42197</v>
      </c>
      <c r="E302" s="9">
        <f t="shared" si="21"/>
        <v>2015</v>
      </c>
      <c r="F302" s="10" t="str">
        <f t="shared" si="22"/>
        <v>Jul</v>
      </c>
      <c r="G302" s="9">
        <f t="shared" si="23"/>
        <v>7</v>
      </c>
      <c r="H302" s="9">
        <f t="shared" si="20"/>
        <v>7</v>
      </c>
      <c r="I302" s="9" t="s">
        <v>43</v>
      </c>
      <c r="J302" s="9" t="s">
        <v>810</v>
      </c>
      <c r="K302" s="9" t="s">
        <v>811</v>
      </c>
      <c r="L302" s="9" t="s">
        <v>87</v>
      </c>
      <c r="M302" s="9" t="s">
        <v>23</v>
      </c>
      <c r="N302" s="9" t="s">
        <v>812</v>
      </c>
      <c r="O302" s="9" t="s">
        <v>575</v>
      </c>
      <c r="P302" s="9">
        <v>37918</v>
      </c>
      <c r="Q302" s="9" t="s">
        <v>110</v>
      </c>
      <c r="R302" s="9" t="s">
        <v>813</v>
      </c>
      <c r="S302" s="9" t="s">
        <v>66</v>
      </c>
      <c r="T302" s="9" t="s">
        <v>158</v>
      </c>
      <c r="U302" s="9" t="s">
        <v>814</v>
      </c>
      <c r="V302" s="11">
        <v>4.3680000000000003</v>
      </c>
      <c r="W302" s="9" t="str">
        <f t="shared" si="24"/>
        <v>Slow Delivery</v>
      </c>
    </row>
    <row r="303" spans="1:23" x14ac:dyDescent="0.25">
      <c r="A303" s="9">
        <v>6846</v>
      </c>
      <c r="B303" s="10" t="s">
        <v>994</v>
      </c>
      <c r="C303" s="10">
        <v>42191</v>
      </c>
      <c r="D303" s="10">
        <v>42197</v>
      </c>
      <c r="E303" s="9">
        <f t="shared" si="21"/>
        <v>2015</v>
      </c>
      <c r="F303" s="10" t="str">
        <f t="shared" si="22"/>
        <v>Jul</v>
      </c>
      <c r="G303" s="9">
        <f t="shared" si="23"/>
        <v>7</v>
      </c>
      <c r="H303" s="9">
        <f t="shared" si="20"/>
        <v>6</v>
      </c>
      <c r="I303" s="9" t="s">
        <v>43</v>
      </c>
      <c r="J303" s="9" t="s">
        <v>995</v>
      </c>
      <c r="K303" s="9" t="s">
        <v>996</v>
      </c>
      <c r="L303" s="9" t="s">
        <v>46</v>
      </c>
      <c r="M303" s="9" t="s">
        <v>23</v>
      </c>
      <c r="N303" s="9" t="s">
        <v>997</v>
      </c>
      <c r="O303" s="9" t="s">
        <v>80</v>
      </c>
      <c r="P303" s="9">
        <v>92020</v>
      </c>
      <c r="Q303" s="9" t="s">
        <v>37</v>
      </c>
      <c r="R303" s="9" t="s">
        <v>998</v>
      </c>
      <c r="S303" s="9" t="s">
        <v>39</v>
      </c>
      <c r="T303" s="9" t="s">
        <v>40</v>
      </c>
      <c r="U303" s="9" t="s">
        <v>999</v>
      </c>
      <c r="V303" s="11">
        <v>478.48</v>
      </c>
      <c r="W303" s="9" t="str">
        <f t="shared" si="24"/>
        <v>Slow Delivery</v>
      </c>
    </row>
    <row r="304" spans="1:23" x14ac:dyDescent="0.25">
      <c r="A304" s="9">
        <v>6288</v>
      </c>
      <c r="B304" s="10" t="s">
        <v>1193</v>
      </c>
      <c r="C304" s="10">
        <v>42193</v>
      </c>
      <c r="D304" s="10">
        <v>42197</v>
      </c>
      <c r="E304" s="9">
        <f t="shared" si="21"/>
        <v>2015</v>
      </c>
      <c r="F304" s="10" t="str">
        <f t="shared" si="22"/>
        <v>Jul</v>
      </c>
      <c r="G304" s="9">
        <f t="shared" si="23"/>
        <v>7</v>
      </c>
      <c r="H304" s="9">
        <f t="shared" si="20"/>
        <v>4</v>
      </c>
      <c r="I304" s="9" t="s">
        <v>43</v>
      </c>
      <c r="J304" s="9" t="s">
        <v>1194</v>
      </c>
      <c r="K304" s="9" t="s">
        <v>1195</v>
      </c>
      <c r="L304" s="9" t="s">
        <v>87</v>
      </c>
      <c r="M304" s="9" t="s">
        <v>23</v>
      </c>
      <c r="N304" s="9" t="s">
        <v>143</v>
      </c>
      <c r="O304" s="9" t="s">
        <v>80</v>
      </c>
      <c r="P304" s="9">
        <v>94122</v>
      </c>
      <c r="Q304" s="9" t="s">
        <v>37</v>
      </c>
      <c r="R304" s="9" t="s">
        <v>1196</v>
      </c>
      <c r="S304" s="9" t="s">
        <v>39</v>
      </c>
      <c r="T304" s="9" t="s">
        <v>480</v>
      </c>
      <c r="U304" s="9" t="s">
        <v>1197</v>
      </c>
      <c r="V304" s="11">
        <v>502.488</v>
      </c>
      <c r="W304" s="9" t="str">
        <f t="shared" si="24"/>
        <v>Slow Delivery</v>
      </c>
    </row>
    <row r="305" spans="1:23" x14ac:dyDescent="0.25">
      <c r="A305" s="9">
        <v>8894</v>
      </c>
      <c r="B305" s="10" t="s">
        <v>837</v>
      </c>
      <c r="C305" s="10">
        <v>42221</v>
      </c>
      <c r="D305" s="10">
        <v>42228</v>
      </c>
      <c r="E305" s="9">
        <f t="shared" si="21"/>
        <v>2015</v>
      </c>
      <c r="F305" s="10" t="str">
        <f t="shared" si="22"/>
        <v>Aug</v>
      </c>
      <c r="G305" s="9">
        <f t="shared" si="23"/>
        <v>8</v>
      </c>
      <c r="H305" s="9">
        <f t="shared" si="20"/>
        <v>7</v>
      </c>
      <c r="I305" s="9" t="s">
        <v>43</v>
      </c>
      <c r="J305" s="9" t="s">
        <v>838</v>
      </c>
      <c r="K305" s="9" t="s">
        <v>839</v>
      </c>
      <c r="L305" s="9" t="s">
        <v>22</v>
      </c>
      <c r="M305" s="9" t="s">
        <v>23</v>
      </c>
      <c r="N305" s="9" t="s">
        <v>840</v>
      </c>
      <c r="O305" s="9" t="s">
        <v>64</v>
      </c>
      <c r="P305" s="9">
        <v>77590</v>
      </c>
      <c r="Q305" s="9" t="s">
        <v>26</v>
      </c>
      <c r="R305" s="9" t="s">
        <v>841</v>
      </c>
      <c r="S305" s="9" t="s">
        <v>39</v>
      </c>
      <c r="T305" s="9" t="s">
        <v>480</v>
      </c>
      <c r="U305" s="9" t="s">
        <v>842</v>
      </c>
      <c r="V305" s="11">
        <v>489.23</v>
      </c>
      <c r="W305" s="9" t="str">
        <f t="shared" si="24"/>
        <v>Slow Delivery</v>
      </c>
    </row>
    <row r="306" spans="1:23" x14ac:dyDescent="0.25">
      <c r="A306" s="9">
        <v>5069</v>
      </c>
      <c r="B306" s="10" t="s">
        <v>1210</v>
      </c>
      <c r="C306" s="10">
        <v>42224</v>
      </c>
      <c r="D306" s="10">
        <v>42228</v>
      </c>
      <c r="E306" s="9">
        <f t="shared" si="21"/>
        <v>2015</v>
      </c>
      <c r="F306" s="10" t="str">
        <f t="shared" si="22"/>
        <v>Aug</v>
      </c>
      <c r="G306" s="9">
        <f t="shared" si="23"/>
        <v>8</v>
      </c>
      <c r="H306" s="9">
        <f t="shared" si="20"/>
        <v>4</v>
      </c>
      <c r="I306" s="9" t="s">
        <v>43</v>
      </c>
      <c r="J306" s="9" t="s">
        <v>1211</v>
      </c>
      <c r="K306" s="9" t="s">
        <v>1212</v>
      </c>
      <c r="L306" s="9" t="s">
        <v>46</v>
      </c>
      <c r="M306" s="9" t="s">
        <v>23</v>
      </c>
      <c r="N306" s="9" t="s">
        <v>1213</v>
      </c>
      <c r="O306" s="9" t="s">
        <v>118</v>
      </c>
      <c r="P306" s="9">
        <v>48183</v>
      </c>
      <c r="Q306" s="9" t="s">
        <v>26</v>
      </c>
      <c r="R306" s="9" t="s">
        <v>251</v>
      </c>
      <c r="S306" s="9" t="s">
        <v>28</v>
      </c>
      <c r="T306" s="9" t="s">
        <v>252</v>
      </c>
      <c r="U306" s="9" t="s">
        <v>253</v>
      </c>
      <c r="V306" s="11">
        <v>549.99</v>
      </c>
      <c r="W306" s="9" t="str">
        <f t="shared" si="24"/>
        <v>Slow Delivery</v>
      </c>
    </row>
    <row r="307" spans="1:23" x14ac:dyDescent="0.25">
      <c r="A307" s="9">
        <v>8367</v>
      </c>
      <c r="B307" s="10" t="s">
        <v>1117</v>
      </c>
      <c r="C307" s="10">
        <v>42254</v>
      </c>
      <c r="D307" s="10">
        <v>42259</v>
      </c>
      <c r="E307" s="9">
        <f t="shared" si="21"/>
        <v>2015</v>
      </c>
      <c r="F307" s="10" t="str">
        <f t="shared" si="22"/>
        <v>Sep</v>
      </c>
      <c r="G307" s="9">
        <f t="shared" si="23"/>
        <v>9</v>
      </c>
      <c r="H307" s="9">
        <f t="shared" si="20"/>
        <v>5</v>
      </c>
      <c r="I307" s="9" t="s">
        <v>32</v>
      </c>
      <c r="J307" s="9" t="s">
        <v>1118</v>
      </c>
      <c r="K307" s="9" t="s">
        <v>1119</v>
      </c>
      <c r="L307" s="9" t="s">
        <v>87</v>
      </c>
      <c r="M307" s="9" t="s">
        <v>23</v>
      </c>
      <c r="N307" s="9" t="s">
        <v>1120</v>
      </c>
      <c r="O307" s="9" t="s">
        <v>80</v>
      </c>
      <c r="P307" s="9">
        <v>95051</v>
      </c>
      <c r="Q307" s="9" t="s">
        <v>37</v>
      </c>
      <c r="R307" s="9" t="s">
        <v>1121</v>
      </c>
      <c r="S307" s="9" t="s">
        <v>66</v>
      </c>
      <c r="T307" s="9" t="s">
        <v>564</v>
      </c>
      <c r="U307" s="9" t="s">
        <v>1122</v>
      </c>
      <c r="V307" s="11">
        <v>27.36</v>
      </c>
      <c r="W307" s="9" t="str">
        <f t="shared" si="24"/>
        <v>Slow Delivery</v>
      </c>
    </row>
    <row r="308" spans="1:23" x14ac:dyDescent="0.25">
      <c r="A308" s="9">
        <v>165</v>
      </c>
      <c r="B308" s="10" t="s">
        <v>1220</v>
      </c>
      <c r="C308" s="10">
        <v>42255</v>
      </c>
      <c r="D308" s="10">
        <v>42259</v>
      </c>
      <c r="E308" s="9">
        <f t="shared" si="21"/>
        <v>2015</v>
      </c>
      <c r="F308" s="10" t="str">
        <f t="shared" si="22"/>
        <v>Sep</v>
      </c>
      <c r="G308" s="9">
        <f t="shared" si="23"/>
        <v>9</v>
      </c>
      <c r="H308" s="9">
        <f t="shared" si="20"/>
        <v>4</v>
      </c>
      <c r="I308" s="9" t="s">
        <v>43</v>
      </c>
      <c r="J308" s="9" t="s">
        <v>1221</v>
      </c>
      <c r="K308" s="9" t="s">
        <v>1222</v>
      </c>
      <c r="L308" s="9" t="s">
        <v>22</v>
      </c>
      <c r="M308" s="9" t="s">
        <v>23</v>
      </c>
      <c r="N308" s="9" t="s">
        <v>784</v>
      </c>
      <c r="O308" s="9" t="s">
        <v>64</v>
      </c>
      <c r="P308" s="9">
        <v>78207</v>
      </c>
      <c r="Q308" s="9" t="s">
        <v>26</v>
      </c>
      <c r="R308" s="9" t="s">
        <v>1223</v>
      </c>
      <c r="S308" s="9" t="s">
        <v>66</v>
      </c>
      <c r="T308" s="9" t="s">
        <v>158</v>
      </c>
      <c r="U308" s="9" t="s">
        <v>1224</v>
      </c>
      <c r="V308" s="11">
        <v>9.9359999999999999</v>
      </c>
      <c r="W308" s="9" t="str">
        <f t="shared" si="24"/>
        <v>Slow Delivery</v>
      </c>
    </row>
    <row r="309" spans="1:23" x14ac:dyDescent="0.25">
      <c r="A309" s="9">
        <v>4314</v>
      </c>
      <c r="B309" s="10" t="s">
        <v>1242</v>
      </c>
      <c r="C309" s="10">
        <v>42255</v>
      </c>
      <c r="D309" s="10">
        <v>42259</v>
      </c>
      <c r="E309" s="9">
        <f t="shared" si="21"/>
        <v>2015</v>
      </c>
      <c r="F309" s="10" t="str">
        <f t="shared" si="22"/>
        <v>Sep</v>
      </c>
      <c r="G309" s="9">
        <f t="shared" si="23"/>
        <v>9</v>
      </c>
      <c r="H309" s="9">
        <f t="shared" si="20"/>
        <v>4</v>
      </c>
      <c r="I309" s="9" t="s">
        <v>43</v>
      </c>
      <c r="J309" s="9" t="s">
        <v>1243</v>
      </c>
      <c r="K309" s="9" t="s">
        <v>1244</v>
      </c>
      <c r="L309" s="9" t="s">
        <v>87</v>
      </c>
      <c r="M309" s="9" t="s">
        <v>23</v>
      </c>
      <c r="N309" s="9" t="s">
        <v>219</v>
      </c>
      <c r="O309" s="9" t="s">
        <v>48</v>
      </c>
      <c r="P309" s="9">
        <v>11561</v>
      </c>
      <c r="Q309" s="9" t="s">
        <v>49</v>
      </c>
      <c r="R309" s="9" t="s">
        <v>1245</v>
      </c>
      <c r="S309" s="9" t="s">
        <v>66</v>
      </c>
      <c r="T309" s="9" t="s">
        <v>221</v>
      </c>
      <c r="U309" s="9" t="s">
        <v>1246</v>
      </c>
      <c r="V309" s="11">
        <v>16.78</v>
      </c>
      <c r="W309" s="9" t="str">
        <f t="shared" si="24"/>
        <v>Slow Delivery</v>
      </c>
    </row>
    <row r="310" spans="1:23" x14ac:dyDescent="0.25">
      <c r="A310" s="9">
        <v>2671</v>
      </c>
      <c r="B310" s="10" t="s">
        <v>1363</v>
      </c>
      <c r="C310" s="10">
        <v>42256</v>
      </c>
      <c r="D310" s="10">
        <v>42259</v>
      </c>
      <c r="E310" s="9">
        <f t="shared" si="21"/>
        <v>2015</v>
      </c>
      <c r="F310" s="10" t="str">
        <f t="shared" si="22"/>
        <v>Sep</v>
      </c>
      <c r="G310" s="9">
        <f t="shared" si="23"/>
        <v>9</v>
      </c>
      <c r="H310" s="9">
        <f t="shared" si="20"/>
        <v>3</v>
      </c>
      <c r="I310" s="9" t="s">
        <v>32</v>
      </c>
      <c r="J310" s="9" t="s">
        <v>1364</v>
      </c>
      <c r="K310" s="9" t="s">
        <v>1365</v>
      </c>
      <c r="L310" s="9" t="s">
        <v>87</v>
      </c>
      <c r="M310" s="9" t="s">
        <v>23</v>
      </c>
      <c r="N310" s="9" t="s">
        <v>262</v>
      </c>
      <c r="O310" s="9" t="s">
        <v>89</v>
      </c>
      <c r="P310" s="9">
        <v>1852</v>
      </c>
      <c r="Q310" s="9" t="s">
        <v>49</v>
      </c>
      <c r="R310" s="9" t="s">
        <v>1366</v>
      </c>
      <c r="S310" s="9" t="s">
        <v>66</v>
      </c>
      <c r="T310" s="9" t="s">
        <v>201</v>
      </c>
      <c r="U310" s="9" t="s">
        <v>1367</v>
      </c>
      <c r="V310" s="11">
        <v>166.44</v>
      </c>
      <c r="W310" s="9" t="str">
        <f t="shared" si="24"/>
        <v>Fast Delivery</v>
      </c>
    </row>
    <row r="311" spans="1:23" x14ac:dyDescent="0.25">
      <c r="A311" s="9">
        <v>4831</v>
      </c>
      <c r="B311" s="10" t="s">
        <v>1134</v>
      </c>
      <c r="C311" s="10">
        <v>42315</v>
      </c>
      <c r="D311" s="10">
        <v>42320</v>
      </c>
      <c r="E311" s="9">
        <f t="shared" si="21"/>
        <v>2015</v>
      </c>
      <c r="F311" s="10" t="str">
        <f t="shared" si="22"/>
        <v>Nov</v>
      </c>
      <c r="G311" s="9">
        <f t="shared" si="23"/>
        <v>11</v>
      </c>
      <c r="H311" s="9">
        <f t="shared" si="20"/>
        <v>5</v>
      </c>
      <c r="I311" s="9" t="s">
        <v>43</v>
      </c>
      <c r="J311" s="9" t="s">
        <v>1135</v>
      </c>
      <c r="K311" s="9" t="s">
        <v>1136</v>
      </c>
      <c r="L311" s="9" t="s">
        <v>22</v>
      </c>
      <c r="M311" s="9" t="s">
        <v>23</v>
      </c>
      <c r="N311" s="9" t="s">
        <v>1137</v>
      </c>
      <c r="O311" s="9" t="s">
        <v>25</v>
      </c>
      <c r="P311" s="9">
        <v>54401</v>
      </c>
      <c r="Q311" s="9" t="s">
        <v>26</v>
      </c>
      <c r="R311" s="9" t="s">
        <v>1138</v>
      </c>
      <c r="S311" s="9" t="s">
        <v>66</v>
      </c>
      <c r="T311" s="9" t="s">
        <v>221</v>
      </c>
      <c r="U311" s="9" t="s">
        <v>1139</v>
      </c>
      <c r="V311" s="11">
        <v>245.88</v>
      </c>
      <c r="W311" s="9" t="str">
        <f t="shared" si="24"/>
        <v>Slow Delivery</v>
      </c>
    </row>
    <row r="312" spans="1:23" x14ac:dyDescent="0.25">
      <c r="A312" s="9">
        <v>1863</v>
      </c>
      <c r="B312" s="10" t="s">
        <v>1693</v>
      </c>
      <c r="C312" s="10">
        <v>42320</v>
      </c>
      <c r="D312" s="10">
        <v>42320</v>
      </c>
      <c r="E312" s="9">
        <f t="shared" si="21"/>
        <v>2015</v>
      </c>
      <c r="F312" s="10" t="str">
        <f t="shared" si="22"/>
        <v>Nov</v>
      </c>
      <c r="G312" s="9">
        <f t="shared" si="23"/>
        <v>11</v>
      </c>
      <c r="H312" s="9">
        <f t="shared" si="20"/>
        <v>0</v>
      </c>
      <c r="I312" s="9" t="s">
        <v>302</v>
      </c>
      <c r="J312" s="9" t="s">
        <v>1694</v>
      </c>
      <c r="K312" s="9" t="s">
        <v>1695</v>
      </c>
      <c r="L312" s="9" t="s">
        <v>22</v>
      </c>
      <c r="M312" s="9" t="s">
        <v>23</v>
      </c>
      <c r="N312" s="9" t="s">
        <v>784</v>
      </c>
      <c r="O312" s="9" t="s">
        <v>64</v>
      </c>
      <c r="P312" s="9">
        <v>78207</v>
      </c>
      <c r="Q312" s="9" t="s">
        <v>26</v>
      </c>
      <c r="R312" s="9" t="s">
        <v>1696</v>
      </c>
      <c r="S312" s="9" t="s">
        <v>66</v>
      </c>
      <c r="T312" s="9" t="s">
        <v>74</v>
      </c>
      <c r="U312" s="9" t="s">
        <v>1697</v>
      </c>
      <c r="V312" s="11">
        <v>49.631999999999998</v>
      </c>
      <c r="W312" s="9" t="str">
        <f t="shared" si="24"/>
        <v>Fast Delivery</v>
      </c>
    </row>
    <row r="313" spans="1:23" x14ac:dyDescent="0.25">
      <c r="A313" s="9">
        <v>921</v>
      </c>
      <c r="B313" s="10" t="s">
        <v>895</v>
      </c>
      <c r="C313" s="10">
        <v>42343</v>
      </c>
      <c r="D313" s="10">
        <v>42350</v>
      </c>
      <c r="E313" s="9">
        <f t="shared" si="21"/>
        <v>2015</v>
      </c>
      <c r="F313" s="10" t="str">
        <f t="shared" si="22"/>
        <v>Dec</v>
      </c>
      <c r="G313" s="9">
        <f t="shared" si="23"/>
        <v>12</v>
      </c>
      <c r="H313" s="9">
        <f t="shared" si="20"/>
        <v>7</v>
      </c>
      <c r="I313" s="9" t="s">
        <v>43</v>
      </c>
      <c r="J313" s="9" t="s">
        <v>896</v>
      </c>
      <c r="K313" s="9" t="s">
        <v>897</v>
      </c>
      <c r="L313" s="9" t="s">
        <v>22</v>
      </c>
      <c r="M313" s="9" t="s">
        <v>23</v>
      </c>
      <c r="N313" s="9" t="s">
        <v>761</v>
      </c>
      <c r="O313" s="9" t="s">
        <v>298</v>
      </c>
      <c r="P313" s="9">
        <v>22304</v>
      </c>
      <c r="Q313" s="9" t="s">
        <v>110</v>
      </c>
      <c r="R313" s="9" t="s">
        <v>898</v>
      </c>
      <c r="S313" s="9" t="s">
        <v>66</v>
      </c>
      <c r="T313" s="9" t="s">
        <v>74</v>
      </c>
      <c r="U313" s="9" t="s">
        <v>899</v>
      </c>
      <c r="V313" s="11">
        <v>24.56</v>
      </c>
      <c r="W313" s="9" t="str">
        <f t="shared" si="24"/>
        <v>Slow Delivery</v>
      </c>
    </row>
    <row r="314" spans="1:23" x14ac:dyDescent="0.25">
      <c r="A314" s="9">
        <v>3142</v>
      </c>
      <c r="B314" s="10" t="s">
        <v>1708</v>
      </c>
      <c r="C314" s="10">
        <v>42350</v>
      </c>
      <c r="D314" s="10">
        <v>42350</v>
      </c>
      <c r="E314" s="9">
        <f t="shared" si="21"/>
        <v>2015</v>
      </c>
      <c r="F314" s="10" t="str">
        <f t="shared" si="22"/>
        <v>Dec</v>
      </c>
      <c r="G314" s="9">
        <f t="shared" si="23"/>
        <v>12</v>
      </c>
      <c r="H314" s="9">
        <f t="shared" si="20"/>
        <v>0</v>
      </c>
      <c r="I314" s="9" t="s">
        <v>302</v>
      </c>
      <c r="J314" s="9" t="s">
        <v>1709</v>
      </c>
      <c r="K314" s="9" t="s">
        <v>1710</v>
      </c>
      <c r="L314" s="9" t="s">
        <v>87</v>
      </c>
      <c r="M314" s="9" t="s">
        <v>23</v>
      </c>
      <c r="N314" s="9" t="s">
        <v>784</v>
      </c>
      <c r="O314" s="9" t="s">
        <v>64</v>
      </c>
      <c r="P314" s="9">
        <v>78207</v>
      </c>
      <c r="Q314" s="9" t="s">
        <v>26</v>
      </c>
      <c r="R314" s="9" t="s">
        <v>1711</v>
      </c>
      <c r="S314" s="9" t="s">
        <v>66</v>
      </c>
      <c r="T314" s="9" t="s">
        <v>103</v>
      </c>
      <c r="U314" s="9" t="s">
        <v>1712</v>
      </c>
      <c r="V314" s="11">
        <v>210.392</v>
      </c>
      <c r="W314" s="9" t="str">
        <f t="shared" si="24"/>
        <v>Fast Delivery</v>
      </c>
    </row>
    <row r="315" spans="1:23" x14ac:dyDescent="0.25">
      <c r="A315" s="9">
        <v>1794</v>
      </c>
      <c r="B315" s="10" t="s">
        <v>1276</v>
      </c>
      <c r="C315" s="10">
        <v>42346</v>
      </c>
      <c r="D315" s="10">
        <v>42351</v>
      </c>
      <c r="E315" s="9">
        <f t="shared" si="21"/>
        <v>2015</v>
      </c>
      <c r="F315" s="10" t="str">
        <f t="shared" si="22"/>
        <v>Dec</v>
      </c>
      <c r="G315" s="9">
        <f t="shared" si="23"/>
        <v>12</v>
      </c>
      <c r="H315" s="9">
        <f t="shared" si="20"/>
        <v>5</v>
      </c>
      <c r="I315" s="9" t="s">
        <v>43</v>
      </c>
      <c r="J315" s="9" t="s">
        <v>1277</v>
      </c>
      <c r="K315" s="9" t="s">
        <v>1278</v>
      </c>
      <c r="L315" s="9" t="s">
        <v>87</v>
      </c>
      <c r="M315" s="9" t="s">
        <v>23</v>
      </c>
      <c r="N315" s="9" t="s">
        <v>72</v>
      </c>
      <c r="O315" s="9" t="s">
        <v>64</v>
      </c>
      <c r="P315" s="9">
        <v>77041</v>
      </c>
      <c r="Q315" s="9" t="s">
        <v>26</v>
      </c>
      <c r="R315" s="9" t="s">
        <v>1279</v>
      </c>
      <c r="S315" s="9" t="s">
        <v>66</v>
      </c>
      <c r="T315" s="9" t="s">
        <v>74</v>
      </c>
      <c r="U315" s="9" t="s">
        <v>1280</v>
      </c>
      <c r="V315" s="11">
        <v>60.415999999999997</v>
      </c>
      <c r="W315" s="9" t="str">
        <f t="shared" si="24"/>
        <v>Slow Delivery</v>
      </c>
    </row>
    <row r="316" spans="1:23" x14ac:dyDescent="0.25">
      <c r="A316" s="9">
        <v>3665</v>
      </c>
      <c r="B316" s="10" t="s">
        <v>1281</v>
      </c>
      <c r="C316" s="10">
        <v>42346</v>
      </c>
      <c r="D316" s="10">
        <v>42351</v>
      </c>
      <c r="E316" s="9">
        <f t="shared" si="21"/>
        <v>2015</v>
      </c>
      <c r="F316" s="10" t="str">
        <f t="shared" si="22"/>
        <v>Dec</v>
      </c>
      <c r="G316" s="9">
        <f t="shared" si="23"/>
        <v>12</v>
      </c>
      <c r="H316" s="9">
        <f t="shared" si="20"/>
        <v>5</v>
      </c>
      <c r="I316" s="9" t="s">
        <v>43</v>
      </c>
      <c r="J316" s="9" t="s">
        <v>1282</v>
      </c>
      <c r="K316" s="9" t="s">
        <v>1283</v>
      </c>
      <c r="L316" s="9" t="s">
        <v>22</v>
      </c>
      <c r="M316" s="9" t="s">
        <v>23</v>
      </c>
      <c r="N316" s="9" t="s">
        <v>1284</v>
      </c>
      <c r="O316" s="9" t="s">
        <v>188</v>
      </c>
      <c r="P316" s="9">
        <v>97301</v>
      </c>
      <c r="Q316" s="9" t="s">
        <v>37</v>
      </c>
      <c r="R316" s="9" t="s">
        <v>388</v>
      </c>
      <c r="S316" s="9" t="s">
        <v>66</v>
      </c>
      <c r="T316" s="9" t="s">
        <v>82</v>
      </c>
      <c r="U316" s="9" t="s">
        <v>389</v>
      </c>
      <c r="V316" s="11">
        <v>27.888000000000002</v>
      </c>
      <c r="W316" s="9" t="str">
        <f t="shared" si="24"/>
        <v>Slow Delivery</v>
      </c>
    </row>
    <row r="317" spans="1:23" x14ac:dyDescent="0.25">
      <c r="A317" s="9">
        <v>4565</v>
      </c>
      <c r="B317" s="10" t="s">
        <v>1393</v>
      </c>
      <c r="C317" s="10">
        <v>42347</v>
      </c>
      <c r="D317" s="10">
        <v>42352</v>
      </c>
      <c r="E317" s="9">
        <f t="shared" si="21"/>
        <v>2015</v>
      </c>
      <c r="F317" s="10" t="str">
        <f t="shared" si="22"/>
        <v>Dec</v>
      </c>
      <c r="G317" s="9">
        <f t="shared" si="23"/>
        <v>12</v>
      </c>
      <c r="H317" s="9">
        <f t="shared" si="20"/>
        <v>5</v>
      </c>
      <c r="I317" s="9" t="s">
        <v>43</v>
      </c>
      <c r="J317" s="9" t="s">
        <v>1394</v>
      </c>
      <c r="K317" s="9" t="s">
        <v>1395</v>
      </c>
      <c r="L317" s="9" t="s">
        <v>87</v>
      </c>
      <c r="M317" s="9" t="s">
        <v>23</v>
      </c>
      <c r="N317" s="9" t="s">
        <v>1396</v>
      </c>
      <c r="O317" s="9" t="s">
        <v>382</v>
      </c>
      <c r="P317" s="9">
        <v>85204</v>
      </c>
      <c r="Q317" s="9" t="s">
        <v>37</v>
      </c>
      <c r="R317" s="9" t="s">
        <v>1397</v>
      </c>
      <c r="S317" s="9" t="s">
        <v>66</v>
      </c>
      <c r="T317" s="9" t="s">
        <v>74</v>
      </c>
      <c r="U317" s="9" t="s">
        <v>1398</v>
      </c>
      <c r="V317" s="11">
        <v>100.70399999999999</v>
      </c>
      <c r="W317" s="9" t="str">
        <f t="shared" si="24"/>
        <v>Slow Delivery</v>
      </c>
    </row>
    <row r="318" spans="1:23" x14ac:dyDescent="0.25">
      <c r="A318" s="9">
        <v>5999</v>
      </c>
      <c r="B318" s="10" t="s">
        <v>1464</v>
      </c>
      <c r="C318" s="10">
        <v>42348</v>
      </c>
      <c r="D318" s="10">
        <v>42352</v>
      </c>
      <c r="E318" s="9">
        <f t="shared" si="21"/>
        <v>2015</v>
      </c>
      <c r="F318" s="10" t="str">
        <f t="shared" si="22"/>
        <v>Dec</v>
      </c>
      <c r="G318" s="9">
        <f t="shared" si="23"/>
        <v>12</v>
      </c>
      <c r="H318" s="9">
        <f t="shared" si="20"/>
        <v>4</v>
      </c>
      <c r="I318" s="9" t="s">
        <v>43</v>
      </c>
      <c r="J318" s="9" t="s">
        <v>1465</v>
      </c>
      <c r="K318" s="9" t="s">
        <v>1466</v>
      </c>
      <c r="L318" s="9" t="s">
        <v>87</v>
      </c>
      <c r="M318" s="9" t="s">
        <v>23</v>
      </c>
      <c r="N318" s="9" t="s">
        <v>1467</v>
      </c>
      <c r="O318" s="9" t="s">
        <v>1468</v>
      </c>
      <c r="P318" s="9">
        <v>83605</v>
      </c>
      <c r="Q318" s="9" t="s">
        <v>37</v>
      </c>
      <c r="R318" s="9" t="s">
        <v>1469</v>
      </c>
      <c r="S318" s="9" t="s">
        <v>39</v>
      </c>
      <c r="T318" s="9" t="s">
        <v>40</v>
      </c>
      <c r="U318" s="9" t="s">
        <v>1470</v>
      </c>
      <c r="V318" s="11">
        <v>338.35199999999998</v>
      </c>
      <c r="W318" s="9" t="str">
        <f t="shared" si="24"/>
        <v>Slow Delivery</v>
      </c>
    </row>
    <row r="319" spans="1:23" x14ac:dyDescent="0.25">
      <c r="A319" s="9">
        <v>9213</v>
      </c>
      <c r="B319" s="10" t="s">
        <v>1291</v>
      </c>
      <c r="C319" s="10">
        <v>42346</v>
      </c>
      <c r="D319" s="10">
        <v>42353</v>
      </c>
      <c r="E319" s="9">
        <f t="shared" si="21"/>
        <v>2015</v>
      </c>
      <c r="F319" s="10" t="str">
        <f t="shared" si="22"/>
        <v>Dec</v>
      </c>
      <c r="G319" s="9">
        <f t="shared" si="23"/>
        <v>12</v>
      </c>
      <c r="H319" s="9">
        <f t="shared" si="20"/>
        <v>7</v>
      </c>
      <c r="I319" s="9" t="s">
        <v>43</v>
      </c>
      <c r="J319" s="9" t="s">
        <v>1292</v>
      </c>
      <c r="K319" s="9" t="s">
        <v>1293</v>
      </c>
      <c r="L319" s="9" t="s">
        <v>87</v>
      </c>
      <c r="M319" s="9" t="s">
        <v>23</v>
      </c>
      <c r="N319" s="9" t="s">
        <v>143</v>
      </c>
      <c r="O319" s="9" t="s">
        <v>80</v>
      </c>
      <c r="P319" s="9">
        <v>94110</v>
      </c>
      <c r="Q319" s="9" t="s">
        <v>37</v>
      </c>
      <c r="R319" s="9" t="s">
        <v>1294</v>
      </c>
      <c r="S319" s="9" t="s">
        <v>39</v>
      </c>
      <c r="T319" s="9" t="s">
        <v>112</v>
      </c>
      <c r="U319" s="9" t="s">
        <v>1295</v>
      </c>
      <c r="V319" s="11">
        <v>39.880000000000003</v>
      </c>
      <c r="W319" s="9" t="str">
        <f t="shared" si="24"/>
        <v>Slow Delivery</v>
      </c>
    </row>
    <row r="320" spans="1:23" x14ac:dyDescent="0.25">
      <c r="A320" s="9">
        <v>873</v>
      </c>
      <c r="B320" s="10" t="s">
        <v>1459</v>
      </c>
      <c r="C320" s="10">
        <v>42348</v>
      </c>
      <c r="D320" s="10">
        <v>42353</v>
      </c>
      <c r="E320" s="9">
        <f t="shared" si="21"/>
        <v>2015</v>
      </c>
      <c r="F320" s="10" t="str">
        <f t="shared" si="22"/>
        <v>Dec</v>
      </c>
      <c r="G320" s="9">
        <f t="shared" si="23"/>
        <v>12</v>
      </c>
      <c r="H320" s="9">
        <f t="shared" si="20"/>
        <v>5</v>
      </c>
      <c r="I320" s="9" t="s">
        <v>43</v>
      </c>
      <c r="J320" s="9" t="s">
        <v>1460</v>
      </c>
      <c r="K320" s="9" t="s">
        <v>1461</v>
      </c>
      <c r="L320" s="9" t="s">
        <v>22</v>
      </c>
      <c r="M320" s="9" t="s">
        <v>23</v>
      </c>
      <c r="N320" s="9" t="s">
        <v>47</v>
      </c>
      <c r="O320" s="9" t="s">
        <v>48</v>
      </c>
      <c r="P320" s="9">
        <v>10009</v>
      </c>
      <c r="Q320" s="9" t="s">
        <v>49</v>
      </c>
      <c r="R320" s="9" t="s">
        <v>1462</v>
      </c>
      <c r="S320" s="9" t="s">
        <v>66</v>
      </c>
      <c r="T320" s="9" t="s">
        <v>201</v>
      </c>
      <c r="U320" s="9" t="s">
        <v>1463</v>
      </c>
      <c r="V320" s="11">
        <v>11.36</v>
      </c>
      <c r="W320" s="9" t="str">
        <f t="shared" si="24"/>
        <v>Slow Delivery</v>
      </c>
    </row>
    <row r="321" spans="1:23" x14ac:dyDescent="0.25">
      <c r="A321" s="9">
        <v>4854</v>
      </c>
      <c r="B321" s="10" t="s">
        <v>1713</v>
      </c>
      <c r="C321" s="10">
        <v>42350</v>
      </c>
      <c r="D321" s="10">
        <v>42353</v>
      </c>
      <c r="E321" s="9">
        <f t="shared" si="21"/>
        <v>2015</v>
      </c>
      <c r="F321" s="10" t="str">
        <f t="shared" si="22"/>
        <v>Dec</v>
      </c>
      <c r="G321" s="9">
        <f t="shared" si="23"/>
        <v>12</v>
      </c>
      <c r="H321" s="9">
        <f t="shared" si="20"/>
        <v>3</v>
      </c>
      <c r="I321" s="9" t="s">
        <v>32</v>
      </c>
      <c r="J321" s="9" t="s">
        <v>1714</v>
      </c>
      <c r="K321" s="9" t="s">
        <v>1715</v>
      </c>
      <c r="L321" s="9" t="s">
        <v>22</v>
      </c>
      <c r="M321" s="9" t="s">
        <v>23</v>
      </c>
      <c r="N321" s="9" t="s">
        <v>1716</v>
      </c>
      <c r="O321" s="9" t="s">
        <v>80</v>
      </c>
      <c r="P321" s="9">
        <v>94601</v>
      </c>
      <c r="Q321" s="9" t="s">
        <v>37</v>
      </c>
      <c r="R321" s="9" t="s">
        <v>1717</v>
      </c>
      <c r="S321" s="9" t="s">
        <v>39</v>
      </c>
      <c r="T321" s="9" t="s">
        <v>112</v>
      </c>
      <c r="U321" s="9" t="s">
        <v>1718</v>
      </c>
      <c r="V321" s="11">
        <v>12.54</v>
      </c>
      <c r="W321" s="9" t="str">
        <f t="shared" si="24"/>
        <v>Fast Delivery</v>
      </c>
    </row>
    <row r="322" spans="1:23" x14ac:dyDescent="0.25">
      <c r="A322" s="9">
        <v>5486</v>
      </c>
      <c r="B322" s="10" t="s">
        <v>1719</v>
      </c>
      <c r="C322" s="10">
        <v>42350</v>
      </c>
      <c r="D322" s="10">
        <v>42355</v>
      </c>
      <c r="E322" s="9">
        <f t="shared" si="21"/>
        <v>2015</v>
      </c>
      <c r="F322" s="10" t="str">
        <f t="shared" si="22"/>
        <v>Dec</v>
      </c>
      <c r="G322" s="9">
        <f t="shared" si="23"/>
        <v>12</v>
      </c>
      <c r="H322" s="9">
        <f t="shared" ref="H322:H385" si="25">D322-C322</f>
        <v>5</v>
      </c>
      <c r="I322" s="9" t="s">
        <v>43</v>
      </c>
      <c r="J322" s="9" t="s">
        <v>1720</v>
      </c>
      <c r="K322" s="9" t="s">
        <v>1721</v>
      </c>
      <c r="L322" s="9" t="s">
        <v>22</v>
      </c>
      <c r="M322" s="9" t="s">
        <v>23</v>
      </c>
      <c r="N322" s="9" t="s">
        <v>1502</v>
      </c>
      <c r="O322" s="9" t="s">
        <v>130</v>
      </c>
      <c r="P322" s="9">
        <v>33178</v>
      </c>
      <c r="Q322" s="9" t="s">
        <v>110</v>
      </c>
      <c r="R322" s="9" t="s">
        <v>1722</v>
      </c>
      <c r="S322" s="9" t="s">
        <v>66</v>
      </c>
      <c r="T322" s="9" t="s">
        <v>280</v>
      </c>
      <c r="U322" s="9" t="s">
        <v>281</v>
      </c>
      <c r="V322" s="11">
        <v>23.472000000000001</v>
      </c>
      <c r="W322" s="9" t="str">
        <f t="shared" si="24"/>
        <v>Slow Delivery</v>
      </c>
    </row>
    <row r="323" spans="1:23" x14ac:dyDescent="0.25">
      <c r="A323" s="9">
        <v>6918</v>
      </c>
      <c r="B323" s="10" t="s">
        <v>3849</v>
      </c>
      <c r="C323" s="10">
        <v>42354</v>
      </c>
      <c r="D323" s="10">
        <v>42359</v>
      </c>
      <c r="E323" s="9">
        <f t="shared" ref="E323:E386" si="26">YEAR(C323)</f>
        <v>2015</v>
      </c>
      <c r="F323" s="10" t="str">
        <f t="shared" ref="F323:F386" si="27">TEXT(C323,"mmm")</f>
        <v>Dec</v>
      </c>
      <c r="G323" s="9">
        <f t="shared" ref="G323:G386" si="28">MONTH(C323)</f>
        <v>12</v>
      </c>
      <c r="H323" s="9">
        <f t="shared" si="25"/>
        <v>5</v>
      </c>
      <c r="I323" s="9" t="s">
        <v>43</v>
      </c>
      <c r="J323" s="9" t="s">
        <v>3850</v>
      </c>
      <c r="K323" s="9" t="s">
        <v>3851</v>
      </c>
      <c r="L323" s="9" t="s">
        <v>87</v>
      </c>
      <c r="M323" s="9" t="s">
        <v>23</v>
      </c>
      <c r="N323" s="9" t="s">
        <v>2908</v>
      </c>
      <c r="O323" s="9" t="s">
        <v>80</v>
      </c>
      <c r="P323" s="9">
        <v>95823</v>
      </c>
      <c r="Q323" s="9" t="s">
        <v>37</v>
      </c>
      <c r="R323" s="9" t="s">
        <v>233</v>
      </c>
      <c r="S323" s="9" t="s">
        <v>39</v>
      </c>
      <c r="T323" s="9" t="s">
        <v>40</v>
      </c>
      <c r="U323" s="9" t="s">
        <v>234</v>
      </c>
      <c r="V323" s="11">
        <v>1403.92</v>
      </c>
      <c r="W323" s="9" t="str">
        <f t="shared" ref="W323:W386" si="29">IF(H323&lt;=3,"Fast Delivery","Slow Delivery")</f>
        <v>Slow Delivery</v>
      </c>
    </row>
    <row r="324" spans="1:23" x14ac:dyDescent="0.25">
      <c r="A324" s="9">
        <v>9442</v>
      </c>
      <c r="B324" s="10" t="s">
        <v>3975</v>
      </c>
      <c r="C324" s="10">
        <v>42367</v>
      </c>
      <c r="D324" s="10">
        <v>42369</v>
      </c>
      <c r="E324" s="9">
        <f t="shared" si="26"/>
        <v>2015</v>
      </c>
      <c r="F324" s="10" t="str">
        <f t="shared" si="27"/>
        <v>Dec</v>
      </c>
      <c r="G324" s="9">
        <f t="shared" si="28"/>
        <v>12</v>
      </c>
      <c r="H324" s="9">
        <f t="shared" si="25"/>
        <v>2</v>
      </c>
      <c r="I324" s="9" t="s">
        <v>32</v>
      </c>
      <c r="J324" s="9" t="s">
        <v>3976</v>
      </c>
      <c r="K324" s="9" t="s">
        <v>3977</v>
      </c>
      <c r="L324" s="9" t="s">
        <v>22</v>
      </c>
      <c r="M324" s="9" t="s">
        <v>23</v>
      </c>
      <c r="N324" s="9" t="s">
        <v>1411</v>
      </c>
      <c r="O324" s="9" t="s">
        <v>250</v>
      </c>
      <c r="P324" s="9">
        <v>44240</v>
      </c>
      <c r="Q324" s="9" t="s">
        <v>49</v>
      </c>
      <c r="R324" s="9" t="s">
        <v>3978</v>
      </c>
      <c r="S324" s="9" t="s">
        <v>66</v>
      </c>
      <c r="T324" s="9" t="s">
        <v>221</v>
      </c>
      <c r="U324" s="9" t="s">
        <v>3979</v>
      </c>
      <c r="V324" s="11">
        <v>48.36</v>
      </c>
      <c r="W324" s="9" t="str">
        <f t="shared" si="29"/>
        <v>Fast Delivery</v>
      </c>
    </row>
    <row r="325" spans="1:23" x14ac:dyDescent="0.25">
      <c r="A325" s="9">
        <v>7091</v>
      </c>
      <c r="B325" s="10" t="s">
        <v>2431</v>
      </c>
      <c r="C325" s="10">
        <v>42378</v>
      </c>
      <c r="D325" s="10">
        <v>42382</v>
      </c>
      <c r="E325" s="9">
        <f t="shared" si="26"/>
        <v>2016</v>
      </c>
      <c r="F325" s="10" t="str">
        <f t="shared" si="27"/>
        <v>Jan</v>
      </c>
      <c r="G325" s="9">
        <f t="shared" si="28"/>
        <v>1</v>
      </c>
      <c r="H325" s="9">
        <f t="shared" si="25"/>
        <v>4</v>
      </c>
      <c r="I325" s="9" t="s">
        <v>43</v>
      </c>
      <c r="J325" s="9" t="s">
        <v>2432</v>
      </c>
      <c r="K325" s="9" t="s">
        <v>2433</v>
      </c>
      <c r="L325" s="9" t="s">
        <v>22</v>
      </c>
      <c r="M325" s="9" t="s">
        <v>23</v>
      </c>
      <c r="N325" s="9" t="s">
        <v>928</v>
      </c>
      <c r="O325" s="9" t="s">
        <v>207</v>
      </c>
      <c r="P325" s="9">
        <v>42420</v>
      </c>
      <c r="Q325" s="9" t="s">
        <v>110</v>
      </c>
      <c r="R325" s="9" t="s">
        <v>1552</v>
      </c>
      <c r="S325" s="9" t="s">
        <v>66</v>
      </c>
      <c r="T325" s="9" t="s">
        <v>201</v>
      </c>
      <c r="U325" s="9" t="s">
        <v>673</v>
      </c>
      <c r="V325" s="11">
        <v>106.32</v>
      </c>
      <c r="W325" s="9" t="str">
        <f t="shared" si="29"/>
        <v>Slow Delivery</v>
      </c>
    </row>
    <row r="326" spans="1:23" x14ac:dyDescent="0.25">
      <c r="A326" s="9">
        <v>1670</v>
      </c>
      <c r="B326" s="10" t="s">
        <v>2496</v>
      </c>
      <c r="C326" s="10">
        <v>42379</v>
      </c>
      <c r="D326" s="10">
        <v>42384</v>
      </c>
      <c r="E326" s="9">
        <f t="shared" si="26"/>
        <v>2016</v>
      </c>
      <c r="F326" s="10" t="str">
        <f t="shared" si="27"/>
        <v>Jan</v>
      </c>
      <c r="G326" s="9">
        <f t="shared" si="28"/>
        <v>1</v>
      </c>
      <c r="H326" s="9">
        <f t="shared" si="25"/>
        <v>5</v>
      </c>
      <c r="I326" s="9" t="s">
        <v>43</v>
      </c>
      <c r="J326" s="9" t="s">
        <v>2497</v>
      </c>
      <c r="K326" s="9" t="s">
        <v>2498</v>
      </c>
      <c r="L326" s="9" t="s">
        <v>22</v>
      </c>
      <c r="M326" s="9" t="s">
        <v>23</v>
      </c>
      <c r="N326" s="9" t="s">
        <v>47</v>
      </c>
      <c r="O326" s="9" t="s">
        <v>48</v>
      </c>
      <c r="P326" s="9">
        <v>10011</v>
      </c>
      <c r="Q326" s="9" t="s">
        <v>49</v>
      </c>
      <c r="R326" s="9" t="s">
        <v>2499</v>
      </c>
      <c r="S326" s="9" t="s">
        <v>39</v>
      </c>
      <c r="T326" s="9" t="s">
        <v>480</v>
      </c>
      <c r="U326" s="9" t="s">
        <v>2500</v>
      </c>
      <c r="V326" s="11">
        <v>1018.104</v>
      </c>
      <c r="W326" s="9" t="str">
        <f t="shared" si="29"/>
        <v>Slow Delivery</v>
      </c>
    </row>
    <row r="327" spans="1:23" x14ac:dyDescent="0.25">
      <c r="A327" s="9">
        <v>9797</v>
      </c>
      <c r="B327" s="10" t="s">
        <v>2616</v>
      </c>
      <c r="C327" s="10">
        <v>42381</v>
      </c>
      <c r="D327" s="10">
        <v>42386</v>
      </c>
      <c r="E327" s="9">
        <f t="shared" si="26"/>
        <v>2016</v>
      </c>
      <c r="F327" s="10" t="str">
        <f t="shared" si="27"/>
        <v>Jan</v>
      </c>
      <c r="G327" s="9">
        <f t="shared" si="28"/>
        <v>1</v>
      </c>
      <c r="H327" s="9">
        <f t="shared" si="25"/>
        <v>5</v>
      </c>
      <c r="I327" s="9" t="s">
        <v>43</v>
      </c>
      <c r="J327" s="9" t="s">
        <v>2617</v>
      </c>
      <c r="K327" s="9" t="s">
        <v>2618</v>
      </c>
      <c r="L327" s="9" t="s">
        <v>87</v>
      </c>
      <c r="M327" s="9" t="s">
        <v>23</v>
      </c>
      <c r="N327" s="9" t="s">
        <v>1169</v>
      </c>
      <c r="O327" s="9" t="s">
        <v>250</v>
      </c>
      <c r="P327" s="9">
        <v>43615</v>
      </c>
      <c r="Q327" s="9" t="s">
        <v>49</v>
      </c>
      <c r="R327" s="9" t="s">
        <v>2619</v>
      </c>
      <c r="S327" s="9" t="s">
        <v>66</v>
      </c>
      <c r="T327" s="9" t="s">
        <v>158</v>
      </c>
      <c r="U327" s="9" t="s">
        <v>2620</v>
      </c>
      <c r="V327" s="11">
        <v>10.368</v>
      </c>
      <c r="W327" s="9" t="str">
        <f t="shared" si="29"/>
        <v>Slow Delivery</v>
      </c>
    </row>
    <row r="328" spans="1:23" x14ac:dyDescent="0.25">
      <c r="A328" s="9">
        <v>3454</v>
      </c>
      <c r="B328" s="10" t="s">
        <v>1723</v>
      </c>
      <c r="C328" s="10">
        <v>42430</v>
      </c>
      <c r="D328" s="10">
        <v>42431</v>
      </c>
      <c r="E328" s="9">
        <f t="shared" si="26"/>
        <v>2016</v>
      </c>
      <c r="F328" s="10" t="str">
        <f t="shared" si="27"/>
        <v>Mar</v>
      </c>
      <c r="G328" s="9">
        <f t="shared" si="28"/>
        <v>3</v>
      </c>
      <c r="H328" s="9">
        <f t="shared" si="25"/>
        <v>1</v>
      </c>
      <c r="I328" s="9" t="s">
        <v>32</v>
      </c>
      <c r="J328" s="9" t="s">
        <v>1724</v>
      </c>
      <c r="K328" s="9" t="s">
        <v>1725</v>
      </c>
      <c r="L328" s="9" t="s">
        <v>22</v>
      </c>
      <c r="M328" s="9" t="s">
        <v>23</v>
      </c>
      <c r="N328" s="9" t="s">
        <v>1234</v>
      </c>
      <c r="O328" s="9" t="s">
        <v>286</v>
      </c>
      <c r="P328" s="9">
        <v>31204</v>
      </c>
      <c r="Q328" s="9" t="s">
        <v>110</v>
      </c>
      <c r="R328" s="9" t="s">
        <v>1726</v>
      </c>
      <c r="S328" s="9" t="s">
        <v>66</v>
      </c>
      <c r="T328" s="9" t="s">
        <v>103</v>
      </c>
      <c r="U328" s="9" t="s">
        <v>1727</v>
      </c>
      <c r="V328" s="11">
        <v>58.72</v>
      </c>
      <c r="W328" s="9" t="str">
        <f t="shared" si="29"/>
        <v>Fast Delivery</v>
      </c>
    </row>
    <row r="329" spans="1:23" x14ac:dyDescent="0.25">
      <c r="A329" s="9">
        <v>9445</v>
      </c>
      <c r="B329" s="10" t="s">
        <v>1731</v>
      </c>
      <c r="C329" s="10">
        <v>42430</v>
      </c>
      <c r="D329" s="10">
        <v>42431</v>
      </c>
      <c r="E329" s="9">
        <f t="shared" si="26"/>
        <v>2016</v>
      </c>
      <c r="F329" s="10" t="str">
        <f t="shared" si="27"/>
        <v>Mar</v>
      </c>
      <c r="G329" s="9">
        <f t="shared" si="28"/>
        <v>3</v>
      </c>
      <c r="H329" s="9">
        <f t="shared" si="25"/>
        <v>1</v>
      </c>
      <c r="I329" s="9" t="s">
        <v>19</v>
      </c>
      <c r="J329" s="9" t="s">
        <v>1732</v>
      </c>
      <c r="K329" s="9" t="s">
        <v>1733</v>
      </c>
      <c r="L329" s="9" t="s">
        <v>87</v>
      </c>
      <c r="M329" s="9" t="s">
        <v>23</v>
      </c>
      <c r="N329" s="9" t="s">
        <v>1734</v>
      </c>
      <c r="O329" s="9" t="s">
        <v>64</v>
      </c>
      <c r="P329" s="9">
        <v>75019</v>
      </c>
      <c r="Q329" s="9" t="s">
        <v>26</v>
      </c>
      <c r="R329" s="9" t="s">
        <v>1735</v>
      </c>
      <c r="S329" s="9" t="s">
        <v>28</v>
      </c>
      <c r="T329" s="9" t="s">
        <v>51</v>
      </c>
      <c r="U329" s="9" t="s">
        <v>1736</v>
      </c>
      <c r="V329" s="11">
        <v>95.84</v>
      </c>
      <c r="W329" s="9" t="str">
        <f t="shared" si="29"/>
        <v>Fast Delivery</v>
      </c>
    </row>
    <row r="330" spans="1:23" x14ac:dyDescent="0.25">
      <c r="A330" s="9">
        <v>1167</v>
      </c>
      <c r="B330" s="10" t="s">
        <v>1914</v>
      </c>
      <c r="C330" s="10">
        <v>42676</v>
      </c>
      <c r="D330" s="10">
        <v>42676</v>
      </c>
      <c r="E330" s="9">
        <f t="shared" si="26"/>
        <v>2016</v>
      </c>
      <c r="F330" s="10" t="str">
        <f t="shared" si="27"/>
        <v>Nov</v>
      </c>
      <c r="G330" s="9">
        <f t="shared" si="28"/>
        <v>11</v>
      </c>
      <c r="H330" s="9">
        <f t="shared" si="25"/>
        <v>0</v>
      </c>
      <c r="I330" s="9" t="s">
        <v>302</v>
      </c>
      <c r="J330" s="9" t="s">
        <v>1915</v>
      </c>
      <c r="K330" s="9" t="s">
        <v>1916</v>
      </c>
      <c r="L330" s="9" t="s">
        <v>22</v>
      </c>
      <c r="M330" s="9" t="s">
        <v>23</v>
      </c>
      <c r="N330" s="9" t="s">
        <v>35</v>
      </c>
      <c r="O330" s="9" t="s">
        <v>36</v>
      </c>
      <c r="P330" s="9">
        <v>98115</v>
      </c>
      <c r="Q330" s="9" t="s">
        <v>37</v>
      </c>
      <c r="R330" s="9" t="s">
        <v>1917</v>
      </c>
      <c r="S330" s="9" t="s">
        <v>28</v>
      </c>
      <c r="T330" s="9" t="s">
        <v>29</v>
      </c>
      <c r="U330" s="9" t="s">
        <v>1918</v>
      </c>
      <c r="V330" s="11">
        <v>447.93</v>
      </c>
      <c r="W330" s="9" t="str">
        <f t="shared" si="29"/>
        <v>Fast Delivery</v>
      </c>
    </row>
    <row r="331" spans="1:23" x14ac:dyDescent="0.25">
      <c r="A331" s="9">
        <v>1474</v>
      </c>
      <c r="B331" s="10" t="s">
        <v>1788</v>
      </c>
      <c r="C331" s="10">
        <v>42705</v>
      </c>
      <c r="D331" s="10">
        <v>42706</v>
      </c>
      <c r="E331" s="9">
        <f t="shared" si="26"/>
        <v>2016</v>
      </c>
      <c r="F331" s="10" t="str">
        <f t="shared" si="27"/>
        <v>Dec</v>
      </c>
      <c r="G331" s="9">
        <f t="shared" si="28"/>
        <v>12</v>
      </c>
      <c r="H331" s="9">
        <f t="shared" si="25"/>
        <v>1</v>
      </c>
      <c r="I331" s="9" t="s">
        <v>302</v>
      </c>
      <c r="J331" s="9" t="s">
        <v>1789</v>
      </c>
      <c r="K331" s="9" t="s">
        <v>1790</v>
      </c>
      <c r="L331" s="9" t="s">
        <v>22</v>
      </c>
      <c r="M331" s="9" t="s">
        <v>23</v>
      </c>
      <c r="N331" s="9" t="s">
        <v>72</v>
      </c>
      <c r="O331" s="9" t="s">
        <v>64</v>
      </c>
      <c r="P331" s="9">
        <v>77036</v>
      </c>
      <c r="Q331" s="9" t="s">
        <v>26</v>
      </c>
      <c r="R331" s="9" t="s">
        <v>1717</v>
      </c>
      <c r="S331" s="9" t="s">
        <v>39</v>
      </c>
      <c r="T331" s="9" t="s">
        <v>112</v>
      </c>
      <c r="U331" s="9" t="s">
        <v>1718</v>
      </c>
      <c r="V331" s="11">
        <v>6.6879999999999997</v>
      </c>
      <c r="W331" s="9" t="str">
        <f t="shared" si="29"/>
        <v>Fast Delivery</v>
      </c>
    </row>
    <row r="332" spans="1:23" x14ac:dyDescent="0.25">
      <c r="A332" s="9">
        <v>8126</v>
      </c>
      <c r="B332" s="10" t="s">
        <v>2192</v>
      </c>
      <c r="C332" s="10">
        <v>42406</v>
      </c>
      <c r="D332" s="10">
        <v>42413</v>
      </c>
      <c r="E332" s="9">
        <f t="shared" si="26"/>
        <v>2016</v>
      </c>
      <c r="F332" s="10" t="str">
        <f t="shared" si="27"/>
        <v>Feb</v>
      </c>
      <c r="G332" s="9">
        <f t="shared" si="28"/>
        <v>2</v>
      </c>
      <c r="H332" s="9">
        <f t="shared" si="25"/>
        <v>7</v>
      </c>
      <c r="I332" s="9" t="s">
        <v>43</v>
      </c>
      <c r="J332" s="9" t="s">
        <v>2193</v>
      </c>
      <c r="K332" s="9" t="s">
        <v>2194</v>
      </c>
      <c r="L332" s="9" t="s">
        <v>22</v>
      </c>
      <c r="M332" s="9" t="s">
        <v>23</v>
      </c>
      <c r="N332" s="9" t="s">
        <v>72</v>
      </c>
      <c r="O332" s="9" t="s">
        <v>64</v>
      </c>
      <c r="P332" s="9">
        <v>77070</v>
      </c>
      <c r="Q332" s="9" t="s">
        <v>26</v>
      </c>
      <c r="R332" s="9" t="s">
        <v>2195</v>
      </c>
      <c r="S332" s="9" t="s">
        <v>66</v>
      </c>
      <c r="T332" s="9" t="s">
        <v>103</v>
      </c>
      <c r="U332" s="9" t="s">
        <v>2196</v>
      </c>
      <c r="V332" s="11">
        <v>2.9340000000000002</v>
      </c>
      <c r="W332" s="9" t="str">
        <f t="shared" si="29"/>
        <v>Slow Delivery</v>
      </c>
    </row>
    <row r="333" spans="1:23" x14ac:dyDescent="0.25">
      <c r="A333" s="9">
        <v>8502</v>
      </c>
      <c r="B333" s="10" t="s">
        <v>1728</v>
      </c>
      <c r="C333" s="10">
        <v>42430</v>
      </c>
      <c r="D333" s="10">
        <v>42432</v>
      </c>
      <c r="E333" s="9">
        <f t="shared" si="26"/>
        <v>2016</v>
      </c>
      <c r="F333" s="10" t="str">
        <f t="shared" si="27"/>
        <v>Mar</v>
      </c>
      <c r="G333" s="9">
        <f t="shared" si="28"/>
        <v>3</v>
      </c>
      <c r="H333" s="9">
        <f t="shared" si="25"/>
        <v>2</v>
      </c>
      <c r="I333" s="9" t="s">
        <v>32</v>
      </c>
      <c r="J333" s="9" t="s">
        <v>1729</v>
      </c>
      <c r="K333" s="9" t="s">
        <v>1730</v>
      </c>
      <c r="L333" s="9" t="s">
        <v>87</v>
      </c>
      <c r="M333" s="9" t="s">
        <v>23</v>
      </c>
      <c r="N333" s="9" t="s">
        <v>213</v>
      </c>
      <c r="O333" s="9" t="s">
        <v>80</v>
      </c>
      <c r="P333" s="9">
        <v>90045</v>
      </c>
      <c r="Q333" s="9" t="s">
        <v>37</v>
      </c>
      <c r="R333" s="9" t="s">
        <v>1313</v>
      </c>
      <c r="S333" s="9" t="s">
        <v>28</v>
      </c>
      <c r="T333" s="9" t="s">
        <v>51</v>
      </c>
      <c r="U333" s="9" t="s">
        <v>1314</v>
      </c>
      <c r="V333" s="11">
        <v>15.984</v>
      </c>
      <c r="W333" s="9" t="str">
        <f t="shared" si="29"/>
        <v>Fast Delivery</v>
      </c>
    </row>
    <row r="334" spans="1:23" x14ac:dyDescent="0.25">
      <c r="A334" s="9">
        <v>6953</v>
      </c>
      <c r="B334" s="10" t="s">
        <v>1895</v>
      </c>
      <c r="C334" s="10">
        <v>42645</v>
      </c>
      <c r="D334" s="10">
        <v>42646</v>
      </c>
      <c r="E334" s="9">
        <f t="shared" si="26"/>
        <v>2016</v>
      </c>
      <c r="F334" s="10" t="str">
        <f t="shared" si="27"/>
        <v>Oct</v>
      </c>
      <c r="G334" s="9">
        <f t="shared" si="28"/>
        <v>10</v>
      </c>
      <c r="H334" s="9">
        <f t="shared" si="25"/>
        <v>1</v>
      </c>
      <c r="I334" s="9" t="s">
        <v>19</v>
      </c>
      <c r="J334" s="9" t="s">
        <v>1896</v>
      </c>
      <c r="K334" s="9" t="s">
        <v>1897</v>
      </c>
      <c r="L334" s="9" t="s">
        <v>22</v>
      </c>
      <c r="M334" s="9" t="s">
        <v>23</v>
      </c>
      <c r="N334" s="9" t="s">
        <v>213</v>
      </c>
      <c r="O334" s="9" t="s">
        <v>80</v>
      </c>
      <c r="P334" s="9">
        <v>90008</v>
      </c>
      <c r="Q334" s="9" t="s">
        <v>37</v>
      </c>
      <c r="R334" s="9" t="s">
        <v>1898</v>
      </c>
      <c r="S334" s="9" t="s">
        <v>66</v>
      </c>
      <c r="T334" s="9" t="s">
        <v>103</v>
      </c>
      <c r="U334" s="9" t="s">
        <v>1899</v>
      </c>
      <c r="V334" s="11">
        <v>11.808</v>
      </c>
      <c r="W334" s="9" t="str">
        <f t="shared" si="29"/>
        <v>Fast Delivery</v>
      </c>
    </row>
    <row r="335" spans="1:23" x14ac:dyDescent="0.25">
      <c r="A335" s="9">
        <v>6551</v>
      </c>
      <c r="B335" s="10" t="s">
        <v>1778</v>
      </c>
      <c r="C335" s="10">
        <v>42675</v>
      </c>
      <c r="D335" s="10">
        <v>42677</v>
      </c>
      <c r="E335" s="9">
        <f t="shared" si="26"/>
        <v>2016</v>
      </c>
      <c r="F335" s="10" t="str">
        <f t="shared" si="27"/>
        <v>Nov</v>
      </c>
      <c r="G335" s="9">
        <f t="shared" si="28"/>
        <v>11</v>
      </c>
      <c r="H335" s="9">
        <f t="shared" si="25"/>
        <v>2</v>
      </c>
      <c r="I335" s="9" t="s">
        <v>32</v>
      </c>
      <c r="J335" s="9" t="s">
        <v>1779</v>
      </c>
      <c r="K335" s="9" t="s">
        <v>1780</v>
      </c>
      <c r="L335" s="9" t="s">
        <v>22</v>
      </c>
      <c r="M335" s="9" t="s">
        <v>23</v>
      </c>
      <c r="N335" s="9" t="s">
        <v>47</v>
      </c>
      <c r="O335" s="9" t="s">
        <v>48</v>
      </c>
      <c r="P335" s="9">
        <v>10035</v>
      </c>
      <c r="Q335" s="9" t="s">
        <v>49</v>
      </c>
      <c r="R335" s="9" t="s">
        <v>1781</v>
      </c>
      <c r="S335" s="9" t="s">
        <v>39</v>
      </c>
      <c r="T335" s="9" t="s">
        <v>40</v>
      </c>
      <c r="U335" s="9" t="s">
        <v>1782</v>
      </c>
      <c r="V335" s="11">
        <v>327.56400000000002</v>
      </c>
      <c r="W335" s="9" t="str">
        <f t="shared" si="29"/>
        <v>Fast Delivery</v>
      </c>
    </row>
    <row r="336" spans="1:23" x14ac:dyDescent="0.25">
      <c r="A336" s="9">
        <v>4167</v>
      </c>
      <c r="B336" s="10" t="s">
        <v>2367</v>
      </c>
      <c r="C336" s="10">
        <v>42437</v>
      </c>
      <c r="D336" s="10">
        <v>42442</v>
      </c>
      <c r="E336" s="9">
        <f t="shared" si="26"/>
        <v>2016</v>
      </c>
      <c r="F336" s="10" t="str">
        <f t="shared" si="27"/>
        <v>Mar</v>
      </c>
      <c r="G336" s="9">
        <f t="shared" si="28"/>
        <v>3</v>
      </c>
      <c r="H336" s="9">
        <f t="shared" si="25"/>
        <v>5</v>
      </c>
      <c r="I336" s="9" t="s">
        <v>43</v>
      </c>
      <c r="J336" s="9" t="s">
        <v>2368</v>
      </c>
      <c r="K336" s="9" t="s">
        <v>2369</v>
      </c>
      <c r="L336" s="9" t="s">
        <v>87</v>
      </c>
      <c r="M336" s="9" t="s">
        <v>23</v>
      </c>
      <c r="N336" s="9" t="s">
        <v>219</v>
      </c>
      <c r="O336" s="9" t="s">
        <v>48</v>
      </c>
      <c r="P336" s="9">
        <v>11561</v>
      </c>
      <c r="Q336" s="9" t="s">
        <v>49</v>
      </c>
      <c r="R336" s="9" t="s">
        <v>2370</v>
      </c>
      <c r="S336" s="9" t="s">
        <v>66</v>
      </c>
      <c r="T336" s="9" t="s">
        <v>201</v>
      </c>
      <c r="U336" s="9" t="s">
        <v>2371</v>
      </c>
      <c r="V336" s="11">
        <v>19.440000000000001</v>
      </c>
      <c r="W336" s="9" t="str">
        <f t="shared" si="29"/>
        <v>Slow Delivery</v>
      </c>
    </row>
    <row r="337" spans="1:23" x14ac:dyDescent="0.25">
      <c r="A337" s="9">
        <v>7878</v>
      </c>
      <c r="B337" s="10" t="s">
        <v>2621</v>
      </c>
      <c r="C337" s="10">
        <v>42441</v>
      </c>
      <c r="D337" s="10">
        <v>42447</v>
      </c>
      <c r="E337" s="9">
        <f t="shared" si="26"/>
        <v>2016</v>
      </c>
      <c r="F337" s="10" t="str">
        <f t="shared" si="27"/>
        <v>Mar</v>
      </c>
      <c r="G337" s="9">
        <f t="shared" si="28"/>
        <v>3</v>
      </c>
      <c r="H337" s="9">
        <f t="shared" si="25"/>
        <v>6</v>
      </c>
      <c r="I337" s="9" t="s">
        <v>43</v>
      </c>
      <c r="J337" s="9" t="s">
        <v>2622</v>
      </c>
      <c r="K337" s="9" t="s">
        <v>2623</v>
      </c>
      <c r="L337" s="9" t="s">
        <v>22</v>
      </c>
      <c r="M337" s="9" t="s">
        <v>23</v>
      </c>
      <c r="N337" s="9" t="s">
        <v>136</v>
      </c>
      <c r="O337" s="9" t="s">
        <v>137</v>
      </c>
      <c r="P337" s="9">
        <v>28205</v>
      </c>
      <c r="Q337" s="9" t="s">
        <v>110</v>
      </c>
      <c r="R337" s="9" t="s">
        <v>627</v>
      </c>
      <c r="S337" s="9" t="s">
        <v>66</v>
      </c>
      <c r="T337" s="9" t="s">
        <v>82</v>
      </c>
      <c r="U337" s="9" t="s">
        <v>628</v>
      </c>
      <c r="V337" s="11">
        <v>5.04</v>
      </c>
      <c r="W337" s="9" t="str">
        <f t="shared" si="29"/>
        <v>Slow Delivery</v>
      </c>
    </row>
    <row r="338" spans="1:23" x14ac:dyDescent="0.25">
      <c r="A338" s="9">
        <v>1559</v>
      </c>
      <c r="B338" s="10" t="s">
        <v>3823</v>
      </c>
      <c r="C338" s="10">
        <v>42445</v>
      </c>
      <c r="D338" s="10">
        <v>42447</v>
      </c>
      <c r="E338" s="9">
        <f t="shared" si="26"/>
        <v>2016</v>
      </c>
      <c r="F338" s="10" t="str">
        <f t="shared" si="27"/>
        <v>Mar</v>
      </c>
      <c r="G338" s="9">
        <f t="shared" si="28"/>
        <v>3</v>
      </c>
      <c r="H338" s="9">
        <f t="shared" si="25"/>
        <v>2</v>
      </c>
      <c r="I338" s="9" t="s">
        <v>32</v>
      </c>
      <c r="J338" s="9" t="s">
        <v>3824</v>
      </c>
      <c r="K338" s="9" t="s">
        <v>3825</v>
      </c>
      <c r="L338" s="9" t="s">
        <v>22</v>
      </c>
      <c r="M338" s="9" t="s">
        <v>23</v>
      </c>
      <c r="N338" s="9" t="s">
        <v>35</v>
      </c>
      <c r="O338" s="9" t="s">
        <v>36</v>
      </c>
      <c r="P338" s="9">
        <v>98103</v>
      </c>
      <c r="Q338" s="9" t="s">
        <v>37</v>
      </c>
      <c r="R338" s="9" t="s">
        <v>1116</v>
      </c>
      <c r="S338" s="9" t="s">
        <v>39</v>
      </c>
      <c r="T338" s="9" t="s">
        <v>480</v>
      </c>
      <c r="U338" s="9" t="s">
        <v>498</v>
      </c>
      <c r="V338" s="11">
        <v>171.96</v>
      </c>
      <c r="W338" s="9" t="str">
        <f t="shared" si="29"/>
        <v>Fast Delivery</v>
      </c>
    </row>
    <row r="339" spans="1:23" x14ac:dyDescent="0.25">
      <c r="A339" s="9">
        <v>2564</v>
      </c>
      <c r="B339" s="10" t="s">
        <v>3857</v>
      </c>
      <c r="C339" s="10">
        <v>42446</v>
      </c>
      <c r="D339" s="10">
        <v>42451</v>
      </c>
      <c r="E339" s="9">
        <f t="shared" si="26"/>
        <v>2016</v>
      </c>
      <c r="F339" s="10" t="str">
        <f t="shared" si="27"/>
        <v>Mar</v>
      </c>
      <c r="G339" s="9">
        <f t="shared" si="28"/>
        <v>3</v>
      </c>
      <c r="H339" s="9">
        <f t="shared" si="25"/>
        <v>5</v>
      </c>
      <c r="I339" s="9" t="s">
        <v>32</v>
      </c>
      <c r="J339" s="9" t="s">
        <v>3858</v>
      </c>
      <c r="K339" s="9" t="s">
        <v>3859</v>
      </c>
      <c r="L339" s="9" t="s">
        <v>87</v>
      </c>
      <c r="M339" s="9" t="s">
        <v>23</v>
      </c>
      <c r="N339" s="9" t="s">
        <v>47</v>
      </c>
      <c r="O339" s="9" t="s">
        <v>48</v>
      </c>
      <c r="P339" s="9">
        <v>10009</v>
      </c>
      <c r="Q339" s="9" t="s">
        <v>49</v>
      </c>
      <c r="R339" s="9" t="s">
        <v>3860</v>
      </c>
      <c r="S339" s="9" t="s">
        <v>28</v>
      </c>
      <c r="T339" s="9" t="s">
        <v>29</v>
      </c>
      <c r="U339" s="9" t="s">
        <v>3861</v>
      </c>
      <c r="V339" s="11">
        <v>15.02</v>
      </c>
      <c r="W339" s="9" t="str">
        <f t="shared" si="29"/>
        <v>Slow Delivery</v>
      </c>
    </row>
    <row r="340" spans="1:23" x14ac:dyDescent="0.25">
      <c r="A340" s="9">
        <v>2487</v>
      </c>
      <c r="B340" s="10" t="s">
        <v>1811</v>
      </c>
      <c r="C340" s="10">
        <v>42371</v>
      </c>
      <c r="D340" s="10">
        <v>42373</v>
      </c>
      <c r="E340" s="9">
        <f t="shared" si="26"/>
        <v>2016</v>
      </c>
      <c r="F340" s="10" t="str">
        <f t="shared" si="27"/>
        <v>Jan</v>
      </c>
      <c r="G340" s="9">
        <f t="shared" si="28"/>
        <v>1</v>
      </c>
      <c r="H340" s="9">
        <f t="shared" si="25"/>
        <v>2</v>
      </c>
      <c r="I340" s="9" t="s">
        <v>32</v>
      </c>
      <c r="J340" s="9" t="s">
        <v>1812</v>
      </c>
      <c r="K340" s="9" t="s">
        <v>1813</v>
      </c>
      <c r="L340" s="9" t="s">
        <v>87</v>
      </c>
      <c r="M340" s="9" t="s">
        <v>23</v>
      </c>
      <c r="N340" s="9" t="s">
        <v>1814</v>
      </c>
      <c r="O340" s="9" t="s">
        <v>1475</v>
      </c>
      <c r="P340" s="9">
        <v>19711</v>
      </c>
      <c r="Q340" s="9" t="s">
        <v>49</v>
      </c>
      <c r="R340" s="9" t="s">
        <v>1815</v>
      </c>
      <c r="S340" s="9" t="s">
        <v>66</v>
      </c>
      <c r="T340" s="9" t="s">
        <v>74</v>
      </c>
      <c r="U340" s="9" t="s">
        <v>1816</v>
      </c>
      <c r="V340" s="11">
        <v>85.52</v>
      </c>
      <c r="W340" s="9" t="str">
        <f t="shared" si="29"/>
        <v>Fast Delivery</v>
      </c>
    </row>
    <row r="341" spans="1:23" x14ac:dyDescent="0.25">
      <c r="A341" s="9">
        <v>1909</v>
      </c>
      <c r="B341" s="10" t="s">
        <v>1951</v>
      </c>
      <c r="C341" s="10">
        <v>42403</v>
      </c>
      <c r="D341" s="10">
        <v>42404</v>
      </c>
      <c r="E341" s="9">
        <f t="shared" si="26"/>
        <v>2016</v>
      </c>
      <c r="F341" s="10" t="str">
        <f t="shared" si="27"/>
        <v>Feb</v>
      </c>
      <c r="G341" s="9">
        <f t="shared" si="28"/>
        <v>2</v>
      </c>
      <c r="H341" s="9">
        <f t="shared" si="25"/>
        <v>1</v>
      </c>
      <c r="I341" s="9" t="s">
        <v>19</v>
      </c>
      <c r="J341" s="9" t="s">
        <v>1952</v>
      </c>
      <c r="K341" s="9" t="s">
        <v>1953</v>
      </c>
      <c r="L341" s="9" t="s">
        <v>87</v>
      </c>
      <c r="M341" s="9" t="s">
        <v>23</v>
      </c>
      <c r="N341" s="9" t="s">
        <v>213</v>
      </c>
      <c r="O341" s="9" t="s">
        <v>80</v>
      </c>
      <c r="P341" s="9">
        <v>90008</v>
      </c>
      <c r="Q341" s="9" t="s">
        <v>37</v>
      </c>
      <c r="R341" s="9" t="s">
        <v>1954</v>
      </c>
      <c r="S341" s="9" t="s">
        <v>39</v>
      </c>
      <c r="T341" s="9" t="s">
        <v>112</v>
      </c>
      <c r="U341" s="9" t="s">
        <v>1955</v>
      </c>
      <c r="V341" s="11">
        <v>136.91999999999999</v>
      </c>
      <c r="W341" s="9" t="str">
        <f t="shared" si="29"/>
        <v>Fast Delivery</v>
      </c>
    </row>
    <row r="342" spans="1:23" x14ac:dyDescent="0.25">
      <c r="A342" s="9">
        <v>1816</v>
      </c>
      <c r="B342" s="10" t="s">
        <v>2034</v>
      </c>
      <c r="C342" s="10">
        <v>42525</v>
      </c>
      <c r="D342" s="10">
        <v>42525</v>
      </c>
      <c r="E342" s="9">
        <f t="shared" si="26"/>
        <v>2016</v>
      </c>
      <c r="F342" s="10" t="str">
        <f t="shared" si="27"/>
        <v>Jun</v>
      </c>
      <c r="G342" s="9">
        <f t="shared" si="28"/>
        <v>6</v>
      </c>
      <c r="H342" s="9">
        <f t="shared" si="25"/>
        <v>0</v>
      </c>
      <c r="I342" s="9" t="s">
        <v>302</v>
      </c>
      <c r="J342" s="9" t="s">
        <v>2035</v>
      </c>
      <c r="K342" s="9" t="s">
        <v>2036</v>
      </c>
      <c r="L342" s="9" t="s">
        <v>22</v>
      </c>
      <c r="M342" s="9" t="s">
        <v>23</v>
      </c>
      <c r="N342" s="9" t="s">
        <v>35</v>
      </c>
      <c r="O342" s="9" t="s">
        <v>36</v>
      </c>
      <c r="P342" s="9">
        <v>98105</v>
      </c>
      <c r="Q342" s="9" t="s">
        <v>37</v>
      </c>
      <c r="R342" s="9" t="s">
        <v>1849</v>
      </c>
      <c r="S342" s="9" t="s">
        <v>66</v>
      </c>
      <c r="T342" s="9" t="s">
        <v>82</v>
      </c>
      <c r="U342" s="9" t="s">
        <v>1850</v>
      </c>
      <c r="V342" s="11">
        <v>7.38</v>
      </c>
      <c r="W342" s="9" t="str">
        <f t="shared" si="29"/>
        <v>Fast Delivery</v>
      </c>
    </row>
    <row r="343" spans="1:23" x14ac:dyDescent="0.25">
      <c r="A343" s="9">
        <v>8849</v>
      </c>
      <c r="B343" s="10" t="s">
        <v>1862</v>
      </c>
      <c r="C343" s="10">
        <v>42553</v>
      </c>
      <c r="D343" s="10">
        <v>42555</v>
      </c>
      <c r="E343" s="9">
        <f t="shared" si="26"/>
        <v>2016</v>
      </c>
      <c r="F343" s="10" t="str">
        <f t="shared" si="27"/>
        <v>Jul</v>
      </c>
      <c r="G343" s="9">
        <f t="shared" si="28"/>
        <v>7</v>
      </c>
      <c r="H343" s="9">
        <f t="shared" si="25"/>
        <v>2</v>
      </c>
      <c r="I343" s="9" t="s">
        <v>19</v>
      </c>
      <c r="J343" s="9" t="s">
        <v>1863</v>
      </c>
      <c r="K343" s="9" t="s">
        <v>1864</v>
      </c>
      <c r="L343" s="9" t="s">
        <v>87</v>
      </c>
      <c r="M343" s="9" t="s">
        <v>23</v>
      </c>
      <c r="N343" s="9" t="s">
        <v>1865</v>
      </c>
      <c r="O343" s="9" t="s">
        <v>137</v>
      </c>
      <c r="P343" s="9">
        <v>27604</v>
      </c>
      <c r="Q343" s="9" t="s">
        <v>110</v>
      </c>
      <c r="R343" s="9" t="s">
        <v>1866</v>
      </c>
      <c r="S343" s="9" t="s">
        <v>28</v>
      </c>
      <c r="T343" s="9" t="s">
        <v>51</v>
      </c>
      <c r="U343" s="9" t="s">
        <v>1867</v>
      </c>
      <c r="V343" s="11">
        <v>74.239999999999995</v>
      </c>
      <c r="W343" s="9" t="str">
        <f t="shared" si="29"/>
        <v>Fast Delivery</v>
      </c>
    </row>
    <row r="344" spans="1:23" x14ac:dyDescent="0.25">
      <c r="A344" s="9">
        <v>335</v>
      </c>
      <c r="B344" s="10" t="s">
        <v>1751</v>
      </c>
      <c r="C344" s="10">
        <v>42614</v>
      </c>
      <c r="D344" s="10">
        <v>42617</v>
      </c>
      <c r="E344" s="9">
        <f t="shared" si="26"/>
        <v>2016</v>
      </c>
      <c r="F344" s="10" t="str">
        <f t="shared" si="27"/>
        <v>Sep</v>
      </c>
      <c r="G344" s="9">
        <f t="shared" si="28"/>
        <v>9</v>
      </c>
      <c r="H344" s="9">
        <f t="shared" si="25"/>
        <v>3</v>
      </c>
      <c r="I344" s="9" t="s">
        <v>32</v>
      </c>
      <c r="J344" s="9" t="s">
        <v>1752</v>
      </c>
      <c r="K344" s="9" t="s">
        <v>1753</v>
      </c>
      <c r="L344" s="9" t="s">
        <v>22</v>
      </c>
      <c r="M344" s="9" t="s">
        <v>23</v>
      </c>
      <c r="N344" s="9" t="s">
        <v>213</v>
      </c>
      <c r="O344" s="9" t="s">
        <v>80</v>
      </c>
      <c r="P344" s="9">
        <v>90045</v>
      </c>
      <c r="Q344" s="9" t="s">
        <v>37</v>
      </c>
      <c r="R344" s="9" t="s">
        <v>1754</v>
      </c>
      <c r="S344" s="9" t="s">
        <v>66</v>
      </c>
      <c r="T344" s="9" t="s">
        <v>103</v>
      </c>
      <c r="U344" s="9" t="s">
        <v>792</v>
      </c>
      <c r="V344" s="11">
        <v>4.7519999999999998</v>
      </c>
      <c r="W344" s="9" t="str">
        <f t="shared" si="29"/>
        <v>Fast Delivery</v>
      </c>
    </row>
    <row r="345" spans="1:23" x14ac:dyDescent="0.25">
      <c r="A345" s="9">
        <v>6268</v>
      </c>
      <c r="B345" s="10" t="s">
        <v>1766</v>
      </c>
      <c r="C345" s="10">
        <v>42644</v>
      </c>
      <c r="D345" s="10">
        <v>42647</v>
      </c>
      <c r="E345" s="9">
        <f t="shared" si="26"/>
        <v>2016</v>
      </c>
      <c r="F345" s="10" t="str">
        <f t="shared" si="27"/>
        <v>Oct</v>
      </c>
      <c r="G345" s="9">
        <f t="shared" si="28"/>
        <v>10</v>
      </c>
      <c r="H345" s="9">
        <f t="shared" si="25"/>
        <v>3</v>
      </c>
      <c r="I345" s="9" t="s">
        <v>32</v>
      </c>
      <c r="J345" s="9" t="s">
        <v>1767</v>
      </c>
      <c r="K345" s="9" t="s">
        <v>1768</v>
      </c>
      <c r="L345" s="9" t="s">
        <v>46</v>
      </c>
      <c r="M345" s="9" t="s">
        <v>23</v>
      </c>
      <c r="N345" s="9" t="s">
        <v>1769</v>
      </c>
      <c r="O345" s="9" t="s">
        <v>89</v>
      </c>
      <c r="P345" s="9">
        <v>2138</v>
      </c>
      <c r="Q345" s="9" t="s">
        <v>49</v>
      </c>
      <c r="R345" s="9" t="s">
        <v>1770</v>
      </c>
      <c r="S345" s="9" t="s">
        <v>28</v>
      </c>
      <c r="T345" s="9" t="s">
        <v>51</v>
      </c>
      <c r="U345" s="9" t="s">
        <v>1771</v>
      </c>
      <c r="V345" s="11">
        <v>311.98</v>
      </c>
      <c r="W345" s="9" t="str">
        <f t="shared" si="29"/>
        <v>Fast Delivery</v>
      </c>
    </row>
    <row r="346" spans="1:23" x14ac:dyDescent="0.25">
      <c r="A346" s="9">
        <v>8466</v>
      </c>
      <c r="B346" s="10" t="s">
        <v>2437</v>
      </c>
      <c r="C346" s="10">
        <v>42469</v>
      </c>
      <c r="D346" s="10">
        <v>42474</v>
      </c>
      <c r="E346" s="9">
        <f t="shared" si="26"/>
        <v>2016</v>
      </c>
      <c r="F346" s="10" t="str">
        <f t="shared" si="27"/>
        <v>Apr</v>
      </c>
      <c r="G346" s="9">
        <f t="shared" si="28"/>
        <v>4</v>
      </c>
      <c r="H346" s="9">
        <f t="shared" si="25"/>
        <v>5</v>
      </c>
      <c r="I346" s="9" t="s">
        <v>43</v>
      </c>
      <c r="J346" s="9" t="s">
        <v>2438</v>
      </c>
      <c r="K346" s="9" t="s">
        <v>2439</v>
      </c>
      <c r="L346" s="9" t="s">
        <v>22</v>
      </c>
      <c r="M346" s="9" t="s">
        <v>23</v>
      </c>
      <c r="N346" s="9" t="s">
        <v>47</v>
      </c>
      <c r="O346" s="9" t="s">
        <v>48</v>
      </c>
      <c r="P346" s="9">
        <v>10024</v>
      </c>
      <c r="Q346" s="9" t="s">
        <v>49</v>
      </c>
      <c r="R346" s="9" t="s">
        <v>2440</v>
      </c>
      <c r="S346" s="9" t="s">
        <v>66</v>
      </c>
      <c r="T346" s="9" t="s">
        <v>74</v>
      </c>
      <c r="U346" s="9" t="s">
        <v>2441</v>
      </c>
      <c r="V346" s="11">
        <v>17.940000000000001</v>
      </c>
      <c r="W346" s="9" t="str">
        <f t="shared" si="29"/>
        <v>Slow Delivery</v>
      </c>
    </row>
    <row r="347" spans="1:23" x14ac:dyDescent="0.25">
      <c r="A347" s="9">
        <v>8467</v>
      </c>
      <c r="B347" s="10" t="s">
        <v>2442</v>
      </c>
      <c r="C347" s="10">
        <v>42469</v>
      </c>
      <c r="D347" s="10">
        <v>42474</v>
      </c>
      <c r="E347" s="9">
        <f t="shared" si="26"/>
        <v>2016</v>
      </c>
      <c r="F347" s="10" t="str">
        <f t="shared" si="27"/>
        <v>Apr</v>
      </c>
      <c r="G347" s="9">
        <f t="shared" si="28"/>
        <v>4</v>
      </c>
      <c r="H347" s="9">
        <f t="shared" si="25"/>
        <v>5</v>
      </c>
      <c r="I347" s="9" t="s">
        <v>43</v>
      </c>
      <c r="J347" s="9" t="s">
        <v>2443</v>
      </c>
      <c r="K347" s="9" t="s">
        <v>2444</v>
      </c>
      <c r="L347" s="9" t="s">
        <v>22</v>
      </c>
      <c r="M347" s="9" t="s">
        <v>23</v>
      </c>
      <c r="N347" s="9" t="s">
        <v>2445</v>
      </c>
      <c r="O347" s="9" t="s">
        <v>656</v>
      </c>
      <c r="P347" s="9">
        <v>6360</v>
      </c>
      <c r="Q347" s="9" t="s">
        <v>49</v>
      </c>
      <c r="R347" s="9" t="s">
        <v>2446</v>
      </c>
      <c r="S347" s="9" t="s">
        <v>66</v>
      </c>
      <c r="T347" s="9" t="s">
        <v>221</v>
      </c>
      <c r="U347" s="9" t="s">
        <v>2447</v>
      </c>
      <c r="V347" s="11">
        <v>370.14</v>
      </c>
      <c r="W347" s="9" t="str">
        <f t="shared" si="29"/>
        <v>Slow Delivery</v>
      </c>
    </row>
    <row r="348" spans="1:23" x14ac:dyDescent="0.25">
      <c r="A348" s="9">
        <v>7461</v>
      </c>
      <c r="B348" s="10" t="s">
        <v>2560</v>
      </c>
      <c r="C348" s="10">
        <v>42471</v>
      </c>
      <c r="D348" s="10">
        <v>42474</v>
      </c>
      <c r="E348" s="9">
        <f t="shared" si="26"/>
        <v>2016</v>
      </c>
      <c r="F348" s="10" t="str">
        <f t="shared" si="27"/>
        <v>Apr</v>
      </c>
      <c r="G348" s="9">
        <f t="shared" si="28"/>
        <v>4</v>
      </c>
      <c r="H348" s="9">
        <f t="shared" si="25"/>
        <v>3</v>
      </c>
      <c r="I348" s="9" t="s">
        <v>32</v>
      </c>
      <c r="J348" s="9" t="s">
        <v>2561</v>
      </c>
      <c r="K348" s="9" t="s">
        <v>2562</v>
      </c>
      <c r="L348" s="9" t="s">
        <v>22</v>
      </c>
      <c r="M348" s="9" t="s">
        <v>23</v>
      </c>
      <c r="N348" s="9" t="s">
        <v>213</v>
      </c>
      <c r="O348" s="9" t="s">
        <v>80</v>
      </c>
      <c r="P348" s="9">
        <v>90004</v>
      </c>
      <c r="Q348" s="9" t="s">
        <v>37</v>
      </c>
      <c r="R348" s="9" t="s">
        <v>2563</v>
      </c>
      <c r="S348" s="9" t="s">
        <v>28</v>
      </c>
      <c r="T348" s="9" t="s">
        <v>252</v>
      </c>
      <c r="U348" s="9" t="s">
        <v>2564</v>
      </c>
      <c r="V348" s="11">
        <v>639.96799999999996</v>
      </c>
      <c r="W348" s="9" t="str">
        <f t="shared" si="29"/>
        <v>Fast Delivery</v>
      </c>
    </row>
    <row r="349" spans="1:23" x14ac:dyDescent="0.25">
      <c r="A349" s="9">
        <v>4170</v>
      </c>
      <c r="B349" s="10" t="s">
        <v>3732</v>
      </c>
      <c r="C349" s="10">
        <v>42473</v>
      </c>
      <c r="D349" s="10">
        <v>42474</v>
      </c>
      <c r="E349" s="9">
        <f t="shared" si="26"/>
        <v>2016</v>
      </c>
      <c r="F349" s="10" t="str">
        <f t="shared" si="27"/>
        <v>Apr</v>
      </c>
      <c r="G349" s="9">
        <f t="shared" si="28"/>
        <v>4</v>
      </c>
      <c r="H349" s="9">
        <f t="shared" si="25"/>
        <v>1</v>
      </c>
      <c r="I349" s="9" t="s">
        <v>19</v>
      </c>
      <c r="J349" s="9" t="s">
        <v>3733</v>
      </c>
      <c r="K349" s="9" t="s">
        <v>3734</v>
      </c>
      <c r="L349" s="9" t="s">
        <v>46</v>
      </c>
      <c r="M349" s="9" t="s">
        <v>23</v>
      </c>
      <c r="N349" s="9" t="s">
        <v>1396</v>
      </c>
      <c r="O349" s="9" t="s">
        <v>382</v>
      </c>
      <c r="P349" s="9">
        <v>85204</v>
      </c>
      <c r="Q349" s="9" t="s">
        <v>37</v>
      </c>
      <c r="R349" s="9" t="s">
        <v>1371</v>
      </c>
      <c r="S349" s="9" t="s">
        <v>66</v>
      </c>
      <c r="T349" s="9" t="s">
        <v>201</v>
      </c>
      <c r="U349" s="9" t="s">
        <v>1372</v>
      </c>
      <c r="V349" s="11">
        <v>31.103999999999999</v>
      </c>
      <c r="W349" s="9" t="str">
        <f t="shared" si="29"/>
        <v>Fast Delivery</v>
      </c>
    </row>
    <row r="350" spans="1:23" x14ac:dyDescent="0.25">
      <c r="A350" s="9">
        <v>6061</v>
      </c>
      <c r="B350" s="10" t="s">
        <v>2501</v>
      </c>
      <c r="C350" s="10">
        <v>42470</v>
      </c>
      <c r="D350" s="10">
        <v>42476</v>
      </c>
      <c r="E350" s="9">
        <f t="shared" si="26"/>
        <v>2016</v>
      </c>
      <c r="F350" s="10" t="str">
        <f t="shared" si="27"/>
        <v>Apr</v>
      </c>
      <c r="G350" s="9">
        <f t="shared" si="28"/>
        <v>4</v>
      </c>
      <c r="H350" s="9">
        <f t="shared" si="25"/>
        <v>6</v>
      </c>
      <c r="I350" s="9" t="s">
        <v>43</v>
      </c>
      <c r="J350" s="9" t="s">
        <v>2502</v>
      </c>
      <c r="K350" s="9" t="s">
        <v>2503</v>
      </c>
      <c r="L350" s="9" t="s">
        <v>46</v>
      </c>
      <c r="M350" s="9" t="s">
        <v>23</v>
      </c>
      <c r="N350" s="9" t="s">
        <v>2166</v>
      </c>
      <c r="O350" s="9" t="s">
        <v>48</v>
      </c>
      <c r="P350" s="9">
        <v>14609</v>
      </c>
      <c r="Q350" s="9" t="s">
        <v>49</v>
      </c>
      <c r="R350" s="9" t="s">
        <v>2504</v>
      </c>
      <c r="S350" s="9" t="s">
        <v>66</v>
      </c>
      <c r="T350" s="9" t="s">
        <v>74</v>
      </c>
      <c r="U350" s="9" t="s">
        <v>2505</v>
      </c>
      <c r="V350" s="11">
        <v>142.04</v>
      </c>
      <c r="W350" s="9" t="str">
        <f t="shared" si="29"/>
        <v>Slow Delivery</v>
      </c>
    </row>
    <row r="351" spans="1:23" x14ac:dyDescent="0.25">
      <c r="A351" s="9">
        <v>808</v>
      </c>
      <c r="B351" s="10" t="s">
        <v>1946</v>
      </c>
      <c r="C351" s="10">
        <v>42403</v>
      </c>
      <c r="D351" s="10">
        <v>42405</v>
      </c>
      <c r="E351" s="9">
        <f t="shared" si="26"/>
        <v>2016</v>
      </c>
      <c r="F351" s="10" t="str">
        <f t="shared" si="27"/>
        <v>Feb</v>
      </c>
      <c r="G351" s="9">
        <f t="shared" si="28"/>
        <v>2</v>
      </c>
      <c r="H351" s="9">
        <f t="shared" si="25"/>
        <v>2</v>
      </c>
      <c r="I351" s="9" t="s">
        <v>19</v>
      </c>
      <c r="J351" s="9" t="s">
        <v>1947</v>
      </c>
      <c r="K351" s="9" t="s">
        <v>1948</v>
      </c>
      <c r="L351" s="9" t="s">
        <v>22</v>
      </c>
      <c r="M351" s="9" t="s">
        <v>23</v>
      </c>
      <c r="N351" s="9" t="s">
        <v>586</v>
      </c>
      <c r="O351" s="9" t="s">
        <v>587</v>
      </c>
      <c r="P351" s="9">
        <v>68104</v>
      </c>
      <c r="Q351" s="9" t="s">
        <v>26</v>
      </c>
      <c r="R351" s="9" t="s">
        <v>1949</v>
      </c>
      <c r="S351" s="9" t="s">
        <v>39</v>
      </c>
      <c r="T351" s="9" t="s">
        <v>112</v>
      </c>
      <c r="U351" s="9" t="s">
        <v>1950</v>
      </c>
      <c r="V351" s="11">
        <v>28.4</v>
      </c>
      <c r="W351" s="9" t="str">
        <f t="shared" si="29"/>
        <v>Fast Delivery</v>
      </c>
    </row>
    <row r="352" spans="1:23" x14ac:dyDescent="0.25">
      <c r="A352" s="9">
        <v>3992</v>
      </c>
      <c r="B352" s="10" t="s">
        <v>1742</v>
      </c>
      <c r="C352" s="10">
        <v>42491</v>
      </c>
      <c r="D352" s="10">
        <v>42495</v>
      </c>
      <c r="E352" s="9">
        <f t="shared" si="26"/>
        <v>2016</v>
      </c>
      <c r="F352" s="10" t="str">
        <f t="shared" si="27"/>
        <v>May</v>
      </c>
      <c r="G352" s="9">
        <f t="shared" si="28"/>
        <v>5</v>
      </c>
      <c r="H352" s="9">
        <f t="shared" si="25"/>
        <v>4</v>
      </c>
      <c r="I352" s="9" t="s">
        <v>43</v>
      </c>
      <c r="J352" s="9" t="s">
        <v>1743</v>
      </c>
      <c r="K352" s="9" t="s">
        <v>1744</v>
      </c>
      <c r="L352" s="9" t="s">
        <v>87</v>
      </c>
      <c r="M352" s="9" t="s">
        <v>23</v>
      </c>
      <c r="N352" s="9" t="s">
        <v>1745</v>
      </c>
      <c r="O352" s="9" t="s">
        <v>130</v>
      </c>
      <c r="P352" s="9">
        <v>33614</v>
      </c>
      <c r="Q352" s="9" t="s">
        <v>110</v>
      </c>
      <c r="R352" s="9" t="s">
        <v>1746</v>
      </c>
      <c r="S352" s="9" t="s">
        <v>39</v>
      </c>
      <c r="T352" s="9" t="s">
        <v>112</v>
      </c>
      <c r="U352" s="9" t="s">
        <v>1747</v>
      </c>
      <c r="V352" s="11">
        <v>63.552</v>
      </c>
      <c r="W352" s="9" t="str">
        <f t="shared" si="29"/>
        <v>Slow Delivery</v>
      </c>
    </row>
    <row r="353" spans="1:23" x14ac:dyDescent="0.25">
      <c r="A353" s="9">
        <v>4967</v>
      </c>
      <c r="B353" s="10" t="s">
        <v>1873</v>
      </c>
      <c r="C353" s="10">
        <v>42584</v>
      </c>
      <c r="D353" s="10">
        <v>42587</v>
      </c>
      <c r="E353" s="9">
        <f t="shared" si="26"/>
        <v>2016</v>
      </c>
      <c r="F353" s="10" t="str">
        <f t="shared" si="27"/>
        <v>Aug</v>
      </c>
      <c r="G353" s="9">
        <f t="shared" si="28"/>
        <v>8</v>
      </c>
      <c r="H353" s="9">
        <f t="shared" si="25"/>
        <v>3</v>
      </c>
      <c r="I353" s="9" t="s">
        <v>32</v>
      </c>
      <c r="J353" s="9" t="s">
        <v>1874</v>
      </c>
      <c r="K353" s="9" t="s">
        <v>1875</v>
      </c>
      <c r="L353" s="9" t="s">
        <v>46</v>
      </c>
      <c r="M353" s="9" t="s">
        <v>23</v>
      </c>
      <c r="N353" s="9" t="s">
        <v>1876</v>
      </c>
      <c r="O353" s="9" t="s">
        <v>1877</v>
      </c>
      <c r="P353" s="9">
        <v>2908</v>
      </c>
      <c r="Q353" s="9" t="s">
        <v>49</v>
      </c>
      <c r="R353" s="9" t="s">
        <v>1878</v>
      </c>
      <c r="S353" s="9" t="s">
        <v>28</v>
      </c>
      <c r="T353" s="9" t="s">
        <v>51</v>
      </c>
      <c r="U353" s="9" t="s">
        <v>1879</v>
      </c>
      <c r="V353" s="11">
        <v>128.85</v>
      </c>
      <c r="W353" s="9" t="str">
        <f t="shared" si="29"/>
        <v>Fast Delivery</v>
      </c>
    </row>
    <row r="354" spans="1:23" x14ac:dyDescent="0.25">
      <c r="A354" s="9">
        <v>9035</v>
      </c>
      <c r="B354" s="10" t="s">
        <v>1772</v>
      </c>
      <c r="C354" s="10">
        <v>42644</v>
      </c>
      <c r="D354" s="10">
        <v>42648</v>
      </c>
      <c r="E354" s="9">
        <f t="shared" si="26"/>
        <v>2016</v>
      </c>
      <c r="F354" s="10" t="str">
        <f t="shared" si="27"/>
        <v>Oct</v>
      </c>
      <c r="G354" s="9">
        <f t="shared" si="28"/>
        <v>10</v>
      </c>
      <c r="H354" s="9">
        <f t="shared" si="25"/>
        <v>4</v>
      </c>
      <c r="I354" s="9" t="s">
        <v>43</v>
      </c>
      <c r="J354" s="9" t="s">
        <v>1773</v>
      </c>
      <c r="K354" s="9" t="s">
        <v>1774</v>
      </c>
      <c r="L354" s="9" t="s">
        <v>22</v>
      </c>
      <c r="M354" s="9" t="s">
        <v>23</v>
      </c>
      <c r="N354" s="9" t="s">
        <v>1775</v>
      </c>
      <c r="O354" s="9" t="s">
        <v>57</v>
      </c>
      <c r="P354" s="9">
        <v>62301</v>
      </c>
      <c r="Q354" s="9" t="s">
        <v>26</v>
      </c>
      <c r="R354" s="9" t="s">
        <v>1776</v>
      </c>
      <c r="S354" s="9" t="s">
        <v>66</v>
      </c>
      <c r="T354" s="9" t="s">
        <v>103</v>
      </c>
      <c r="U354" s="9" t="s">
        <v>1777</v>
      </c>
      <c r="V354" s="11">
        <v>2.992</v>
      </c>
      <c r="W354" s="9" t="str">
        <f t="shared" si="29"/>
        <v>Slow Delivery</v>
      </c>
    </row>
    <row r="355" spans="1:23" x14ac:dyDescent="0.25">
      <c r="A355" s="9">
        <v>8189</v>
      </c>
      <c r="B355" s="10" t="s">
        <v>1903</v>
      </c>
      <c r="C355" s="10">
        <v>42645</v>
      </c>
      <c r="D355" s="10">
        <v>42648</v>
      </c>
      <c r="E355" s="9">
        <f t="shared" si="26"/>
        <v>2016</v>
      </c>
      <c r="F355" s="10" t="str">
        <f t="shared" si="27"/>
        <v>Oct</v>
      </c>
      <c r="G355" s="9">
        <f t="shared" si="28"/>
        <v>10</v>
      </c>
      <c r="H355" s="9">
        <f t="shared" si="25"/>
        <v>3</v>
      </c>
      <c r="I355" s="9" t="s">
        <v>32</v>
      </c>
      <c r="J355" s="9" t="s">
        <v>1904</v>
      </c>
      <c r="K355" s="9" t="s">
        <v>1905</v>
      </c>
      <c r="L355" s="9" t="s">
        <v>22</v>
      </c>
      <c r="M355" s="9" t="s">
        <v>23</v>
      </c>
      <c r="N355" s="9" t="s">
        <v>1906</v>
      </c>
      <c r="O355" s="9" t="s">
        <v>441</v>
      </c>
      <c r="P355" s="9">
        <v>20852</v>
      </c>
      <c r="Q355" s="9" t="s">
        <v>49</v>
      </c>
      <c r="R355" s="9" t="s">
        <v>1907</v>
      </c>
      <c r="S355" s="9" t="s">
        <v>66</v>
      </c>
      <c r="T355" s="9" t="s">
        <v>201</v>
      </c>
      <c r="U355" s="9" t="s">
        <v>1908</v>
      </c>
      <c r="V355" s="11">
        <v>19.440000000000001</v>
      </c>
      <c r="W355" s="9" t="str">
        <f t="shared" si="29"/>
        <v>Fast Delivery</v>
      </c>
    </row>
    <row r="356" spans="1:23" x14ac:dyDescent="0.25">
      <c r="A356" s="9">
        <v>7006</v>
      </c>
      <c r="B356" s="10" t="s">
        <v>1783</v>
      </c>
      <c r="C356" s="10">
        <v>42675</v>
      </c>
      <c r="D356" s="10">
        <v>42679</v>
      </c>
      <c r="E356" s="9">
        <f t="shared" si="26"/>
        <v>2016</v>
      </c>
      <c r="F356" s="10" t="str">
        <f t="shared" si="27"/>
        <v>Nov</v>
      </c>
      <c r="G356" s="9">
        <f t="shared" si="28"/>
        <v>11</v>
      </c>
      <c r="H356" s="9">
        <f t="shared" si="25"/>
        <v>4</v>
      </c>
      <c r="I356" s="9" t="s">
        <v>43</v>
      </c>
      <c r="J356" s="9" t="s">
        <v>1784</v>
      </c>
      <c r="K356" s="9" t="s">
        <v>1785</v>
      </c>
      <c r="L356" s="9" t="s">
        <v>22</v>
      </c>
      <c r="M356" s="9" t="s">
        <v>23</v>
      </c>
      <c r="N356" s="9" t="s">
        <v>47</v>
      </c>
      <c r="O356" s="9" t="s">
        <v>48</v>
      </c>
      <c r="P356" s="9">
        <v>10009</v>
      </c>
      <c r="Q356" s="9" t="s">
        <v>49</v>
      </c>
      <c r="R356" s="9" t="s">
        <v>1786</v>
      </c>
      <c r="S356" s="9" t="s">
        <v>39</v>
      </c>
      <c r="T356" s="9" t="s">
        <v>40</v>
      </c>
      <c r="U356" s="9" t="s">
        <v>1787</v>
      </c>
      <c r="V356" s="11">
        <v>205.16399999999999</v>
      </c>
      <c r="W356" s="9" t="str">
        <f t="shared" si="29"/>
        <v>Slow Delivery</v>
      </c>
    </row>
    <row r="357" spans="1:23" x14ac:dyDescent="0.25">
      <c r="A357" s="9">
        <v>9605</v>
      </c>
      <c r="B357" s="10" t="s">
        <v>1930</v>
      </c>
      <c r="C357" s="10">
        <v>42676</v>
      </c>
      <c r="D357" s="10">
        <v>42679</v>
      </c>
      <c r="E357" s="9">
        <f t="shared" si="26"/>
        <v>2016</v>
      </c>
      <c r="F357" s="10" t="str">
        <f t="shared" si="27"/>
        <v>Nov</v>
      </c>
      <c r="G357" s="9">
        <f t="shared" si="28"/>
        <v>11</v>
      </c>
      <c r="H357" s="9">
        <f t="shared" si="25"/>
        <v>3</v>
      </c>
      <c r="I357" s="9" t="s">
        <v>19</v>
      </c>
      <c r="J357" s="9" t="s">
        <v>1931</v>
      </c>
      <c r="K357" s="9" t="s">
        <v>1932</v>
      </c>
      <c r="L357" s="9" t="s">
        <v>22</v>
      </c>
      <c r="M357" s="9" t="s">
        <v>23</v>
      </c>
      <c r="N357" s="9" t="s">
        <v>932</v>
      </c>
      <c r="O357" s="9" t="s">
        <v>298</v>
      </c>
      <c r="P357" s="9">
        <v>23320</v>
      </c>
      <c r="Q357" s="9" t="s">
        <v>110</v>
      </c>
      <c r="R357" s="9" t="s">
        <v>1933</v>
      </c>
      <c r="S357" s="9" t="s">
        <v>66</v>
      </c>
      <c r="T357" s="9" t="s">
        <v>221</v>
      </c>
      <c r="U357" s="9" t="s">
        <v>1934</v>
      </c>
      <c r="V357" s="11">
        <v>197.72</v>
      </c>
      <c r="W357" s="9" t="str">
        <f t="shared" si="29"/>
        <v>Fast Delivery</v>
      </c>
    </row>
    <row r="358" spans="1:23" x14ac:dyDescent="0.25">
      <c r="A358" s="9">
        <v>5764</v>
      </c>
      <c r="B358" s="10" t="s">
        <v>1999</v>
      </c>
      <c r="C358" s="10">
        <v>42677</v>
      </c>
      <c r="D358" s="10">
        <v>42679</v>
      </c>
      <c r="E358" s="9">
        <f t="shared" si="26"/>
        <v>2016</v>
      </c>
      <c r="F358" s="10" t="str">
        <f t="shared" si="27"/>
        <v>Nov</v>
      </c>
      <c r="G358" s="9">
        <f t="shared" si="28"/>
        <v>11</v>
      </c>
      <c r="H358" s="9">
        <f t="shared" si="25"/>
        <v>2</v>
      </c>
      <c r="I358" s="9" t="s">
        <v>19</v>
      </c>
      <c r="J358" s="9" t="s">
        <v>2000</v>
      </c>
      <c r="K358" s="9" t="s">
        <v>2001</v>
      </c>
      <c r="L358" s="9" t="s">
        <v>87</v>
      </c>
      <c r="M358" s="9" t="s">
        <v>23</v>
      </c>
      <c r="N358" s="9" t="s">
        <v>219</v>
      </c>
      <c r="O358" s="9" t="s">
        <v>48</v>
      </c>
      <c r="P358" s="9">
        <v>11561</v>
      </c>
      <c r="Q358" s="9" t="s">
        <v>49</v>
      </c>
      <c r="R358" s="9" t="s">
        <v>2002</v>
      </c>
      <c r="S358" s="9" t="s">
        <v>39</v>
      </c>
      <c r="T358" s="9" t="s">
        <v>40</v>
      </c>
      <c r="U358" s="9" t="s">
        <v>2003</v>
      </c>
      <c r="V358" s="11">
        <v>1448.82</v>
      </c>
      <c r="W358" s="9" t="str">
        <f t="shared" si="29"/>
        <v>Fast Delivery</v>
      </c>
    </row>
    <row r="359" spans="1:23" x14ac:dyDescent="0.25">
      <c r="A359" s="9">
        <v>6880</v>
      </c>
      <c r="B359" s="10" t="s">
        <v>1801</v>
      </c>
      <c r="C359" s="10">
        <v>42705</v>
      </c>
      <c r="D359" s="10">
        <v>42709</v>
      </c>
      <c r="E359" s="9">
        <f t="shared" si="26"/>
        <v>2016</v>
      </c>
      <c r="F359" s="10" t="str">
        <f t="shared" si="27"/>
        <v>Dec</v>
      </c>
      <c r="G359" s="9">
        <f t="shared" si="28"/>
        <v>12</v>
      </c>
      <c r="H359" s="9">
        <f t="shared" si="25"/>
        <v>4</v>
      </c>
      <c r="I359" s="9" t="s">
        <v>32</v>
      </c>
      <c r="J359" s="9" t="s">
        <v>1802</v>
      </c>
      <c r="K359" s="9" t="s">
        <v>1803</v>
      </c>
      <c r="L359" s="9" t="s">
        <v>46</v>
      </c>
      <c r="M359" s="9" t="s">
        <v>23</v>
      </c>
      <c r="N359" s="9" t="s">
        <v>35</v>
      </c>
      <c r="O359" s="9" t="s">
        <v>36</v>
      </c>
      <c r="P359" s="9">
        <v>98105</v>
      </c>
      <c r="Q359" s="9" t="s">
        <v>37</v>
      </c>
      <c r="R359" s="9" t="s">
        <v>1804</v>
      </c>
      <c r="S359" s="9" t="s">
        <v>39</v>
      </c>
      <c r="T359" s="9" t="s">
        <v>40</v>
      </c>
      <c r="U359" s="9" t="s">
        <v>1805</v>
      </c>
      <c r="V359" s="11">
        <v>2003.92</v>
      </c>
      <c r="W359" s="9" t="str">
        <f t="shared" si="29"/>
        <v>Slow Delivery</v>
      </c>
    </row>
    <row r="360" spans="1:23" x14ac:dyDescent="0.25">
      <c r="A360" s="9">
        <v>5708</v>
      </c>
      <c r="B360" s="10" t="s">
        <v>2372</v>
      </c>
      <c r="C360" s="10">
        <v>42498</v>
      </c>
      <c r="D360" s="10">
        <v>42505</v>
      </c>
      <c r="E360" s="9">
        <f t="shared" si="26"/>
        <v>2016</v>
      </c>
      <c r="F360" s="10" t="str">
        <f t="shared" si="27"/>
        <v>May</v>
      </c>
      <c r="G360" s="9">
        <f t="shared" si="28"/>
        <v>5</v>
      </c>
      <c r="H360" s="9">
        <f t="shared" si="25"/>
        <v>7</v>
      </c>
      <c r="I360" s="9" t="s">
        <v>43</v>
      </c>
      <c r="J360" s="9" t="s">
        <v>2373</v>
      </c>
      <c r="K360" s="9" t="s">
        <v>2374</v>
      </c>
      <c r="L360" s="9" t="s">
        <v>22</v>
      </c>
      <c r="M360" s="9" t="s">
        <v>23</v>
      </c>
      <c r="N360" s="9" t="s">
        <v>47</v>
      </c>
      <c r="O360" s="9" t="s">
        <v>48</v>
      </c>
      <c r="P360" s="9">
        <v>10024</v>
      </c>
      <c r="Q360" s="9" t="s">
        <v>49</v>
      </c>
      <c r="R360" s="9" t="s">
        <v>1746</v>
      </c>
      <c r="S360" s="9" t="s">
        <v>39</v>
      </c>
      <c r="T360" s="9" t="s">
        <v>112</v>
      </c>
      <c r="U360" s="9" t="s">
        <v>1747</v>
      </c>
      <c r="V360" s="11">
        <v>79.44</v>
      </c>
      <c r="W360" s="9" t="str">
        <f t="shared" si="29"/>
        <v>Slow Delivery</v>
      </c>
    </row>
    <row r="361" spans="1:23" x14ac:dyDescent="0.25">
      <c r="A361" s="9">
        <v>8465</v>
      </c>
      <c r="B361" s="10" t="s">
        <v>2506</v>
      </c>
      <c r="C361" s="10">
        <v>42500</v>
      </c>
      <c r="D361" s="10">
        <v>42505</v>
      </c>
      <c r="E361" s="9">
        <f t="shared" si="26"/>
        <v>2016</v>
      </c>
      <c r="F361" s="10" t="str">
        <f t="shared" si="27"/>
        <v>May</v>
      </c>
      <c r="G361" s="9">
        <f t="shared" si="28"/>
        <v>5</v>
      </c>
      <c r="H361" s="9">
        <f t="shared" si="25"/>
        <v>5</v>
      </c>
      <c r="I361" s="9" t="s">
        <v>43</v>
      </c>
      <c r="J361" s="9" t="s">
        <v>2507</v>
      </c>
      <c r="K361" s="9" t="s">
        <v>2508</v>
      </c>
      <c r="L361" s="9" t="s">
        <v>22</v>
      </c>
      <c r="M361" s="9" t="s">
        <v>23</v>
      </c>
      <c r="N361" s="9" t="s">
        <v>1607</v>
      </c>
      <c r="O361" s="9" t="s">
        <v>181</v>
      </c>
      <c r="P361" s="9">
        <v>80027</v>
      </c>
      <c r="Q361" s="9" t="s">
        <v>37</v>
      </c>
      <c r="R361" s="9" t="s">
        <v>2509</v>
      </c>
      <c r="S361" s="9" t="s">
        <v>28</v>
      </c>
      <c r="T361" s="9" t="s">
        <v>29</v>
      </c>
      <c r="U361" s="9" t="s">
        <v>2510</v>
      </c>
      <c r="V361" s="11">
        <v>46.688000000000002</v>
      </c>
      <c r="W361" s="9" t="str">
        <f t="shared" si="29"/>
        <v>Slow Delivery</v>
      </c>
    </row>
    <row r="362" spans="1:23" x14ac:dyDescent="0.25">
      <c r="A362" s="9">
        <v>9541</v>
      </c>
      <c r="B362" s="10" t="s">
        <v>2565</v>
      </c>
      <c r="C362" s="10">
        <v>42501</v>
      </c>
      <c r="D362" s="10">
        <v>42506</v>
      </c>
      <c r="E362" s="9">
        <f t="shared" si="26"/>
        <v>2016</v>
      </c>
      <c r="F362" s="10" t="str">
        <f t="shared" si="27"/>
        <v>May</v>
      </c>
      <c r="G362" s="9">
        <f t="shared" si="28"/>
        <v>5</v>
      </c>
      <c r="H362" s="9">
        <f t="shared" si="25"/>
        <v>5</v>
      </c>
      <c r="I362" s="9" t="s">
        <v>32</v>
      </c>
      <c r="J362" s="9" t="s">
        <v>2566</v>
      </c>
      <c r="K362" s="9" t="s">
        <v>2567</v>
      </c>
      <c r="L362" s="9" t="s">
        <v>46</v>
      </c>
      <c r="M362" s="9" t="s">
        <v>23</v>
      </c>
      <c r="N362" s="9" t="s">
        <v>2568</v>
      </c>
      <c r="O362" s="9" t="s">
        <v>382</v>
      </c>
      <c r="P362" s="9">
        <v>85023</v>
      </c>
      <c r="Q362" s="9" t="s">
        <v>37</v>
      </c>
      <c r="R362" s="9" t="s">
        <v>2569</v>
      </c>
      <c r="S362" s="9" t="s">
        <v>39</v>
      </c>
      <c r="T362" s="9" t="s">
        <v>40</v>
      </c>
      <c r="U362" s="9" t="s">
        <v>2570</v>
      </c>
      <c r="V362" s="11">
        <v>191.96799999999999</v>
      </c>
      <c r="W362" s="9" t="str">
        <f t="shared" si="29"/>
        <v>Slow Delivery</v>
      </c>
    </row>
    <row r="363" spans="1:23" x14ac:dyDescent="0.25">
      <c r="A363" s="9">
        <v>2804</v>
      </c>
      <c r="B363" s="10" t="s">
        <v>2624</v>
      </c>
      <c r="C363" s="10">
        <v>42502</v>
      </c>
      <c r="D363" s="10">
        <v>42506</v>
      </c>
      <c r="E363" s="9">
        <f t="shared" si="26"/>
        <v>2016</v>
      </c>
      <c r="F363" s="10" t="str">
        <f t="shared" si="27"/>
        <v>May</v>
      </c>
      <c r="G363" s="9">
        <f t="shared" si="28"/>
        <v>5</v>
      </c>
      <c r="H363" s="9">
        <f t="shared" si="25"/>
        <v>4</v>
      </c>
      <c r="I363" s="9" t="s">
        <v>43</v>
      </c>
      <c r="J363" s="9" t="s">
        <v>2625</v>
      </c>
      <c r="K363" s="9" t="s">
        <v>2626</v>
      </c>
      <c r="L363" s="9" t="s">
        <v>22</v>
      </c>
      <c r="M363" s="9" t="s">
        <v>23</v>
      </c>
      <c r="N363" s="9" t="s">
        <v>143</v>
      </c>
      <c r="O363" s="9" t="s">
        <v>80</v>
      </c>
      <c r="P363" s="9">
        <v>94122</v>
      </c>
      <c r="Q363" s="9" t="s">
        <v>37</v>
      </c>
      <c r="R363" s="9" t="s">
        <v>2627</v>
      </c>
      <c r="S363" s="9" t="s">
        <v>66</v>
      </c>
      <c r="T363" s="9" t="s">
        <v>201</v>
      </c>
      <c r="U363" s="9" t="s">
        <v>2628</v>
      </c>
      <c r="V363" s="11">
        <v>12.84</v>
      </c>
      <c r="W363" s="9" t="str">
        <f t="shared" si="29"/>
        <v>Slow Delivery</v>
      </c>
    </row>
    <row r="364" spans="1:23" x14ac:dyDescent="0.25">
      <c r="A364" s="9">
        <v>5212</v>
      </c>
      <c r="B364" s="10" t="s">
        <v>2629</v>
      </c>
      <c r="C364" s="10">
        <v>42502</v>
      </c>
      <c r="D364" s="10">
        <v>42506</v>
      </c>
      <c r="E364" s="9">
        <f t="shared" si="26"/>
        <v>2016</v>
      </c>
      <c r="F364" s="10" t="str">
        <f t="shared" si="27"/>
        <v>May</v>
      </c>
      <c r="G364" s="9">
        <f t="shared" si="28"/>
        <v>5</v>
      </c>
      <c r="H364" s="9">
        <f t="shared" si="25"/>
        <v>4</v>
      </c>
      <c r="I364" s="9" t="s">
        <v>32</v>
      </c>
      <c r="J364" s="9" t="s">
        <v>2630</v>
      </c>
      <c r="K364" s="9" t="s">
        <v>2631</v>
      </c>
      <c r="L364" s="9" t="s">
        <v>22</v>
      </c>
      <c r="M364" s="9" t="s">
        <v>23</v>
      </c>
      <c r="N364" s="9" t="s">
        <v>47</v>
      </c>
      <c r="O364" s="9" t="s">
        <v>48</v>
      </c>
      <c r="P364" s="9">
        <v>10024</v>
      </c>
      <c r="Q364" s="9" t="s">
        <v>49</v>
      </c>
      <c r="R364" s="9" t="s">
        <v>2632</v>
      </c>
      <c r="S364" s="9" t="s">
        <v>66</v>
      </c>
      <c r="T364" s="9" t="s">
        <v>74</v>
      </c>
      <c r="U364" s="9" t="s">
        <v>2633</v>
      </c>
      <c r="V364" s="11">
        <v>36.630000000000003</v>
      </c>
      <c r="W364" s="9" t="str">
        <f t="shared" si="29"/>
        <v>Slow Delivery</v>
      </c>
    </row>
    <row r="365" spans="1:23" x14ac:dyDescent="0.25">
      <c r="A365" s="9">
        <v>8662</v>
      </c>
      <c r="B365" s="10" t="s">
        <v>2634</v>
      </c>
      <c r="C365" s="10">
        <v>42502</v>
      </c>
      <c r="D365" s="10">
        <v>42507</v>
      </c>
      <c r="E365" s="9">
        <f t="shared" si="26"/>
        <v>2016</v>
      </c>
      <c r="F365" s="10" t="str">
        <f t="shared" si="27"/>
        <v>May</v>
      </c>
      <c r="G365" s="9">
        <f t="shared" si="28"/>
        <v>5</v>
      </c>
      <c r="H365" s="9">
        <f t="shared" si="25"/>
        <v>5</v>
      </c>
      <c r="I365" s="9" t="s">
        <v>43</v>
      </c>
      <c r="J365" s="9" t="s">
        <v>2635</v>
      </c>
      <c r="K365" s="9" t="s">
        <v>2636</v>
      </c>
      <c r="L365" s="9" t="s">
        <v>22</v>
      </c>
      <c r="M365" s="9" t="s">
        <v>23</v>
      </c>
      <c r="N365" s="9" t="s">
        <v>72</v>
      </c>
      <c r="O365" s="9" t="s">
        <v>64</v>
      </c>
      <c r="P365" s="9">
        <v>77041</v>
      </c>
      <c r="Q365" s="9" t="s">
        <v>26</v>
      </c>
      <c r="R365" s="9" t="s">
        <v>2637</v>
      </c>
      <c r="S365" s="9" t="s">
        <v>39</v>
      </c>
      <c r="T365" s="9" t="s">
        <v>112</v>
      </c>
      <c r="U365" s="9" t="s">
        <v>2638</v>
      </c>
      <c r="V365" s="11">
        <v>21.968</v>
      </c>
      <c r="W365" s="9" t="str">
        <f t="shared" si="29"/>
        <v>Slow Delivery</v>
      </c>
    </row>
    <row r="366" spans="1:23" x14ac:dyDescent="0.25">
      <c r="A366" s="9">
        <v>5337</v>
      </c>
      <c r="B366" s="10" t="s">
        <v>3928</v>
      </c>
      <c r="C366" s="10">
        <v>42511</v>
      </c>
      <c r="D366" s="10">
        <v>42515</v>
      </c>
      <c r="E366" s="9">
        <f t="shared" si="26"/>
        <v>2016</v>
      </c>
      <c r="F366" s="10" t="str">
        <f t="shared" si="27"/>
        <v>May</v>
      </c>
      <c r="G366" s="9">
        <f t="shared" si="28"/>
        <v>5</v>
      </c>
      <c r="H366" s="9">
        <f t="shared" si="25"/>
        <v>4</v>
      </c>
      <c r="I366" s="9" t="s">
        <v>43</v>
      </c>
      <c r="J366" s="9" t="s">
        <v>3929</v>
      </c>
      <c r="K366" s="9" t="s">
        <v>3930</v>
      </c>
      <c r="L366" s="9" t="s">
        <v>87</v>
      </c>
      <c r="M366" s="9" t="s">
        <v>23</v>
      </c>
      <c r="N366" s="9" t="s">
        <v>35</v>
      </c>
      <c r="O366" s="9" t="s">
        <v>36</v>
      </c>
      <c r="P366" s="9">
        <v>98105</v>
      </c>
      <c r="Q366" s="9" t="s">
        <v>37</v>
      </c>
      <c r="R366" s="9" t="s">
        <v>3931</v>
      </c>
      <c r="S366" s="9" t="s">
        <v>66</v>
      </c>
      <c r="T366" s="9" t="s">
        <v>103</v>
      </c>
      <c r="U366" s="9" t="s">
        <v>3932</v>
      </c>
      <c r="V366" s="11">
        <v>26.975999999999999</v>
      </c>
      <c r="W366" s="9" t="str">
        <f t="shared" si="29"/>
        <v>Slow Delivery</v>
      </c>
    </row>
    <row r="367" spans="1:23" x14ac:dyDescent="0.25">
      <c r="A367" s="9">
        <v>118</v>
      </c>
      <c r="B367" s="10" t="s">
        <v>1817</v>
      </c>
      <c r="C367" s="10">
        <v>42431</v>
      </c>
      <c r="D367" s="10">
        <v>42435</v>
      </c>
      <c r="E367" s="9">
        <f t="shared" si="26"/>
        <v>2016</v>
      </c>
      <c r="F367" s="10" t="str">
        <f t="shared" si="27"/>
        <v>Mar</v>
      </c>
      <c r="G367" s="9">
        <f t="shared" si="28"/>
        <v>3</v>
      </c>
      <c r="H367" s="9">
        <f t="shared" si="25"/>
        <v>4</v>
      </c>
      <c r="I367" s="9" t="s">
        <v>43</v>
      </c>
      <c r="J367" s="9" t="s">
        <v>1818</v>
      </c>
      <c r="K367" s="9" t="s">
        <v>1819</v>
      </c>
      <c r="L367" s="9" t="s">
        <v>22</v>
      </c>
      <c r="M367" s="9" t="s">
        <v>23</v>
      </c>
      <c r="N367" s="9" t="s">
        <v>35</v>
      </c>
      <c r="O367" s="9" t="s">
        <v>36</v>
      </c>
      <c r="P367" s="9">
        <v>98103</v>
      </c>
      <c r="Q367" s="9" t="s">
        <v>37</v>
      </c>
      <c r="R367" s="9" t="s">
        <v>1820</v>
      </c>
      <c r="S367" s="9" t="s">
        <v>39</v>
      </c>
      <c r="T367" s="9" t="s">
        <v>480</v>
      </c>
      <c r="U367" s="9" t="s">
        <v>1821</v>
      </c>
      <c r="V367" s="11">
        <v>787.53</v>
      </c>
      <c r="W367" s="9" t="str">
        <f t="shared" si="29"/>
        <v>Slow Delivery</v>
      </c>
    </row>
    <row r="368" spans="1:23" x14ac:dyDescent="0.25">
      <c r="A368" s="9">
        <v>9004</v>
      </c>
      <c r="B368" s="10" t="s">
        <v>2127</v>
      </c>
      <c r="C368" s="10">
        <v>42465</v>
      </c>
      <c r="D368" s="10">
        <v>42466</v>
      </c>
      <c r="E368" s="9">
        <f t="shared" si="26"/>
        <v>2016</v>
      </c>
      <c r="F368" s="10" t="str">
        <f t="shared" si="27"/>
        <v>Apr</v>
      </c>
      <c r="G368" s="9">
        <f t="shared" si="28"/>
        <v>4</v>
      </c>
      <c r="H368" s="9">
        <f t="shared" si="25"/>
        <v>1</v>
      </c>
      <c r="I368" s="9" t="s">
        <v>302</v>
      </c>
      <c r="J368" s="9" t="s">
        <v>2128</v>
      </c>
      <c r="K368" s="9" t="s">
        <v>2129</v>
      </c>
      <c r="L368" s="9" t="s">
        <v>22</v>
      </c>
      <c r="M368" s="9" t="s">
        <v>23</v>
      </c>
      <c r="N368" s="9" t="s">
        <v>2130</v>
      </c>
      <c r="O368" s="9" t="s">
        <v>36</v>
      </c>
      <c r="P368" s="9">
        <v>99207</v>
      </c>
      <c r="Q368" s="9" t="s">
        <v>37</v>
      </c>
      <c r="R368" s="9" t="s">
        <v>2131</v>
      </c>
      <c r="S368" s="9" t="s">
        <v>28</v>
      </c>
      <c r="T368" s="9" t="s">
        <v>29</v>
      </c>
      <c r="U368" s="9" t="s">
        <v>2132</v>
      </c>
      <c r="V368" s="11">
        <v>239.94</v>
      </c>
      <c r="W368" s="9" t="str">
        <f t="shared" si="29"/>
        <v>Fast Delivery</v>
      </c>
    </row>
    <row r="369" spans="1:23" x14ac:dyDescent="0.25">
      <c r="A369" s="9">
        <v>7217</v>
      </c>
      <c r="B369" s="10" t="s">
        <v>1968</v>
      </c>
      <c r="C369" s="10">
        <v>42493</v>
      </c>
      <c r="D369" s="10">
        <v>42496</v>
      </c>
      <c r="E369" s="9">
        <f t="shared" si="26"/>
        <v>2016</v>
      </c>
      <c r="F369" s="10" t="str">
        <f t="shared" si="27"/>
        <v>May</v>
      </c>
      <c r="G369" s="9">
        <f t="shared" si="28"/>
        <v>5</v>
      </c>
      <c r="H369" s="9">
        <f t="shared" si="25"/>
        <v>3</v>
      </c>
      <c r="I369" s="9" t="s">
        <v>19</v>
      </c>
      <c r="J369" s="9" t="s">
        <v>1969</v>
      </c>
      <c r="K369" s="9" t="s">
        <v>1970</v>
      </c>
      <c r="L369" s="9" t="s">
        <v>22</v>
      </c>
      <c r="M369" s="9" t="s">
        <v>23</v>
      </c>
      <c r="N369" s="9" t="s">
        <v>143</v>
      </c>
      <c r="O369" s="9" t="s">
        <v>80</v>
      </c>
      <c r="P369" s="9">
        <v>94109</v>
      </c>
      <c r="Q369" s="9" t="s">
        <v>37</v>
      </c>
      <c r="R369" s="9" t="s">
        <v>1971</v>
      </c>
      <c r="S369" s="9" t="s">
        <v>66</v>
      </c>
      <c r="T369" s="9" t="s">
        <v>158</v>
      </c>
      <c r="U369" s="9" t="s">
        <v>1972</v>
      </c>
      <c r="V369" s="11">
        <v>8.82</v>
      </c>
      <c r="W369" s="9" t="str">
        <f t="shared" si="29"/>
        <v>Fast Delivery</v>
      </c>
    </row>
    <row r="370" spans="1:23" x14ac:dyDescent="0.25">
      <c r="A370" s="9">
        <v>3489</v>
      </c>
      <c r="B370" s="10" t="s">
        <v>1851</v>
      </c>
      <c r="C370" s="10">
        <v>42553</v>
      </c>
      <c r="D370" s="10">
        <v>42557</v>
      </c>
      <c r="E370" s="9">
        <f t="shared" si="26"/>
        <v>2016</v>
      </c>
      <c r="F370" s="10" t="str">
        <f t="shared" si="27"/>
        <v>Jul</v>
      </c>
      <c r="G370" s="9">
        <f t="shared" si="28"/>
        <v>7</v>
      </c>
      <c r="H370" s="9">
        <f t="shared" si="25"/>
        <v>4</v>
      </c>
      <c r="I370" s="9" t="s">
        <v>43</v>
      </c>
      <c r="J370" s="9" t="s">
        <v>1852</v>
      </c>
      <c r="K370" s="9" t="s">
        <v>1853</v>
      </c>
      <c r="L370" s="9" t="s">
        <v>22</v>
      </c>
      <c r="M370" s="9" t="s">
        <v>23</v>
      </c>
      <c r="N370" s="9" t="s">
        <v>1854</v>
      </c>
      <c r="O370" s="9" t="s">
        <v>57</v>
      </c>
      <c r="P370" s="9">
        <v>60188</v>
      </c>
      <c r="Q370" s="9" t="s">
        <v>26</v>
      </c>
      <c r="R370" s="9" t="s">
        <v>1855</v>
      </c>
      <c r="S370" s="9" t="s">
        <v>39</v>
      </c>
      <c r="T370" s="9" t="s">
        <v>40</v>
      </c>
      <c r="U370" s="9" t="s">
        <v>1856</v>
      </c>
      <c r="V370" s="11">
        <v>408.42200000000003</v>
      </c>
      <c r="W370" s="9" t="str">
        <f t="shared" si="29"/>
        <v>Slow Delivery</v>
      </c>
    </row>
    <row r="371" spans="1:23" x14ac:dyDescent="0.25">
      <c r="A371" s="9">
        <v>4644</v>
      </c>
      <c r="B371" s="10" t="s">
        <v>1868</v>
      </c>
      <c r="C371" s="10">
        <v>42584</v>
      </c>
      <c r="D371" s="10">
        <v>42588</v>
      </c>
      <c r="E371" s="9">
        <f t="shared" si="26"/>
        <v>2016</v>
      </c>
      <c r="F371" s="10" t="str">
        <f t="shared" si="27"/>
        <v>Aug</v>
      </c>
      <c r="G371" s="9">
        <f t="shared" si="28"/>
        <v>8</v>
      </c>
      <c r="H371" s="9">
        <f t="shared" si="25"/>
        <v>4</v>
      </c>
      <c r="I371" s="9" t="s">
        <v>43</v>
      </c>
      <c r="J371" s="9" t="s">
        <v>1869</v>
      </c>
      <c r="K371" s="9" t="s">
        <v>1870</v>
      </c>
      <c r="L371" s="9" t="s">
        <v>22</v>
      </c>
      <c r="M371" s="9" t="s">
        <v>23</v>
      </c>
      <c r="N371" s="9" t="s">
        <v>35</v>
      </c>
      <c r="O371" s="9" t="s">
        <v>36</v>
      </c>
      <c r="P371" s="9">
        <v>98105</v>
      </c>
      <c r="Q371" s="9" t="s">
        <v>37</v>
      </c>
      <c r="R371" s="9" t="s">
        <v>1871</v>
      </c>
      <c r="S371" s="9" t="s">
        <v>66</v>
      </c>
      <c r="T371" s="9" t="s">
        <v>103</v>
      </c>
      <c r="U371" s="9" t="s">
        <v>1872</v>
      </c>
      <c r="V371" s="11">
        <v>6.3680000000000003</v>
      </c>
      <c r="W371" s="9" t="str">
        <f t="shared" si="29"/>
        <v>Slow Delivery</v>
      </c>
    </row>
    <row r="372" spans="1:23" x14ac:dyDescent="0.25">
      <c r="A372" s="9">
        <v>8180</v>
      </c>
      <c r="B372" s="10" t="s">
        <v>1880</v>
      </c>
      <c r="C372" s="10">
        <v>42584</v>
      </c>
      <c r="D372" s="10">
        <v>42588</v>
      </c>
      <c r="E372" s="9">
        <f t="shared" si="26"/>
        <v>2016</v>
      </c>
      <c r="F372" s="10" t="str">
        <f t="shared" si="27"/>
        <v>Aug</v>
      </c>
      <c r="G372" s="9">
        <f t="shared" si="28"/>
        <v>8</v>
      </c>
      <c r="H372" s="9">
        <f t="shared" si="25"/>
        <v>4</v>
      </c>
      <c r="I372" s="9" t="s">
        <v>43</v>
      </c>
      <c r="J372" s="9" t="s">
        <v>1881</v>
      </c>
      <c r="K372" s="9" t="s">
        <v>1882</v>
      </c>
      <c r="L372" s="9" t="s">
        <v>22</v>
      </c>
      <c r="M372" s="9" t="s">
        <v>23</v>
      </c>
      <c r="N372" s="9" t="s">
        <v>335</v>
      </c>
      <c r="O372" s="9" t="s">
        <v>188</v>
      </c>
      <c r="P372" s="9">
        <v>97477</v>
      </c>
      <c r="Q372" s="9" t="s">
        <v>37</v>
      </c>
      <c r="R372" s="9" t="s">
        <v>1883</v>
      </c>
      <c r="S372" s="9" t="s">
        <v>39</v>
      </c>
      <c r="T372" s="9" t="s">
        <v>480</v>
      </c>
      <c r="U372" s="9" t="s">
        <v>1884</v>
      </c>
      <c r="V372" s="11">
        <v>277.5</v>
      </c>
      <c r="W372" s="9" t="str">
        <f t="shared" si="29"/>
        <v>Slow Delivery</v>
      </c>
    </row>
    <row r="373" spans="1:23" x14ac:dyDescent="0.25">
      <c r="A373" s="9">
        <v>1444</v>
      </c>
      <c r="B373" s="10" t="s">
        <v>1761</v>
      </c>
      <c r="C373" s="10">
        <v>42644</v>
      </c>
      <c r="D373" s="10">
        <v>42649</v>
      </c>
      <c r="E373" s="9">
        <f t="shared" si="26"/>
        <v>2016</v>
      </c>
      <c r="F373" s="10" t="str">
        <f t="shared" si="27"/>
        <v>Oct</v>
      </c>
      <c r="G373" s="9">
        <f t="shared" si="28"/>
        <v>10</v>
      </c>
      <c r="H373" s="9">
        <f t="shared" si="25"/>
        <v>5</v>
      </c>
      <c r="I373" s="9" t="s">
        <v>43</v>
      </c>
      <c r="J373" s="9" t="s">
        <v>1762</v>
      </c>
      <c r="K373" s="9" t="s">
        <v>1763</v>
      </c>
      <c r="L373" s="9" t="s">
        <v>87</v>
      </c>
      <c r="M373" s="9" t="s">
        <v>23</v>
      </c>
      <c r="N373" s="9" t="s">
        <v>682</v>
      </c>
      <c r="O373" s="9" t="s">
        <v>181</v>
      </c>
      <c r="P373" s="9">
        <v>80013</v>
      </c>
      <c r="Q373" s="9" t="s">
        <v>37</v>
      </c>
      <c r="R373" s="9" t="s">
        <v>1764</v>
      </c>
      <c r="S373" s="9" t="s">
        <v>66</v>
      </c>
      <c r="T373" s="9" t="s">
        <v>74</v>
      </c>
      <c r="U373" s="9" t="s">
        <v>1765</v>
      </c>
      <c r="V373" s="11">
        <v>139.42400000000001</v>
      </c>
      <c r="W373" s="9" t="str">
        <f t="shared" si="29"/>
        <v>Slow Delivery</v>
      </c>
    </row>
    <row r="374" spans="1:23" x14ac:dyDescent="0.25">
      <c r="A374" s="9">
        <v>7797</v>
      </c>
      <c r="B374" s="10" t="s">
        <v>1900</v>
      </c>
      <c r="C374" s="10">
        <v>42645</v>
      </c>
      <c r="D374" s="10">
        <v>42649</v>
      </c>
      <c r="E374" s="9">
        <f t="shared" si="26"/>
        <v>2016</v>
      </c>
      <c r="F374" s="10" t="str">
        <f t="shared" si="27"/>
        <v>Oct</v>
      </c>
      <c r="G374" s="9">
        <f t="shared" si="28"/>
        <v>10</v>
      </c>
      <c r="H374" s="9">
        <f t="shared" si="25"/>
        <v>4</v>
      </c>
      <c r="I374" s="9" t="s">
        <v>43</v>
      </c>
      <c r="J374" s="9" t="s">
        <v>1901</v>
      </c>
      <c r="K374" s="9" t="s">
        <v>1902</v>
      </c>
      <c r="L374" s="9" t="s">
        <v>87</v>
      </c>
      <c r="M374" s="9" t="s">
        <v>23</v>
      </c>
      <c r="N374" s="9" t="s">
        <v>655</v>
      </c>
      <c r="O374" s="9" t="s">
        <v>656</v>
      </c>
      <c r="P374" s="9">
        <v>6457</v>
      </c>
      <c r="Q374" s="9" t="s">
        <v>49</v>
      </c>
      <c r="R374" s="9" t="s">
        <v>1088</v>
      </c>
      <c r="S374" s="9" t="s">
        <v>66</v>
      </c>
      <c r="T374" s="9" t="s">
        <v>103</v>
      </c>
      <c r="U374" s="9" t="s">
        <v>1089</v>
      </c>
      <c r="V374" s="11">
        <v>26.9</v>
      </c>
      <c r="W374" s="9" t="str">
        <f t="shared" si="29"/>
        <v>Slow Delivery</v>
      </c>
    </row>
    <row r="375" spans="1:23" x14ac:dyDescent="0.25">
      <c r="A375" s="9">
        <v>283</v>
      </c>
      <c r="B375" s="10" t="s">
        <v>1909</v>
      </c>
      <c r="C375" s="10">
        <v>42676</v>
      </c>
      <c r="D375" s="10">
        <v>42680</v>
      </c>
      <c r="E375" s="9">
        <f t="shared" si="26"/>
        <v>2016</v>
      </c>
      <c r="F375" s="10" t="str">
        <f t="shared" si="27"/>
        <v>Nov</v>
      </c>
      <c r="G375" s="9">
        <f t="shared" si="28"/>
        <v>11</v>
      </c>
      <c r="H375" s="9">
        <f t="shared" si="25"/>
        <v>4</v>
      </c>
      <c r="I375" s="9" t="s">
        <v>43</v>
      </c>
      <c r="J375" s="9" t="s">
        <v>1910</v>
      </c>
      <c r="K375" s="9" t="s">
        <v>1911</v>
      </c>
      <c r="L375" s="9" t="s">
        <v>22</v>
      </c>
      <c r="M375" s="9" t="s">
        <v>23</v>
      </c>
      <c r="N375" s="9" t="s">
        <v>213</v>
      </c>
      <c r="O375" s="9" t="s">
        <v>80</v>
      </c>
      <c r="P375" s="9">
        <v>90004</v>
      </c>
      <c r="Q375" s="9" t="s">
        <v>37</v>
      </c>
      <c r="R375" s="9" t="s">
        <v>1912</v>
      </c>
      <c r="S375" s="9" t="s">
        <v>39</v>
      </c>
      <c r="T375" s="9" t="s">
        <v>480</v>
      </c>
      <c r="U375" s="9" t="s">
        <v>1913</v>
      </c>
      <c r="V375" s="11">
        <v>1038.8399999999999</v>
      </c>
      <c r="W375" s="9" t="str">
        <f t="shared" si="29"/>
        <v>Slow Delivery</v>
      </c>
    </row>
    <row r="376" spans="1:23" x14ac:dyDescent="0.25">
      <c r="A376" s="9">
        <v>2715</v>
      </c>
      <c r="B376" s="10" t="s">
        <v>1791</v>
      </c>
      <c r="C376" s="10">
        <v>42705</v>
      </c>
      <c r="D376" s="10">
        <v>42710</v>
      </c>
      <c r="E376" s="9">
        <f t="shared" si="26"/>
        <v>2016</v>
      </c>
      <c r="F376" s="10" t="str">
        <f t="shared" si="27"/>
        <v>Dec</v>
      </c>
      <c r="G376" s="9">
        <f t="shared" si="28"/>
        <v>12</v>
      </c>
      <c r="H376" s="9">
        <f t="shared" si="25"/>
        <v>5</v>
      </c>
      <c r="I376" s="9" t="s">
        <v>43</v>
      </c>
      <c r="J376" s="9" t="s">
        <v>1792</v>
      </c>
      <c r="K376" s="9" t="s">
        <v>1793</v>
      </c>
      <c r="L376" s="9" t="s">
        <v>46</v>
      </c>
      <c r="M376" s="9" t="s">
        <v>23</v>
      </c>
      <c r="N376" s="9" t="s">
        <v>35</v>
      </c>
      <c r="O376" s="9" t="s">
        <v>36</v>
      </c>
      <c r="P376" s="9">
        <v>98105</v>
      </c>
      <c r="Q376" s="9" t="s">
        <v>37</v>
      </c>
      <c r="R376" s="9" t="s">
        <v>1794</v>
      </c>
      <c r="S376" s="9" t="s">
        <v>66</v>
      </c>
      <c r="T376" s="9" t="s">
        <v>158</v>
      </c>
      <c r="U376" s="9" t="s">
        <v>1795</v>
      </c>
      <c r="V376" s="11">
        <v>13.9</v>
      </c>
      <c r="W376" s="9" t="str">
        <f t="shared" si="29"/>
        <v>Slow Delivery</v>
      </c>
    </row>
    <row r="377" spans="1:23" x14ac:dyDescent="0.25">
      <c r="A377" s="9">
        <v>8893</v>
      </c>
      <c r="B377" s="10" t="s">
        <v>1806</v>
      </c>
      <c r="C377" s="10">
        <v>42705</v>
      </c>
      <c r="D377" s="10">
        <v>42710</v>
      </c>
      <c r="E377" s="9">
        <f t="shared" si="26"/>
        <v>2016</v>
      </c>
      <c r="F377" s="10" t="str">
        <f t="shared" si="27"/>
        <v>Dec</v>
      </c>
      <c r="G377" s="9">
        <f t="shared" si="28"/>
        <v>12</v>
      </c>
      <c r="H377" s="9">
        <f t="shared" si="25"/>
        <v>5</v>
      </c>
      <c r="I377" s="9" t="s">
        <v>43</v>
      </c>
      <c r="J377" s="9" t="s">
        <v>1807</v>
      </c>
      <c r="K377" s="9" t="s">
        <v>1808</v>
      </c>
      <c r="L377" s="9" t="s">
        <v>46</v>
      </c>
      <c r="M377" s="9" t="s">
        <v>23</v>
      </c>
      <c r="N377" s="9" t="s">
        <v>268</v>
      </c>
      <c r="O377" s="9" t="s">
        <v>80</v>
      </c>
      <c r="P377" s="9">
        <v>92037</v>
      </c>
      <c r="Q377" s="9" t="s">
        <v>37</v>
      </c>
      <c r="R377" s="9" t="s">
        <v>1809</v>
      </c>
      <c r="S377" s="9" t="s">
        <v>39</v>
      </c>
      <c r="T377" s="9" t="s">
        <v>40</v>
      </c>
      <c r="U377" s="9" t="s">
        <v>1810</v>
      </c>
      <c r="V377" s="11">
        <v>2676.672</v>
      </c>
      <c r="W377" s="9" t="str">
        <f t="shared" si="29"/>
        <v>Slow Delivery</v>
      </c>
    </row>
    <row r="378" spans="1:23" x14ac:dyDescent="0.25">
      <c r="A378" s="9">
        <v>5635</v>
      </c>
      <c r="B378" s="10" t="s">
        <v>2188</v>
      </c>
      <c r="C378" s="10">
        <v>42709</v>
      </c>
      <c r="D378" s="10">
        <v>42710</v>
      </c>
      <c r="E378" s="9">
        <f t="shared" si="26"/>
        <v>2016</v>
      </c>
      <c r="F378" s="10" t="str">
        <f t="shared" si="27"/>
        <v>Dec</v>
      </c>
      <c r="G378" s="9">
        <f t="shared" si="28"/>
        <v>12</v>
      </c>
      <c r="H378" s="9">
        <f t="shared" si="25"/>
        <v>1</v>
      </c>
      <c r="I378" s="9" t="s">
        <v>19</v>
      </c>
      <c r="J378" s="9" t="s">
        <v>2189</v>
      </c>
      <c r="K378" s="9" t="s">
        <v>2190</v>
      </c>
      <c r="L378" s="9" t="s">
        <v>46</v>
      </c>
      <c r="M378" s="9" t="s">
        <v>23</v>
      </c>
      <c r="N378" s="9" t="s">
        <v>2191</v>
      </c>
      <c r="O378" s="9" t="s">
        <v>118</v>
      </c>
      <c r="P378" s="9">
        <v>48104</v>
      </c>
      <c r="Q378" s="9" t="s">
        <v>26</v>
      </c>
      <c r="R378" s="9" t="s">
        <v>274</v>
      </c>
      <c r="S378" s="9" t="s">
        <v>66</v>
      </c>
      <c r="T378" s="9" t="s">
        <v>103</v>
      </c>
      <c r="U378" s="9" t="s">
        <v>275</v>
      </c>
      <c r="V378" s="11">
        <v>152.80000000000001</v>
      </c>
      <c r="W378" s="9" t="str">
        <f t="shared" si="29"/>
        <v>Fast Delivery</v>
      </c>
    </row>
    <row r="379" spans="1:23" x14ac:dyDescent="0.25">
      <c r="A379" s="9">
        <v>4579</v>
      </c>
      <c r="B379" s="10" t="s">
        <v>2448</v>
      </c>
      <c r="C379" s="10">
        <v>42530</v>
      </c>
      <c r="D379" s="10">
        <v>42536</v>
      </c>
      <c r="E379" s="9">
        <f t="shared" si="26"/>
        <v>2016</v>
      </c>
      <c r="F379" s="10" t="str">
        <f t="shared" si="27"/>
        <v>Jun</v>
      </c>
      <c r="G379" s="9">
        <f t="shared" si="28"/>
        <v>6</v>
      </c>
      <c r="H379" s="9">
        <f t="shared" si="25"/>
        <v>6</v>
      </c>
      <c r="I379" s="9" t="s">
        <v>43</v>
      </c>
      <c r="J379" s="9" t="s">
        <v>2449</v>
      </c>
      <c r="K379" s="9" t="s">
        <v>2450</v>
      </c>
      <c r="L379" s="9" t="s">
        <v>46</v>
      </c>
      <c r="M379" s="9" t="s">
        <v>23</v>
      </c>
      <c r="N379" s="9" t="s">
        <v>883</v>
      </c>
      <c r="O379" s="9" t="s">
        <v>298</v>
      </c>
      <c r="P379" s="9">
        <v>23666</v>
      </c>
      <c r="Q379" s="9" t="s">
        <v>110</v>
      </c>
      <c r="R379" s="9" t="s">
        <v>807</v>
      </c>
      <c r="S379" s="9" t="s">
        <v>66</v>
      </c>
      <c r="T379" s="9" t="s">
        <v>103</v>
      </c>
      <c r="U379" s="9" t="s">
        <v>808</v>
      </c>
      <c r="V379" s="11">
        <v>113.1</v>
      </c>
      <c r="W379" s="9" t="str">
        <f t="shared" si="29"/>
        <v>Slow Delivery</v>
      </c>
    </row>
    <row r="380" spans="1:23" x14ac:dyDescent="0.25">
      <c r="A380" s="9">
        <v>5835</v>
      </c>
      <c r="B380" s="10" t="s">
        <v>2455</v>
      </c>
      <c r="C380" s="10">
        <v>42530</v>
      </c>
      <c r="D380" s="10">
        <v>42537</v>
      </c>
      <c r="E380" s="9">
        <f t="shared" si="26"/>
        <v>2016</v>
      </c>
      <c r="F380" s="10" t="str">
        <f t="shared" si="27"/>
        <v>Jun</v>
      </c>
      <c r="G380" s="9">
        <f t="shared" si="28"/>
        <v>6</v>
      </c>
      <c r="H380" s="9">
        <f t="shared" si="25"/>
        <v>7</v>
      </c>
      <c r="I380" s="9" t="s">
        <v>43</v>
      </c>
      <c r="J380" s="9" t="s">
        <v>2456</v>
      </c>
      <c r="K380" s="9" t="s">
        <v>2457</v>
      </c>
      <c r="L380" s="9" t="s">
        <v>22</v>
      </c>
      <c r="M380" s="9" t="s">
        <v>23</v>
      </c>
      <c r="N380" s="9" t="s">
        <v>1502</v>
      </c>
      <c r="O380" s="9" t="s">
        <v>130</v>
      </c>
      <c r="P380" s="9">
        <v>33178</v>
      </c>
      <c r="Q380" s="9" t="s">
        <v>110</v>
      </c>
      <c r="R380" s="9" t="s">
        <v>1185</v>
      </c>
      <c r="S380" s="9" t="s">
        <v>66</v>
      </c>
      <c r="T380" s="9" t="s">
        <v>103</v>
      </c>
      <c r="U380" s="9" t="s">
        <v>1186</v>
      </c>
      <c r="V380" s="11">
        <v>64.2</v>
      </c>
      <c r="W380" s="9" t="str">
        <f t="shared" si="29"/>
        <v>Slow Delivery</v>
      </c>
    </row>
    <row r="381" spans="1:23" x14ac:dyDescent="0.25">
      <c r="A381" s="9">
        <v>3035</v>
      </c>
      <c r="B381" s="10" t="s">
        <v>2571</v>
      </c>
      <c r="C381" s="10">
        <v>42532</v>
      </c>
      <c r="D381" s="10">
        <v>42537</v>
      </c>
      <c r="E381" s="9">
        <f t="shared" si="26"/>
        <v>2016</v>
      </c>
      <c r="F381" s="10" t="str">
        <f t="shared" si="27"/>
        <v>Jun</v>
      </c>
      <c r="G381" s="9">
        <f t="shared" si="28"/>
        <v>6</v>
      </c>
      <c r="H381" s="9">
        <f t="shared" si="25"/>
        <v>5</v>
      </c>
      <c r="I381" s="9" t="s">
        <v>43</v>
      </c>
      <c r="J381" s="9" t="s">
        <v>2572</v>
      </c>
      <c r="K381" s="9" t="s">
        <v>2573</v>
      </c>
      <c r="L381" s="9" t="s">
        <v>22</v>
      </c>
      <c r="M381" s="9" t="s">
        <v>23</v>
      </c>
      <c r="N381" s="9" t="s">
        <v>2175</v>
      </c>
      <c r="O381" s="9" t="s">
        <v>643</v>
      </c>
      <c r="P381" s="9">
        <v>71203</v>
      </c>
      <c r="Q381" s="9" t="s">
        <v>110</v>
      </c>
      <c r="R381" s="9" t="s">
        <v>2574</v>
      </c>
      <c r="S381" s="9" t="s">
        <v>28</v>
      </c>
      <c r="T381" s="9" t="s">
        <v>29</v>
      </c>
      <c r="U381" s="9" t="s">
        <v>2575</v>
      </c>
      <c r="V381" s="11">
        <v>53.7</v>
      </c>
      <c r="W381" s="9" t="str">
        <f t="shared" si="29"/>
        <v>Slow Delivery</v>
      </c>
    </row>
    <row r="382" spans="1:23" x14ac:dyDescent="0.25">
      <c r="A382" s="9">
        <v>6914</v>
      </c>
      <c r="B382" s="10" t="s">
        <v>2645</v>
      </c>
      <c r="C382" s="10">
        <v>42533</v>
      </c>
      <c r="D382" s="10">
        <v>42537</v>
      </c>
      <c r="E382" s="9">
        <f t="shared" si="26"/>
        <v>2016</v>
      </c>
      <c r="F382" s="10" t="str">
        <f t="shared" si="27"/>
        <v>Jun</v>
      </c>
      <c r="G382" s="9">
        <f t="shared" si="28"/>
        <v>6</v>
      </c>
      <c r="H382" s="9">
        <f t="shared" si="25"/>
        <v>4</v>
      </c>
      <c r="I382" s="9" t="s">
        <v>43</v>
      </c>
      <c r="J382" s="9" t="s">
        <v>2646</v>
      </c>
      <c r="K382" s="9" t="s">
        <v>2647</v>
      </c>
      <c r="L382" s="9" t="s">
        <v>22</v>
      </c>
      <c r="M382" s="9" t="s">
        <v>23</v>
      </c>
      <c r="N382" s="9" t="s">
        <v>2648</v>
      </c>
      <c r="O382" s="9" t="s">
        <v>130</v>
      </c>
      <c r="P382" s="9">
        <v>33407</v>
      </c>
      <c r="Q382" s="9" t="s">
        <v>110</v>
      </c>
      <c r="R382" s="9" t="s">
        <v>2649</v>
      </c>
      <c r="S382" s="9" t="s">
        <v>28</v>
      </c>
      <c r="T382" s="9" t="s">
        <v>51</v>
      </c>
      <c r="U382" s="9" t="s">
        <v>2650</v>
      </c>
      <c r="V382" s="11">
        <v>55.984000000000002</v>
      </c>
      <c r="W382" s="9" t="str">
        <f t="shared" si="29"/>
        <v>Slow Delivery</v>
      </c>
    </row>
    <row r="383" spans="1:23" x14ac:dyDescent="0.25">
      <c r="A383" s="9">
        <v>2980</v>
      </c>
      <c r="B383" s="10" t="s">
        <v>2639</v>
      </c>
      <c r="C383" s="10">
        <v>42533</v>
      </c>
      <c r="D383" s="10">
        <v>42538</v>
      </c>
      <c r="E383" s="9">
        <f t="shared" si="26"/>
        <v>2016</v>
      </c>
      <c r="F383" s="10" t="str">
        <f t="shared" si="27"/>
        <v>Jun</v>
      </c>
      <c r="G383" s="9">
        <f t="shared" si="28"/>
        <v>6</v>
      </c>
      <c r="H383" s="9">
        <f t="shared" si="25"/>
        <v>5</v>
      </c>
      <c r="I383" s="9" t="s">
        <v>43</v>
      </c>
      <c r="J383" s="9" t="s">
        <v>2640</v>
      </c>
      <c r="K383" s="9" t="s">
        <v>2641</v>
      </c>
      <c r="L383" s="9" t="s">
        <v>22</v>
      </c>
      <c r="M383" s="9" t="s">
        <v>23</v>
      </c>
      <c r="N383" s="9" t="s">
        <v>149</v>
      </c>
      <c r="O383" s="9" t="s">
        <v>150</v>
      </c>
      <c r="P383" s="9">
        <v>19134</v>
      </c>
      <c r="Q383" s="9" t="s">
        <v>49</v>
      </c>
      <c r="R383" s="9" t="s">
        <v>2370</v>
      </c>
      <c r="S383" s="9" t="s">
        <v>66</v>
      </c>
      <c r="T383" s="9" t="s">
        <v>201</v>
      </c>
      <c r="U383" s="9" t="s">
        <v>2371</v>
      </c>
      <c r="V383" s="11">
        <v>20.736000000000001</v>
      </c>
      <c r="W383" s="9" t="str">
        <f t="shared" si="29"/>
        <v>Slow Delivery</v>
      </c>
    </row>
    <row r="384" spans="1:23" x14ac:dyDescent="0.25">
      <c r="A384" s="9">
        <v>3446</v>
      </c>
      <c r="B384" s="10" t="s">
        <v>2642</v>
      </c>
      <c r="C384" s="10">
        <v>42533</v>
      </c>
      <c r="D384" s="10">
        <v>42538</v>
      </c>
      <c r="E384" s="9">
        <f t="shared" si="26"/>
        <v>2016</v>
      </c>
      <c r="F384" s="10" t="str">
        <f t="shared" si="27"/>
        <v>Jun</v>
      </c>
      <c r="G384" s="9">
        <f t="shared" si="28"/>
        <v>6</v>
      </c>
      <c r="H384" s="9">
        <f t="shared" si="25"/>
        <v>5</v>
      </c>
      <c r="I384" s="9" t="s">
        <v>43</v>
      </c>
      <c r="J384" s="9" t="s">
        <v>2643</v>
      </c>
      <c r="K384" s="9" t="s">
        <v>2644</v>
      </c>
      <c r="L384" s="9" t="s">
        <v>22</v>
      </c>
      <c r="M384" s="9" t="s">
        <v>23</v>
      </c>
      <c r="N384" s="9" t="s">
        <v>1814</v>
      </c>
      <c r="O384" s="9" t="s">
        <v>1475</v>
      </c>
      <c r="P384" s="9">
        <v>19711</v>
      </c>
      <c r="Q384" s="9" t="s">
        <v>49</v>
      </c>
      <c r="R384" s="9" t="s">
        <v>2440</v>
      </c>
      <c r="S384" s="9" t="s">
        <v>66</v>
      </c>
      <c r="T384" s="9" t="s">
        <v>74</v>
      </c>
      <c r="U384" s="9" t="s">
        <v>2441</v>
      </c>
      <c r="V384" s="11">
        <v>29.9</v>
      </c>
      <c r="W384" s="9" t="str">
        <f t="shared" si="29"/>
        <v>Slow Delivery</v>
      </c>
    </row>
    <row r="385" spans="1:23" x14ac:dyDescent="0.25">
      <c r="A385" s="9">
        <v>6730</v>
      </c>
      <c r="B385" s="10" t="s">
        <v>3893</v>
      </c>
      <c r="C385" s="10">
        <v>42539</v>
      </c>
      <c r="D385" s="10">
        <v>42541</v>
      </c>
      <c r="E385" s="9">
        <f t="shared" si="26"/>
        <v>2016</v>
      </c>
      <c r="F385" s="10" t="str">
        <f t="shared" si="27"/>
        <v>Jun</v>
      </c>
      <c r="G385" s="9">
        <f t="shared" si="28"/>
        <v>6</v>
      </c>
      <c r="H385" s="9">
        <f t="shared" si="25"/>
        <v>2</v>
      </c>
      <c r="I385" s="9" t="s">
        <v>19</v>
      </c>
      <c r="J385" s="9" t="s">
        <v>3894</v>
      </c>
      <c r="K385" s="9" t="s">
        <v>3895</v>
      </c>
      <c r="L385" s="9" t="s">
        <v>87</v>
      </c>
      <c r="M385" s="9" t="s">
        <v>23</v>
      </c>
      <c r="N385" s="9" t="s">
        <v>3896</v>
      </c>
      <c r="O385" s="9" t="s">
        <v>575</v>
      </c>
      <c r="P385" s="9">
        <v>37167</v>
      </c>
      <c r="Q385" s="9" t="s">
        <v>110</v>
      </c>
      <c r="R385" s="9" t="s">
        <v>3897</v>
      </c>
      <c r="S385" s="9" t="s">
        <v>66</v>
      </c>
      <c r="T385" s="9" t="s">
        <v>103</v>
      </c>
      <c r="U385" s="9" t="s">
        <v>3898</v>
      </c>
      <c r="V385" s="11">
        <v>6.1289999999999996</v>
      </c>
      <c r="W385" s="9" t="str">
        <f t="shared" si="29"/>
        <v>Fast Delivery</v>
      </c>
    </row>
    <row r="386" spans="1:23" x14ac:dyDescent="0.25">
      <c r="A386" s="9">
        <v>7826</v>
      </c>
      <c r="B386" s="10" t="s">
        <v>1956</v>
      </c>
      <c r="C386" s="10">
        <v>42403</v>
      </c>
      <c r="D386" s="10">
        <v>42407</v>
      </c>
      <c r="E386" s="9">
        <f t="shared" si="26"/>
        <v>2016</v>
      </c>
      <c r="F386" s="10" t="str">
        <f t="shared" si="27"/>
        <v>Feb</v>
      </c>
      <c r="G386" s="9">
        <f t="shared" si="28"/>
        <v>2</v>
      </c>
      <c r="H386" s="9">
        <f t="shared" ref="H386:H449" si="30">D386-C386</f>
        <v>4</v>
      </c>
      <c r="I386" s="9" t="s">
        <v>43</v>
      </c>
      <c r="J386" s="9" t="s">
        <v>1957</v>
      </c>
      <c r="K386" s="9" t="s">
        <v>1958</v>
      </c>
      <c r="L386" s="9" t="s">
        <v>87</v>
      </c>
      <c r="M386" s="9" t="s">
        <v>23</v>
      </c>
      <c r="N386" s="9" t="s">
        <v>1959</v>
      </c>
      <c r="O386" s="9" t="s">
        <v>48</v>
      </c>
      <c r="P386" s="9">
        <v>13440</v>
      </c>
      <c r="Q386" s="9" t="s">
        <v>49</v>
      </c>
      <c r="R386" s="9" t="s">
        <v>1960</v>
      </c>
      <c r="S386" s="9" t="s">
        <v>39</v>
      </c>
      <c r="T386" s="9" t="s">
        <v>40</v>
      </c>
      <c r="U386" s="9" t="s">
        <v>1961</v>
      </c>
      <c r="V386" s="11">
        <v>90.882000000000005</v>
      </c>
      <c r="W386" s="9" t="str">
        <f t="shared" si="29"/>
        <v>Slow Delivery</v>
      </c>
    </row>
    <row r="387" spans="1:23" x14ac:dyDescent="0.25">
      <c r="A387" s="9">
        <v>1128</v>
      </c>
      <c r="B387" s="10" t="s">
        <v>1822</v>
      </c>
      <c r="C387" s="10">
        <v>42431</v>
      </c>
      <c r="D387" s="10">
        <v>42436</v>
      </c>
      <c r="E387" s="9">
        <f t="shared" ref="E387:E450" si="31">YEAR(C387)</f>
        <v>2016</v>
      </c>
      <c r="F387" s="10" t="str">
        <f t="shared" ref="F387:F450" si="32">TEXT(C387,"mmm")</f>
        <v>Mar</v>
      </c>
      <c r="G387" s="9">
        <f t="shared" ref="G387:G450" si="33">MONTH(C387)</f>
        <v>3</v>
      </c>
      <c r="H387" s="9">
        <f t="shared" si="30"/>
        <v>5</v>
      </c>
      <c r="I387" s="9" t="s">
        <v>43</v>
      </c>
      <c r="J387" s="9" t="s">
        <v>1823</v>
      </c>
      <c r="K387" s="9" t="s">
        <v>1824</v>
      </c>
      <c r="L387" s="9" t="s">
        <v>46</v>
      </c>
      <c r="M387" s="9" t="s">
        <v>23</v>
      </c>
      <c r="N387" s="9" t="s">
        <v>206</v>
      </c>
      <c r="O387" s="9" t="s">
        <v>1825</v>
      </c>
      <c r="P387" s="9">
        <v>47374</v>
      </c>
      <c r="Q387" s="9" t="s">
        <v>26</v>
      </c>
      <c r="R387" s="9" t="s">
        <v>1616</v>
      </c>
      <c r="S387" s="9" t="s">
        <v>66</v>
      </c>
      <c r="T387" s="9" t="s">
        <v>158</v>
      </c>
      <c r="U387" s="9" t="s">
        <v>1617</v>
      </c>
      <c r="V387" s="11">
        <v>10.16</v>
      </c>
      <c r="W387" s="9" t="str">
        <f t="shared" ref="W387:W450" si="34">IF(H387&lt;=3,"Fast Delivery","Slow Delivery")</f>
        <v>Slow Delivery</v>
      </c>
    </row>
    <row r="388" spans="1:23" x14ac:dyDescent="0.25">
      <c r="A388" s="9">
        <v>5255</v>
      </c>
      <c r="B388" s="10" t="s">
        <v>2108</v>
      </c>
      <c r="C388" s="10">
        <v>42434</v>
      </c>
      <c r="D388" s="10">
        <v>42436</v>
      </c>
      <c r="E388" s="9">
        <f t="shared" si="31"/>
        <v>2016</v>
      </c>
      <c r="F388" s="10" t="str">
        <f t="shared" si="32"/>
        <v>Mar</v>
      </c>
      <c r="G388" s="9">
        <f t="shared" si="33"/>
        <v>3</v>
      </c>
      <c r="H388" s="9">
        <f t="shared" si="30"/>
        <v>2</v>
      </c>
      <c r="I388" s="9" t="s">
        <v>32</v>
      </c>
      <c r="J388" s="9" t="s">
        <v>2109</v>
      </c>
      <c r="K388" s="9" t="s">
        <v>2110</v>
      </c>
      <c r="L388" s="9" t="s">
        <v>87</v>
      </c>
      <c r="M388" s="9" t="s">
        <v>23</v>
      </c>
      <c r="N388" s="9" t="s">
        <v>2111</v>
      </c>
      <c r="O388" s="9" t="s">
        <v>150</v>
      </c>
      <c r="P388" s="9">
        <v>18018</v>
      </c>
      <c r="Q388" s="9" t="s">
        <v>49</v>
      </c>
      <c r="R388" s="9" t="s">
        <v>1191</v>
      </c>
      <c r="S388" s="9" t="s">
        <v>39</v>
      </c>
      <c r="T388" s="9" t="s">
        <v>40</v>
      </c>
      <c r="U388" s="9" t="s">
        <v>1192</v>
      </c>
      <c r="V388" s="11">
        <v>99.372</v>
      </c>
      <c r="W388" s="9" t="str">
        <f t="shared" si="34"/>
        <v>Fast Delivery</v>
      </c>
    </row>
    <row r="389" spans="1:23" x14ac:dyDescent="0.25">
      <c r="A389" s="9">
        <v>2769</v>
      </c>
      <c r="B389" s="10" t="s">
        <v>1826</v>
      </c>
      <c r="C389" s="10">
        <v>42462</v>
      </c>
      <c r="D389" s="10">
        <v>42467</v>
      </c>
      <c r="E389" s="9">
        <f t="shared" si="31"/>
        <v>2016</v>
      </c>
      <c r="F389" s="10" t="str">
        <f t="shared" si="32"/>
        <v>Apr</v>
      </c>
      <c r="G389" s="9">
        <f t="shared" si="33"/>
        <v>4</v>
      </c>
      <c r="H389" s="9">
        <f t="shared" si="30"/>
        <v>5</v>
      </c>
      <c r="I389" s="9" t="s">
        <v>43</v>
      </c>
      <c r="J389" s="9" t="s">
        <v>1827</v>
      </c>
      <c r="K389" s="9" t="s">
        <v>1828</v>
      </c>
      <c r="L389" s="9" t="s">
        <v>22</v>
      </c>
      <c r="M389" s="9" t="s">
        <v>23</v>
      </c>
      <c r="N389" s="9" t="s">
        <v>556</v>
      </c>
      <c r="O389" s="9" t="s">
        <v>64</v>
      </c>
      <c r="P389" s="9">
        <v>75220</v>
      </c>
      <c r="Q389" s="9" t="s">
        <v>26</v>
      </c>
      <c r="R389" s="9" t="s">
        <v>1829</v>
      </c>
      <c r="S389" s="9" t="s">
        <v>66</v>
      </c>
      <c r="T389" s="9" t="s">
        <v>221</v>
      </c>
      <c r="U389" s="9" t="s">
        <v>1830</v>
      </c>
      <c r="V389" s="11">
        <v>32.192</v>
      </c>
      <c r="W389" s="9" t="str">
        <f t="shared" si="34"/>
        <v>Slow Delivery</v>
      </c>
    </row>
    <row r="390" spans="1:23" x14ac:dyDescent="0.25">
      <c r="A390" s="9">
        <v>4046</v>
      </c>
      <c r="B390" s="10" t="s">
        <v>1831</v>
      </c>
      <c r="C390" s="10">
        <v>42462</v>
      </c>
      <c r="D390" s="10">
        <v>42467</v>
      </c>
      <c r="E390" s="9">
        <f t="shared" si="31"/>
        <v>2016</v>
      </c>
      <c r="F390" s="10" t="str">
        <f t="shared" si="32"/>
        <v>Apr</v>
      </c>
      <c r="G390" s="9">
        <f t="shared" si="33"/>
        <v>4</v>
      </c>
      <c r="H390" s="9">
        <f t="shared" si="30"/>
        <v>5</v>
      </c>
      <c r="I390" s="9" t="s">
        <v>43</v>
      </c>
      <c r="J390" s="9" t="s">
        <v>1832</v>
      </c>
      <c r="K390" s="9" t="s">
        <v>1833</v>
      </c>
      <c r="L390" s="9" t="s">
        <v>87</v>
      </c>
      <c r="M390" s="9" t="s">
        <v>23</v>
      </c>
      <c r="N390" s="9" t="s">
        <v>72</v>
      </c>
      <c r="O390" s="9" t="s">
        <v>64</v>
      </c>
      <c r="P390" s="9">
        <v>77070</v>
      </c>
      <c r="Q390" s="9" t="s">
        <v>26</v>
      </c>
      <c r="R390" s="9" t="s">
        <v>1834</v>
      </c>
      <c r="S390" s="9" t="s">
        <v>66</v>
      </c>
      <c r="T390" s="9" t="s">
        <v>103</v>
      </c>
      <c r="U390" s="9" t="s">
        <v>1835</v>
      </c>
      <c r="V390" s="11">
        <v>9.1560000000000006</v>
      </c>
      <c r="W390" s="9" t="str">
        <f t="shared" si="34"/>
        <v>Slow Delivery</v>
      </c>
    </row>
    <row r="391" spans="1:23" x14ac:dyDescent="0.25">
      <c r="A391" s="9">
        <v>7711</v>
      </c>
      <c r="B391" s="10" t="s">
        <v>1841</v>
      </c>
      <c r="C391" s="10">
        <v>42462</v>
      </c>
      <c r="D391" s="10">
        <v>42467</v>
      </c>
      <c r="E391" s="9">
        <f t="shared" si="31"/>
        <v>2016</v>
      </c>
      <c r="F391" s="10" t="str">
        <f t="shared" si="32"/>
        <v>Apr</v>
      </c>
      <c r="G391" s="9">
        <f t="shared" si="33"/>
        <v>4</v>
      </c>
      <c r="H391" s="9">
        <f t="shared" si="30"/>
        <v>5</v>
      </c>
      <c r="I391" s="9" t="s">
        <v>43</v>
      </c>
      <c r="J391" s="9" t="s">
        <v>1842</v>
      </c>
      <c r="K391" s="9" t="s">
        <v>1843</v>
      </c>
      <c r="L391" s="9" t="s">
        <v>22</v>
      </c>
      <c r="M391" s="9" t="s">
        <v>23</v>
      </c>
      <c r="N391" s="9" t="s">
        <v>1396</v>
      </c>
      <c r="O391" s="9" t="s">
        <v>382</v>
      </c>
      <c r="P391" s="9">
        <v>85204</v>
      </c>
      <c r="Q391" s="9" t="s">
        <v>37</v>
      </c>
      <c r="R391" s="9" t="s">
        <v>1844</v>
      </c>
      <c r="S391" s="9" t="s">
        <v>28</v>
      </c>
      <c r="T391" s="9" t="s">
        <v>51</v>
      </c>
      <c r="U391" s="9" t="s">
        <v>1845</v>
      </c>
      <c r="V391" s="11">
        <v>87.8</v>
      </c>
      <c r="W391" s="9" t="str">
        <f t="shared" si="34"/>
        <v>Slow Delivery</v>
      </c>
    </row>
    <row r="392" spans="1:23" x14ac:dyDescent="0.25">
      <c r="A392" s="9">
        <v>1450</v>
      </c>
      <c r="B392" s="10" t="s">
        <v>1737</v>
      </c>
      <c r="C392" s="10">
        <v>42491</v>
      </c>
      <c r="D392" s="10">
        <v>42497</v>
      </c>
      <c r="E392" s="9">
        <f t="shared" si="31"/>
        <v>2016</v>
      </c>
      <c r="F392" s="10" t="str">
        <f t="shared" si="32"/>
        <v>May</v>
      </c>
      <c r="G392" s="9">
        <f t="shared" si="33"/>
        <v>5</v>
      </c>
      <c r="H392" s="9">
        <f t="shared" si="30"/>
        <v>6</v>
      </c>
      <c r="I392" s="9" t="s">
        <v>43</v>
      </c>
      <c r="J392" s="9" t="s">
        <v>1738</v>
      </c>
      <c r="K392" s="9" t="s">
        <v>1739</v>
      </c>
      <c r="L392" s="9" t="s">
        <v>87</v>
      </c>
      <c r="M392" s="9" t="s">
        <v>23</v>
      </c>
      <c r="N392" s="9" t="s">
        <v>213</v>
      </c>
      <c r="O392" s="9" t="s">
        <v>80</v>
      </c>
      <c r="P392" s="9">
        <v>90008</v>
      </c>
      <c r="Q392" s="9" t="s">
        <v>37</v>
      </c>
      <c r="R392" s="9" t="s">
        <v>1740</v>
      </c>
      <c r="S392" s="9" t="s">
        <v>28</v>
      </c>
      <c r="T392" s="9" t="s">
        <v>51</v>
      </c>
      <c r="U392" s="9" t="s">
        <v>1741</v>
      </c>
      <c r="V392" s="11">
        <v>88.751999999999995</v>
      </c>
      <c r="W392" s="9" t="str">
        <f t="shared" si="34"/>
        <v>Slow Delivery</v>
      </c>
    </row>
    <row r="393" spans="1:23" x14ac:dyDescent="0.25">
      <c r="A393" s="9">
        <v>4114</v>
      </c>
      <c r="B393" s="10" t="s">
        <v>1846</v>
      </c>
      <c r="C393" s="10">
        <v>42492</v>
      </c>
      <c r="D393" s="10">
        <v>42497</v>
      </c>
      <c r="E393" s="9">
        <f t="shared" si="31"/>
        <v>2016</v>
      </c>
      <c r="F393" s="10" t="str">
        <f t="shared" si="32"/>
        <v>May</v>
      </c>
      <c r="G393" s="9">
        <f t="shared" si="33"/>
        <v>5</v>
      </c>
      <c r="H393" s="9">
        <f t="shared" si="30"/>
        <v>5</v>
      </c>
      <c r="I393" s="9" t="s">
        <v>43</v>
      </c>
      <c r="J393" s="9" t="s">
        <v>1847</v>
      </c>
      <c r="K393" s="9" t="s">
        <v>1848</v>
      </c>
      <c r="L393" s="9" t="s">
        <v>87</v>
      </c>
      <c r="M393" s="9" t="s">
        <v>23</v>
      </c>
      <c r="N393" s="9" t="s">
        <v>72</v>
      </c>
      <c r="O393" s="9" t="s">
        <v>64</v>
      </c>
      <c r="P393" s="9">
        <v>77095</v>
      </c>
      <c r="Q393" s="9" t="s">
        <v>26</v>
      </c>
      <c r="R393" s="9" t="s">
        <v>1849</v>
      </c>
      <c r="S393" s="9" t="s">
        <v>66</v>
      </c>
      <c r="T393" s="9" t="s">
        <v>82</v>
      </c>
      <c r="U393" s="9" t="s">
        <v>1850</v>
      </c>
      <c r="V393" s="11">
        <v>8.8559999999999999</v>
      </c>
      <c r="W393" s="9" t="str">
        <f t="shared" si="34"/>
        <v>Slow Delivery</v>
      </c>
    </row>
    <row r="394" spans="1:23" x14ac:dyDescent="0.25">
      <c r="A394" s="9">
        <v>529</v>
      </c>
      <c r="B394" s="10" t="s">
        <v>1983</v>
      </c>
      <c r="C394" s="10">
        <v>42616</v>
      </c>
      <c r="D394" s="10">
        <v>42620</v>
      </c>
      <c r="E394" s="9">
        <f t="shared" si="31"/>
        <v>2016</v>
      </c>
      <c r="F394" s="10" t="str">
        <f t="shared" si="32"/>
        <v>Sep</v>
      </c>
      <c r="G394" s="9">
        <f t="shared" si="33"/>
        <v>9</v>
      </c>
      <c r="H394" s="9">
        <f t="shared" si="30"/>
        <v>4</v>
      </c>
      <c r="I394" s="9" t="s">
        <v>43</v>
      </c>
      <c r="J394" s="9" t="s">
        <v>1984</v>
      </c>
      <c r="K394" s="9" t="s">
        <v>1985</v>
      </c>
      <c r="L394" s="9" t="s">
        <v>22</v>
      </c>
      <c r="M394" s="9" t="s">
        <v>23</v>
      </c>
      <c r="N394" s="9" t="s">
        <v>149</v>
      </c>
      <c r="O394" s="9" t="s">
        <v>150</v>
      </c>
      <c r="P394" s="9">
        <v>19134</v>
      </c>
      <c r="Q394" s="9" t="s">
        <v>49</v>
      </c>
      <c r="R394" s="9" t="s">
        <v>1986</v>
      </c>
      <c r="S394" s="9" t="s">
        <v>66</v>
      </c>
      <c r="T394" s="9" t="s">
        <v>74</v>
      </c>
      <c r="U394" s="9" t="s">
        <v>1987</v>
      </c>
      <c r="V394" s="11">
        <v>36.335999999999999</v>
      </c>
      <c r="W394" s="9" t="str">
        <f t="shared" si="34"/>
        <v>Slow Delivery</v>
      </c>
    </row>
    <row r="395" spans="1:23" x14ac:dyDescent="0.25">
      <c r="A395" s="9">
        <v>8463</v>
      </c>
      <c r="B395" s="10" t="s">
        <v>1988</v>
      </c>
      <c r="C395" s="10">
        <v>42616</v>
      </c>
      <c r="D395" s="10">
        <v>42620</v>
      </c>
      <c r="E395" s="9">
        <f t="shared" si="31"/>
        <v>2016</v>
      </c>
      <c r="F395" s="10" t="str">
        <f t="shared" si="32"/>
        <v>Sep</v>
      </c>
      <c r="G395" s="9">
        <f t="shared" si="33"/>
        <v>9</v>
      </c>
      <c r="H395" s="9">
        <f t="shared" si="30"/>
        <v>4</v>
      </c>
      <c r="I395" s="9" t="s">
        <v>32</v>
      </c>
      <c r="J395" s="9" t="s">
        <v>1989</v>
      </c>
      <c r="K395" s="9" t="s">
        <v>1990</v>
      </c>
      <c r="L395" s="9" t="s">
        <v>22</v>
      </c>
      <c r="M395" s="9" t="s">
        <v>23</v>
      </c>
      <c r="N395" s="9" t="s">
        <v>1991</v>
      </c>
      <c r="O395" s="9" t="s">
        <v>118</v>
      </c>
      <c r="P395" s="9">
        <v>49423</v>
      </c>
      <c r="Q395" s="9" t="s">
        <v>26</v>
      </c>
      <c r="R395" s="9" t="s">
        <v>1992</v>
      </c>
      <c r="S395" s="9" t="s">
        <v>66</v>
      </c>
      <c r="T395" s="9" t="s">
        <v>82</v>
      </c>
      <c r="U395" s="9" t="s">
        <v>1993</v>
      </c>
      <c r="V395" s="11">
        <v>7.5</v>
      </c>
      <c r="W395" s="9" t="str">
        <f t="shared" si="34"/>
        <v>Slow Delivery</v>
      </c>
    </row>
    <row r="396" spans="1:23" x14ac:dyDescent="0.25">
      <c r="A396" s="9">
        <v>4617</v>
      </c>
      <c r="B396" s="10" t="s">
        <v>2061</v>
      </c>
      <c r="C396" s="10">
        <v>42617</v>
      </c>
      <c r="D396" s="10">
        <v>42620</v>
      </c>
      <c r="E396" s="9">
        <f t="shared" si="31"/>
        <v>2016</v>
      </c>
      <c r="F396" s="10" t="str">
        <f t="shared" si="32"/>
        <v>Sep</v>
      </c>
      <c r="G396" s="9">
        <f t="shared" si="33"/>
        <v>9</v>
      </c>
      <c r="H396" s="9">
        <f t="shared" si="30"/>
        <v>3</v>
      </c>
      <c r="I396" s="9" t="s">
        <v>32</v>
      </c>
      <c r="J396" s="9" t="s">
        <v>2062</v>
      </c>
      <c r="K396" s="9" t="s">
        <v>2063</v>
      </c>
      <c r="L396" s="9" t="s">
        <v>87</v>
      </c>
      <c r="M396" s="9" t="s">
        <v>23</v>
      </c>
      <c r="N396" s="9" t="s">
        <v>72</v>
      </c>
      <c r="O396" s="9" t="s">
        <v>64</v>
      </c>
      <c r="P396" s="9">
        <v>77095</v>
      </c>
      <c r="Q396" s="9" t="s">
        <v>26</v>
      </c>
      <c r="R396" s="9" t="s">
        <v>2064</v>
      </c>
      <c r="S396" s="9" t="s">
        <v>28</v>
      </c>
      <c r="T396" s="9" t="s">
        <v>29</v>
      </c>
      <c r="U396" s="9" t="s">
        <v>2065</v>
      </c>
      <c r="V396" s="11">
        <v>134.376</v>
      </c>
      <c r="W396" s="9" t="str">
        <f t="shared" si="34"/>
        <v>Fast Delivery</v>
      </c>
    </row>
    <row r="397" spans="1:23" x14ac:dyDescent="0.25">
      <c r="A397" s="9">
        <v>3903</v>
      </c>
      <c r="B397" s="10" t="s">
        <v>1890</v>
      </c>
      <c r="C397" s="10">
        <v>42645</v>
      </c>
      <c r="D397" s="10">
        <v>42650</v>
      </c>
      <c r="E397" s="9">
        <f t="shared" si="31"/>
        <v>2016</v>
      </c>
      <c r="F397" s="10" t="str">
        <f t="shared" si="32"/>
        <v>Oct</v>
      </c>
      <c r="G397" s="9">
        <f t="shared" si="33"/>
        <v>10</v>
      </c>
      <c r="H397" s="9">
        <f t="shared" si="30"/>
        <v>5</v>
      </c>
      <c r="I397" s="9" t="s">
        <v>32</v>
      </c>
      <c r="J397" s="9" t="s">
        <v>1891</v>
      </c>
      <c r="K397" s="9" t="s">
        <v>1892</v>
      </c>
      <c r="L397" s="9" t="s">
        <v>46</v>
      </c>
      <c r="M397" s="9" t="s">
        <v>23</v>
      </c>
      <c r="N397" s="9" t="s">
        <v>213</v>
      </c>
      <c r="O397" s="9" t="s">
        <v>80</v>
      </c>
      <c r="P397" s="9">
        <v>90045</v>
      </c>
      <c r="Q397" s="9" t="s">
        <v>37</v>
      </c>
      <c r="R397" s="9" t="s">
        <v>1893</v>
      </c>
      <c r="S397" s="9" t="s">
        <v>66</v>
      </c>
      <c r="T397" s="9" t="s">
        <v>74</v>
      </c>
      <c r="U397" s="9" t="s">
        <v>1894</v>
      </c>
      <c r="V397" s="11">
        <v>270.33999999999997</v>
      </c>
      <c r="W397" s="9" t="str">
        <f t="shared" si="34"/>
        <v>Slow Delivery</v>
      </c>
    </row>
    <row r="398" spans="1:23" x14ac:dyDescent="0.25">
      <c r="A398" s="9">
        <v>1300</v>
      </c>
      <c r="B398" s="10" t="s">
        <v>2066</v>
      </c>
      <c r="C398" s="10">
        <v>42647</v>
      </c>
      <c r="D398" s="10">
        <v>42650</v>
      </c>
      <c r="E398" s="9">
        <f t="shared" si="31"/>
        <v>2016</v>
      </c>
      <c r="F398" s="10" t="str">
        <f t="shared" si="32"/>
        <v>Oct</v>
      </c>
      <c r="G398" s="9">
        <f t="shared" si="33"/>
        <v>10</v>
      </c>
      <c r="H398" s="9">
        <f t="shared" si="30"/>
        <v>3</v>
      </c>
      <c r="I398" s="9" t="s">
        <v>19</v>
      </c>
      <c r="J398" s="9" t="s">
        <v>2067</v>
      </c>
      <c r="K398" s="9" t="s">
        <v>2068</v>
      </c>
      <c r="L398" s="9" t="s">
        <v>22</v>
      </c>
      <c r="M398" s="9" t="s">
        <v>23</v>
      </c>
      <c r="N398" s="9" t="s">
        <v>143</v>
      </c>
      <c r="O398" s="9" t="s">
        <v>80</v>
      </c>
      <c r="P398" s="9">
        <v>94109</v>
      </c>
      <c r="Q398" s="9" t="s">
        <v>37</v>
      </c>
      <c r="R398" s="9" t="s">
        <v>2069</v>
      </c>
      <c r="S398" s="9" t="s">
        <v>66</v>
      </c>
      <c r="T398" s="9" t="s">
        <v>74</v>
      </c>
      <c r="U398" s="9" t="s">
        <v>2070</v>
      </c>
      <c r="V398" s="11">
        <v>26.96</v>
      </c>
      <c r="W398" s="9" t="str">
        <f t="shared" si="34"/>
        <v>Fast Delivery</v>
      </c>
    </row>
    <row r="399" spans="1:23" x14ac:dyDescent="0.25">
      <c r="A399" s="9">
        <v>6006</v>
      </c>
      <c r="B399" s="10" t="s">
        <v>1919</v>
      </c>
      <c r="C399" s="10">
        <v>42676</v>
      </c>
      <c r="D399" s="10">
        <v>42681</v>
      </c>
      <c r="E399" s="9">
        <f t="shared" si="31"/>
        <v>2016</v>
      </c>
      <c r="F399" s="10" t="str">
        <f t="shared" si="32"/>
        <v>Nov</v>
      </c>
      <c r="G399" s="9">
        <f t="shared" si="33"/>
        <v>11</v>
      </c>
      <c r="H399" s="9">
        <f t="shared" si="30"/>
        <v>5</v>
      </c>
      <c r="I399" s="9" t="s">
        <v>43</v>
      </c>
      <c r="J399" s="9" t="s">
        <v>1920</v>
      </c>
      <c r="K399" s="9" t="s">
        <v>1921</v>
      </c>
      <c r="L399" s="9" t="s">
        <v>22</v>
      </c>
      <c r="M399" s="9" t="s">
        <v>23</v>
      </c>
      <c r="N399" s="9" t="s">
        <v>1922</v>
      </c>
      <c r="O399" s="9" t="s">
        <v>48</v>
      </c>
      <c r="P399" s="9">
        <v>12180</v>
      </c>
      <c r="Q399" s="9" t="s">
        <v>49</v>
      </c>
      <c r="R399" s="9" t="s">
        <v>1923</v>
      </c>
      <c r="S399" s="9" t="s">
        <v>39</v>
      </c>
      <c r="T399" s="9" t="s">
        <v>40</v>
      </c>
      <c r="U399" s="9" t="s">
        <v>1924</v>
      </c>
      <c r="V399" s="11">
        <v>109.764</v>
      </c>
      <c r="W399" s="9" t="str">
        <f t="shared" si="34"/>
        <v>Slow Delivery</v>
      </c>
    </row>
    <row r="400" spans="1:23" x14ac:dyDescent="0.25">
      <c r="A400" s="9">
        <v>9193</v>
      </c>
      <c r="B400" s="10" t="s">
        <v>1925</v>
      </c>
      <c r="C400" s="10">
        <v>42676</v>
      </c>
      <c r="D400" s="10">
        <v>42681</v>
      </c>
      <c r="E400" s="9">
        <f t="shared" si="31"/>
        <v>2016</v>
      </c>
      <c r="F400" s="10" t="str">
        <f t="shared" si="32"/>
        <v>Nov</v>
      </c>
      <c r="G400" s="9">
        <f t="shared" si="33"/>
        <v>11</v>
      </c>
      <c r="H400" s="9">
        <f t="shared" si="30"/>
        <v>5</v>
      </c>
      <c r="I400" s="9" t="s">
        <v>43</v>
      </c>
      <c r="J400" s="9" t="s">
        <v>1926</v>
      </c>
      <c r="K400" s="9" t="s">
        <v>1927</v>
      </c>
      <c r="L400" s="9" t="s">
        <v>87</v>
      </c>
      <c r="M400" s="9" t="s">
        <v>23</v>
      </c>
      <c r="N400" s="9" t="s">
        <v>784</v>
      </c>
      <c r="O400" s="9" t="s">
        <v>64</v>
      </c>
      <c r="P400" s="9">
        <v>78207</v>
      </c>
      <c r="Q400" s="9" t="s">
        <v>26</v>
      </c>
      <c r="R400" s="9" t="s">
        <v>1928</v>
      </c>
      <c r="S400" s="9" t="s">
        <v>66</v>
      </c>
      <c r="T400" s="9" t="s">
        <v>103</v>
      </c>
      <c r="U400" s="9" t="s">
        <v>1929</v>
      </c>
      <c r="V400" s="11">
        <v>29.372</v>
      </c>
      <c r="W400" s="9" t="str">
        <f t="shared" si="34"/>
        <v>Slow Delivery</v>
      </c>
    </row>
    <row r="401" spans="1:23" x14ac:dyDescent="0.25">
      <c r="A401" s="9">
        <v>1487</v>
      </c>
      <c r="B401" s="10" t="s">
        <v>1994</v>
      </c>
      <c r="C401" s="10">
        <v>42677</v>
      </c>
      <c r="D401" s="10">
        <v>42681</v>
      </c>
      <c r="E401" s="9">
        <f t="shared" si="31"/>
        <v>2016</v>
      </c>
      <c r="F401" s="10" t="str">
        <f t="shared" si="32"/>
        <v>Nov</v>
      </c>
      <c r="G401" s="9">
        <f t="shared" si="33"/>
        <v>11</v>
      </c>
      <c r="H401" s="9">
        <f t="shared" si="30"/>
        <v>4</v>
      </c>
      <c r="I401" s="9" t="s">
        <v>43</v>
      </c>
      <c r="J401" s="9" t="s">
        <v>1995</v>
      </c>
      <c r="K401" s="9" t="s">
        <v>1996</v>
      </c>
      <c r="L401" s="9" t="s">
        <v>46</v>
      </c>
      <c r="M401" s="9" t="s">
        <v>23</v>
      </c>
      <c r="N401" s="9" t="s">
        <v>213</v>
      </c>
      <c r="O401" s="9" t="s">
        <v>80</v>
      </c>
      <c r="P401" s="9">
        <v>90008</v>
      </c>
      <c r="Q401" s="9" t="s">
        <v>37</v>
      </c>
      <c r="R401" s="9" t="s">
        <v>1997</v>
      </c>
      <c r="S401" s="9" t="s">
        <v>28</v>
      </c>
      <c r="T401" s="9" t="s">
        <v>51</v>
      </c>
      <c r="U401" s="9" t="s">
        <v>1998</v>
      </c>
      <c r="V401" s="11">
        <v>1212.848</v>
      </c>
      <c r="W401" s="9" t="str">
        <f t="shared" si="34"/>
        <v>Slow Delivery</v>
      </c>
    </row>
    <row r="402" spans="1:23" x14ac:dyDescent="0.25">
      <c r="A402" s="9">
        <v>3920</v>
      </c>
      <c r="B402" s="10" t="s">
        <v>1796</v>
      </c>
      <c r="C402" s="10">
        <v>42705</v>
      </c>
      <c r="D402" s="10">
        <v>42711</v>
      </c>
      <c r="E402" s="9">
        <f t="shared" si="31"/>
        <v>2016</v>
      </c>
      <c r="F402" s="10" t="str">
        <f t="shared" si="32"/>
        <v>Dec</v>
      </c>
      <c r="G402" s="9">
        <f t="shared" si="33"/>
        <v>12</v>
      </c>
      <c r="H402" s="9">
        <f t="shared" si="30"/>
        <v>6</v>
      </c>
      <c r="I402" s="9" t="s">
        <v>43</v>
      </c>
      <c r="J402" s="9" t="s">
        <v>1797</v>
      </c>
      <c r="K402" s="9" t="s">
        <v>1798</v>
      </c>
      <c r="L402" s="9" t="s">
        <v>87</v>
      </c>
      <c r="M402" s="9" t="s">
        <v>23</v>
      </c>
      <c r="N402" s="9" t="s">
        <v>932</v>
      </c>
      <c r="O402" s="9" t="s">
        <v>298</v>
      </c>
      <c r="P402" s="9">
        <v>23320</v>
      </c>
      <c r="Q402" s="9" t="s">
        <v>110</v>
      </c>
      <c r="R402" s="9" t="s">
        <v>1799</v>
      </c>
      <c r="S402" s="9" t="s">
        <v>66</v>
      </c>
      <c r="T402" s="9" t="s">
        <v>74</v>
      </c>
      <c r="U402" s="9" t="s">
        <v>1800</v>
      </c>
      <c r="V402" s="11">
        <v>61.68</v>
      </c>
      <c r="W402" s="9" t="str">
        <f t="shared" si="34"/>
        <v>Slow Delivery</v>
      </c>
    </row>
    <row r="403" spans="1:23" x14ac:dyDescent="0.25">
      <c r="A403" s="9">
        <v>387</v>
      </c>
      <c r="B403" s="10" t="s">
        <v>2004</v>
      </c>
      <c r="C403" s="10">
        <v>42707</v>
      </c>
      <c r="D403" s="10">
        <v>42711</v>
      </c>
      <c r="E403" s="9">
        <f t="shared" si="31"/>
        <v>2016</v>
      </c>
      <c r="F403" s="10" t="str">
        <f t="shared" si="32"/>
        <v>Dec</v>
      </c>
      <c r="G403" s="9">
        <f t="shared" si="33"/>
        <v>12</v>
      </c>
      <c r="H403" s="9">
        <f t="shared" si="30"/>
        <v>4</v>
      </c>
      <c r="I403" s="9" t="s">
        <v>43</v>
      </c>
      <c r="J403" s="9" t="s">
        <v>2005</v>
      </c>
      <c r="K403" s="9" t="s">
        <v>2006</v>
      </c>
      <c r="L403" s="9" t="s">
        <v>87</v>
      </c>
      <c r="M403" s="9" t="s">
        <v>23</v>
      </c>
      <c r="N403" s="9" t="s">
        <v>149</v>
      </c>
      <c r="O403" s="9" t="s">
        <v>150</v>
      </c>
      <c r="P403" s="9">
        <v>19140</v>
      </c>
      <c r="Q403" s="9" t="s">
        <v>49</v>
      </c>
      <c r="R403" s="9" t="s">
        <v>2007</v>
      </c>
      <c r="S403" s="9" t="s">
        <v>28</v>
      </c>
      <c r="T403" s="9" t="s">
        <v>364</v>
      </c>
      <c r="U403" s="9" t="s">
        <v>2008</v>
      </c>
      <c r="V403" s="11">
        <v>482.34</v>
      </c>
      <c r="W403" s="9" t="str">
        <f t="shared" si="34"/>
        <v>Slow Delivery</v>
      </c>
    </row>
    <row r="404" spans="1:23" x14ac:dyDescent="0.25">
      <c r="A404" s="9">
        <v>5605</v>
      </c>
      <c r="B404" s="10" t="s">
        <v>2012</v>
      </c>
      <c r="C404" s="10">
        <v>42707</v>
      </c>
      <c r="D404" s="10">
        <v>42711</v>
      </c>
      <c r="E404" s="9">
        <f t="shared" si="31"/>
        <v>2016</v>
      </c>
      <c r="F404" s="10" t="str">
        <f t="shared" si="32"/>
        <v>Dec</v>
      </c>
      <c r="G404" s="9">
        <f t="shared" si="33"/>
        <v>12</v>
      </c>
      <c r="H404" s="9">
        <f t="shared" si="30"/>
        <v>4</v>
      </c>
      <c r="I404" s="9" t="s">
        <v>43</v>
      </c>
      <c r="J404" s="9" t="s">
        <v>2013</v>
      </c>
      <c r="K404" s="9" t="s">
        <v>2014</v>
      </c>
      <c r="L404" s="9" t="s">
        <v>87</v>
      </c>
      <c r="M404" s="9" t="s">
        <v>23</v>
      </c>
      <c r="N404" s="9" t="s">
        <v>47</v>
      </c>
      <c r="O404" s="9" t="s">
        <v>48</v>
      </c>
      <c r="P404" s="9">
        <v>10011</v>
      </c>
      <c r="Q404" s="9" t="s">
        <v>49</v>
      </c>
      <c r="R404" s="9" t="s">
        <v>2015</v>
      </c>
      <c r="S404" s="9" t="s">
        <v>66</v>
      </c>
      <c r="T404" s="9" t="s">
        <v>103</v>
      </c>
      <c r="U404" s="9" t="s">
        <v>2016</v>
      </c>
      <c r="V404" s="11">
        <v>590.35199999999998</v>
      </c>
      <c r="W404" s="9" t="str">
        <f t="shared" si="34"/>
        <v>Slow Delivery</v>
      </c>
    </row>
    <row r="405" spans="1:23" x14ac:dyDescent="0.25">
      <c r="A405" s="9">
        <v>8713</v>
      </c>
      <c r="B405" s="10" t="s">
        <v>2017</v>
      </c>
      <c r="C405" s="10">
        <v>42707</v>
      </c>
      <c r="D405" s="10">
        <v>42711</v>
      </c>
      <c r="E405" s="9">
        <f t="shared" si="31"/>
        <v>2016</v>
      </c>
      <c r="F405" s="10" t="str">
        <f t="shared" si="32"/>
        <v>Dec</v>
      </c>
      <c r="G405" s="9">
        <f t="shared" si="33"/>
        <v>12</v>
      </c>
      <c r="H405" s="9">
        <f t="shared" si="30"/>
        <v>4</v>
      </c>
      <c r="I405" s="9" t="s">
        <v>43</v>
      </c>
      <c r="J405" s="9" t="s">
        <v>2018</v>
      </c>
      <c r="K405" s="9" t="s">
        <v>2019</v>
      </c>
      <c r="L405" s="9" t="s">
        <v>22</v>
      </c>
      <c r="M405" s="9" t="s">
        <v>23</v>
      </c>
      <c r="N405" s="9" t="s">
        <v>143</v>
      </c>
      <c r="O405" s="9" t="s">
        <v>80</v>
      </c>
      <c r="P405" s="9">
        <v>94110</v>
      </c>
      <c r="Q405" s="9" t="s">
        <v>37</v>
      </c>
      <c r="R405" s="9" t="s">
        <v>2020</v>
      </c>
      <c r="S405" s="9" t="s">
        <v>39</v>
      </c>
      <c r="T405" s="9" t="s">
        <v>1218</v>
      </c>
      <c r="U405" s="9" t="s">
        <v>2021</v>
      </c>
      <c r="V405" s="11">
        <v>359.49900000000002</v>
      </c>
      <c r="W405" s="9" t="str">
        <f t="shared" si="34"/>
        <v>Slow Delivery</v>
      </c>
    </row>
    <row r="406" spans="1:23" x14ac:dyDescent="0.25">
      <c r="A406" s="9">
        <v>4356</v>
      </c>
      <c r="B406" s="10" t="s">
        <v>2086</v>
      </c>
      <c r="C406" s="10">
        <v>42708</v>
      </c>
      <c r="D406" s="10">
        <v>42711</v>
      </c>
      <c r="E406" s="9">
        <f t="shared" si="31"/>
        <v>2016</v>
      </c>
      <c r="F406" s="10" t="str">
        <f t="shared" si="32"/>
        <v>Dec</v>
      </c>
      <c r="G406" s="9">
        <f t="shared" si="33"/>
        <v>12</v>
      </c>
      <c r="H406" s="9">
        <f t="shared" si="30"/>
        <v>3</v>
      </c>
      <c r="I406" s="9" t="s">
        <v>32</v>
      </c>
      <c r="J406" s="9" t="s">
        <v>2087</v>
      </c>
      <c r="K406" s="9" t="s">
        <v>2088</v>
      </c>
      <c r="L406" s="9" t="s">
        <v>22</v>
      </c>
      <c r="M406" s="9" t="s">
        <v>23</v>
      </c>
      <c r="N406" s="9" t="s">
        <v>2089</v>
      </c>
      <c r="O406" s="9" t="s">
        <v>575</v>
      </c>
      <c r="P406" s="9">
        <v>37042</v>
      </c>
      <c r="Q406" s="9" t="s">
        <v>110</v>
      </c>
      <c r="R406" s="9" t="s">
        <v>2090</v>
      </c>
      <c r="S406" s="9" t="s">
        <v>66</v>
      </c>
      <c r="T406" s="9" t="s">
        <v>103</v>
      </c>
      <c r="U406" s="9" t="s">
        <v>2091</v>
      </c>
      <c r="V406" s="11">
        <v>1598.058</v>
      </c>
      <c r="W406" s="9" t="str">
        <f t="shared" si="34"/>
        <v>Fast Delivery</v>
      </c>
    </row>
    <row r="407" spans="1:23" x14ac:dyDescent="0.25">
      <c r="A407" s="9">
        <v>6841</v>
      </c>
      <c r="B407" s="10" t="s">
        <v>2263</v>
      </c>
      <c r="C407" s="10">
        <v>42710</v>
      </c>
      <c r="D407" s="10">
        <v>42711</v>
      </c>
      <c r="E407" s="9">
        <f t="shared" si="31"/>
        <v>2016</v>
      </c>
      <c r="F407" s="10" t="str">
        <f t="shared" si="32"/>
        <v>Dec</v>
      </c>
      <c r="G407" s="9">
        <f t="shared" si="33"/>
        <v>12</v>
      </c>
      <c r="H407" s="9">
        <f t="shared" si="30"/>
        <v>1</v>
      </c>
      <c r="I407" s="9" t="s">
        <v>19</v>
      </c>
      <c r="J407" s="9" t="s">
        <v>2264</v>
      </c>
      <c r="K407" s="9" t="s">
        <v>2265</v>
      </c>
      <c r="L407" s="9" t="s">
        <v>46</v>
      </c>
      <c r="M407" s="9" t="s">
        <v>23</v>
      </c>
      <c r="N407" s="9" t="s">
        <v>1922</v>
      </c>
      <c r="O407" s="9" t="s">
        <v>250</v>
      </c>
      <c r="P407" s="9">
        <v>45373</v>
      </c>
      <c r="Q407" s="9" t="s">
        <v>49</v>
      </c>
      <c r="R407" s="9" t="s">
        <v>2266</v>
      </c>
      <c r="S407" s="9" t="s">
        <v>66</v>
      </c>
      <c r="T407" s="9" t="s">
        <v>103</v>
      </c>
      <c r="U407" s="9" t="s">
        <v>2267</v>
      </c>
      <c r="V407" s="11">
        <v>14.832000000000001</v>
      </c>
      <c r="W407" s="9" t="str">
        <f t="shared" si="34"/>
        <v>Fast Delivery</v>
      </c>
    </row>
    <row r="408" spans="1:23" x14ac:dyDescent="0.25">
      <c r="A408" s="9">
        <v>9665</v>
      </c>
      <c r="B408" s="10" t="s">
        <v>2355</v>
      </c>
      <c r="C408" s="10">
        <v>42711</v>
      </c>
      <c r="D408" s="10">
        <v>42711</v>
      </c>
      <c r="E408" s="9">
        <f t="shared" si="31"/>
        <v>2016</v>
      </c>
      <c r="F408" s="10" t="str">
        <f t="shared" si="32"/>
        <v>Dec</v>
      </c>
      <c r="G408" s="9">
        <f t="shared" si="33"/>
        <v>12</v>
      </c>
      <c r="H408" s="9">
        <f t="shared" si="30"/>
        <v>0</v>
      </c>
      <c r="I408" s="9" t="s">
        <v>302</v>
      </c>
      <c r="J408" s="9" t="s">
        <v>2356</v>
      </c>
      <c r="K408" s="9" t="s">
        <v>2357</v>
      </c>
      <c r="L408" s="9" t="s">
        <v>87</v>
      </c>
      <c r="M408" s="9" t="s">
        <v>23</v>
      </c>
      <c r="N408" s="9" t="s">
        <v>2358</v>
      </c>
      <c r="O408" s="9" t="s">
        <v>80</v>
      </c>
      <c r="P408" s="9">
        <v>92503</v>
      </c>
      <c r="Q408" s="9" t="s">
        <v>37</v>
      </c>
      <c r="R408" s="9" t="s">
        <v>2359</v>
      </c>
      <c r="S408" s="9" t="s">
        <v>66</v>
      </c>
      <c r="T408" s="9" t="s">
        <v>201</v>
      </c>
      <c r="U408" s="9" t="s">
        <v>2360</v>
      </c>
      <c r="V408" s="11">
        <v>12.96</v>
      </c>
      <c r="W408" s="9" t="str">
        <f t="shared" si="34"/>
        <v>Fast Delivery</v>
      </c>
    </row>
    <row r="409" spans="1:23" x14ac:dyDescent="0.25">
      <c r="A409" s="9">
        <v>2049</v>
      </c>
      <c r="B409" s="10" t="s">
        <v>2581</v>
      </c>
      <c r="C409" s="10">
        <v>42562</v>
      </c>
      <c r="D409" s="10">
        <v>42564</v>
      </c>
      <c r="E409" s="9">
        <f t="shared" si="31"/>
        <v>2016</v>
      </c>
      <c r="F409" s="10" t="str">
        <f t="shared" si="32"/>
        <v>Jul</v>
      </c>
      <c r="G409" s="9">
        <f t="shared" si="33"/>
        <v>7</v>
      </c>
      <c r="H409" s="9">
        <f t="shared" si="30"/>
        <v>2</v>
      </c>
      <c r="I409" s="9" t="s">
        <v>19</v>
      </c>
      <c r="J409" s="9" t="s">
        <v>2582</v>
      </c>
      <c r="K409" s="9" t="s">
        <v>2583</v>
      </c>
      <c r="L409" s="9" t="s">
        <v>22</v>
      </c>
      <c r="M409" s="9" t="s">
        <v>23</v>
      </c>
      <c r="N409" s="9" t="s">
        <v>149</v>
      </c>
      <c r="O409" s="9" t="s">
        <v>150</v>
      </c>
      <c r="P409" s="9">
        <v>19134</v>
      </c>
      <c r="Q409" s="9" t="s">
        <v>49</v>
      </c>
      <c r="R409" s="9" t="s">
        <v>2584</v>
      </c>
      <c r="S409" s="9" t="s">
        <v>39</v>
      </c>
      <c r="T409" s="9" t="s">
        <v>112</v>
      </c>
      <c r="U409" s="9" t="s">
        <v>2585</v>
      </c>
      <c r="V409" s="11">
        <v>289.8</v>
      </c>
      <c r="W409" s="9" t="str">
        <f t="shared" si="34"/>
        <v>Fast Delivery</v>
      </c>
    </row>
    <row r="410" spans="1:23" x14ac:dyDescent="0.25">
      <c r="A410" s="9">
        <v>3901</v>
      </c>
      <c r="B410" s="10" t="s">
        <v>1935</v>
      </c>
      <c r="C410" s="10">
        <v>42372</v>
      </c>
      <c r="D410" s="10">
        <v>42377</v>
      </c>
      <c r="E410" s="9">
        <f t="shared" si="31"/>
        <v>2016</v>
      </c>
      <c r="F410" s="10" t="str">
        <f t="shared" si="32"/>
        <v>Jan</v>
      </c>
      <c r="G410" s="9">
        <f t="shared" si="33"/>
        <v>1</v>
      </c>
      <c r="H410" s="9">
        <f t="shared" si="30"/>
        <v>5</v>
      </c>
      <c r="I410" s="9" t="s">
        <v>43</v>
      </c>
      <c r="J410" s="9" t="s">
        <v>1936</v>
      </c>
      <c r="K410" s="9" t="s">
        <v>1937</v>
      </c>
      <c r="L410" s="9" t="s">
        <v>87</v>
      </c>
      <c r="M410" s="9" t="s">
        <v>23</v>
      </c>
      <c r="N410" s="9" t="s">
        <v>1938</v>
      </c>
      <c r="O410" s="9" t="s">
        <v>64</v>
      </c>
      <c r="P410" s="9">
        <v>77520</v>
      </c>
      <c r="Q410" s="9" t="s">
        <v>26</v>
      </c>
      <c r="R410" s="9" t="s">
        <v>1939</v>
      </c>
      <c r="S410" s="9" t="s">
        <v>66</v>
      </c>
      <c r="T410" s="9" t="s">
        <v>201</v>
      </c>
      <c r="U410" s="9" t="s">
        <v>1940</v>
      </c>
      <c r="V410" s="11">
        <v>10.368</v>
      </c>
      <c r="W410" s="9" t="str">
        <f t="shared" si="34"/>
        <v>Slow Delivery</v>
      </c>
    </row>
    <row r="411" spans="1:23" x14ac:dyDescent="0.25">
      <c r="A411" s="9">
        <v>5054</v>
      </c>
      <c r="B411" s="10" t="s">
        <v>1941</v>
      </c>
      <c r="C411" s="10">
        <v>42372</v>
      </c>
      <c r="D411" s="10">
        <v>42377</v>
      </c>
      <c r="E411" s="9">
        <f t="shared" si="31"/>
        <v>2016</v>
      </c>
      <c r="F411" s="10" t="str">
        <f t="shared" si="32"/>
        <v>Jan</v>
      </c>
      <c r="G411" s="9">
        <f t="shared" si="33"/>
        <v>1</v>
      </c>
      <c r="H411" s="9">
        <f t="shared" si="30"/>
        <v>5</v>
      </c>
      <c r="I411" s="9" t="s">
        <v>32</v>
      </c>
      <c r="J411" s="9" t="s">
        <v>1942</v>
      </c>
      <c r="K411" s="9" t="s">
        <v>1943</v>
      </c>
      <c r="L411" s="9" t="s">
        <v>22</v>
      </c>
      <c r="M411" s="9" t="s">
        <v>23</v>
      </c>
      <c r="N411" s="9" t="s">
        <v>556</v>
      </c>
      <c r="O411" s="9" t="s">
        <v>64</v>
      </c>
      <c r="P411" s="9">
        <v>75217</v>
      </c>
      <c r="Q411" s="9" t="s">
        <v>26</v>
      </c>
      <c r="R411" s="9" t="s">
        <v>1944</v>
      </c>
      <c r="S411" s="9" t="s">
        <v>28</v>
      </c>
      <c r="T411" s="9" t="s">
        <v>29</v>
      </c>
      <c r="U411" s="9" t="s">
        <v>1945</v>
      </c>
      <c r="V411" s="11">
        <v>398.4</v>
      </c>
      <c r="W411" s="9" t="str">
        <f t="shared" si="34"/>
        <v>Slow Delivery</v>
      </c>
    </row>
    <row r="412" spans="1:23" x14ac:dyDescent="0.25">
      <c r="A412" s="9">
        <v>9084</v>
      </c>
      <c r="B412" s="10" t="s">
        <v>2197</v>
      </c>
      <c r="C412" s="10">
        <v>42406</v>
      </c>
      <c r="D412" s="10">
        <v>42408</v>
      </c>
      <c r="E412" s="9">
        <f t="shared" si="31"/>
        <v>2016</v>
      </c>
      <c r="F412" s="10" t="str">
        <f t="shared" si="32"/>
        <v>Feb</v>
      </c>
      <c r="G412" s="9">
        <f t="shared" si="33"/>
        <v>2</v>
      </c>
      <c r="H412" s="9">
        <f t="shared" si="30"/>
        <v>2</v>
      </c>
      <c r="I412" s="9" t="s">
        <v>19</v>
      </c>
      <c r="J412" s="9" t="s">
        <v>2198</v>
      </c>
      <c r="K412" s="9" t="s">
        <v>2199</v>
      </c>
      <c r="L412" s="9" t="s">
        <v>87</v>
      </c>
      <c r="M412" s="9" t="s">
        <v>23</v>
      </c>
      <c r="N412" s="9" t="s">
        <v>2200</v>
      </c>
      <c r="O412" s="9" t="s">
        <v>298</v>
      </c>
      <c r="P412" s="9">
        <v>23434</v>
      </c>
      <c r="Q412" s="9" t="s">
        <v>110</v>
      </c>
      <c r="R412" s="9" t="s">
        <v>2201</v>
      </c>
      <c r="S412" s="9" t="s">
        <v>66</v>
      </c>
      <c r="T412" s="9" t="s">
        <v>74</v>
      </c>
      <c r="U412" s="9" t="s">
        <v>2202</v>
      </c>
      <c r="V412" s="11">
        <v>146.72999999999999</v>
      </c>
      <c r="W412" s="9" t="str">
        <f t="shared" si="34"/>
        <v>Fast Delivery</v>
      </c>
    </row>
    <row r="413" spans="1:23" x14ac:dyDescent="0.25">
      <c r="A413" s="9">
        <v>3778</v>
      </c>
      <c r="B413" s="10" t="s">
        <v>1962</v>
      </c>
      <c r="C413" s="10">
        <v>42493</v>
      </c>
      <c r="D413" s="10">
        <v>42498</v>
      </c>
      <c r="E413" s="9">
        <f t="shared" si="31"/>
        <v>2016</v>
      </c>
      <c r="F413" s="10" t="str">
        <f t="shared" si="32"/>
        <v>May</v>
      </c>
      <c r="G413" s="9">
        <f t="shared" si="33"/>
        <v>5</v>
      </c>
      <c r="H413" s="9">
        <f t="shared" si="30"/>
        <v>5</v>
      </c>
      <c r="I413" s="9" t="s">
        <v>43</v>
      </c>
      <c r="J413" s="9" t="s">
        <v>1963</v>
      </c>
      <c r="K413" s="9" t="s">
        <v>1964</v>
      </c>
      <c r="L413" s="9" t="s">
        <v>46</v>
      </c>
      <c r="M413" s="9" t="s">
        <v>23</v>
      </c>
      <c r="N413" s="9" t="s">
        <v>1965</v>
      </c>
      <c r="O413" s="9" t="s">
        <v>80</v>
      </c>
      <c r="P413" s="9">
        <v>91911</v>
      </c>
      <c r="Q413" s="9" t="s">
        <v>37</v>
      </c>
      <c r="R413" s="9" t="s">
        <v>1966</v>
      </c>
      <c r="S413" s="9" t="s">
        <v>39</v>
      </c>
      <c r="T413" s="9" t="s">
        <v>112</v>
      </c>
      <c r="U413" s="9" t="s">
        <v>1967</v>
      </c>
      <c r="V413" s="11">
        <v>665.88</v>
      </c>
      <c r="W413" s="9" t="str">
        <f t="shared" si="34"/>
        <v>Slow Delivery</v>
      </c>
    </row>
    <row r="414" spans="1:23" x14ac:dyDescent="0.25">
      <c r="A414" s="9">
        <v>9565</v>
      </c>
      <c r="B414" s="10" t="s">
        <v>1748</v>
      </c>
      <c r="C414" s="10">
        <v>42522</v>
      </c>
      <c r="D414" s="10">
        <v>42529</v>
      </c>
      <c r="E414" s="9">
        <f t="shared" si="31"/>
        <v>2016</v>
      </c>
      <c r="F414" s="10" t="str">
        <f t="shared" si="32"/>
        <v>Jun</v>
      </c>
      <c r="G414" s="9">
        <f t="shared" si="33"/>
        <v>6</v>
      </c>
      <c r="H414" s="9">
        <f t="shared" si="30"/>
        <v>7</v>
      </c>
      <c r="I414" s="9" t="s">
        <v>43</v>
      </c>
      <c r="J414" s="9" t="s">
        <v>1749</v>
      </c>
      <c r="K414" s="9" t="s">
        <v>1750</v>
      </c>
      <c r="L414" s="9" t="s">
        <v>46</v>
      </c>
      <c r="M414" s="9" t="s">
        <v>23</v>
      </c>
      <c r="N414" s="9" t="s">
        <v>213</v>
      </c>
      <c r="O414" s="9" t="s">
        <v>80</v>
      </c>
      <c r="P414" s="9">
        <v>90045</v>
      </c>
      <c r="Q414" s="9" t="s">
        <v>37</v>
      </c>
      <c r="R414" s="9" t="s">
        <v>383</v>
      </c>
      <c r="S414" s="9" t="s">
        <v>66</v>
      </c>
      <c r="T414" s="9" t="s">
        <v>201</v>
      </c>
      <c r="U414" s="9" t="s">
        <v>384</v>
      </c>
      <c r="V414" s="11">
        <v>11.76</v>
      </c>
      <c r="W414" s="9" t="str">
        <f t="shared" si="34"/>
        <v>Slow Delivery</v>
      </c>
    </row>
    <row r="415" spans="1:23" x14ac:dyDescent="0.25">
      <c r="A415" s="9">
        <v>1287</v>
      </c>
      <c r="B415" s="10" t="s">
        <v>2047</v>
      </c>
      <c r="C415" s="10">
        <v>42555</v>
      </c>
      <c r="D415" s="10">
        <v>42559</v>
      </c>
      <c r="E415" s="9">
        <f t="shared" si="31"/>
        <v>2016</v>
      </c>
      <c r="F415" s="10" t="str">
        <f t="shared" si="32"/>
        <v>Jul</v>
      </c>
      <c r="G415" s="9">
        <f t="shared" si="33"/>
        <v>7</v>
      </c>
      <c r="H415" s="9">
        <f t="shared" si="30"/>
        <v>4</v>
      </c>
      <c r="I415" s="9" t="s">
        <v>43</v>
      </c>
      <c r="J415" s="9" t="s">
        <v>2048</v>
      </c>
      <c r="K415" s="9" t="s">
        <v>2049</v>
      </c>
      <c r="L415" s="9" t="s">
        <v>46</v>
      </c>
      <c r="M415" s="9" t="s">
        <v>23</v>
      </c>
      <c r="N415" s="9" t="s">
        <v>47</v>
      </c>
      <c r="O415" s="9" t="s">
        <v>48</v>
      </c>
      <c r="P415" s="9">
        <v>10035</v>
      </c>
      <c r="Q415" s="9" t="s">
        <v>49</v>
      </c>
      <c r="R415" s="9" t="s">
        <v>2050</v>
      </c>
      <c r="S415" s="9" t="s">
        <v>66</v>
      </c>
      <c r="T415" s="9" t="s">
        <v>158</v>
      </c>
      <c r="U415" s="9" t="s">
        <v>2051</v>
      </c>
      <c r="V415" s="11">
        <v>15.48</v>
      </c>
      <c r="W415" s="9" t="str">
        <f t="shared" si="34"/>
        <v>Slow Delivery</v>
      </c>
    </row>
    <row r="416" spans="1:23" x14ac:dyDescent="0.25">
      <c r="A416" s="9">
        <v>7919</v>
      </c>
      <c r="B416" s="10" t="s">
        <v>2052</v>
      </c>
      <c r="C416" s="10">
        <v>42555</v>
      </c>
      <c r="D416" s="10">
        <v>42559</v>
      </c>
      <c r="E416" s="9">
        <f t="shared" si="31"/>
        <v>2016</v>
      </c>
      <c r="F416" s="10" t="str">
        <f t="shared" si="32"/>
        <v>Jul</v>
      </c>
      <c r="G416" s="9">
        <f t="shared" si="33"/>
        <v>7</v>
      </c>
      <c r="H416" s="9">
        <f t="shared" si="30"/>
        <v>4</v>
      </c>
      <c r="I416" s="9" t="s">
        <v>32</v>
      </c>
      <c r="J416" s="9" t="s">
        <v>2053</v>
      </c>
      <c r="K416" s="9" t="s">
        <v>2054</v>
      </c>
      <c r="L416" s="9" t="s">
        <v>46</v>
      </c>
      <c r="M416" s="9" t="s">
        <v>23</v>
      </c>
      <c r="N416" s="9" t="s">
        <v>268</v>
      </c>
      <c r="O416" s="9" t="s">
        <v>80</v>
      </c>
      <c r="P416" s="9">
        <v>92024</v>
      </c>
      <c r="Q416" s="9" t="s">
        <v>37</v>
      </c>
      <c r="R416" s="9" t="s">
        <v>2055</v>
      </c>
      <c r="S416" s="9" t="s">
        <v>66</v>
      </c>
      <c r="T416" s="9" t="s">
        <v>103</v>
      </c>
      <c r="U416" s="9" t="s">
        <v>2056</v>
      </c>
      <c r="V416" s="11">
        <v>22.847999999999999</v>
      </c>
      <c r="W416" s="9" t="str">
        <f t="shared" si="34"/>
        <v>Slow Delivery</v>
      </c>
    </row>
    <row r="417" spans="1:23" x14ac:dyDescent="0.25">
      <c r="A417" s="9">
        <v>4192</v>
      </c>
      <c r="B417" s="10" t="s">
        <v>2380</v>
      </c>
      <c r="C417" s="10">
        <v>42559</v>
      </c>
      <c r="D417" s="10">
        <v>42559</v>
      </c>
      <c r="E417" s="9">
        <f t="shared" si="31"/>
        <v>2016</v>
      </c>
      <c r="F417" s="10" t="str">
        <f t="shared" si="32"/>
        <v>Jul</v>
      </c>
      <c r="G417" s="9">
        <f t="shared" si="33"/>
        <v>7</v>
      </c>
      <c r="H417" s="9">
        <f t="shared" si="30"/>
        <v>0</v>
      </c>
      <c r="I417" s="9" t="s">
        <v>302</v>
      </c>
      <c r="J417" s="9" t="s">
        <v>2381</v>
      </c>
      <c r="K417" s="9" t="s">
        <v>2382</v>
      </c>
      <c r="L417" s="9" t="s">
        <v>22</v>
      </c>
      <c r="M417" s="9" t="s">
        <v>23</v>
      </c>
      <c r="N417" s="9" t="s">
        <v>72</v>
      </c>
      <c r="O417" s="9" t="s">
        <v>64</v>
      </c>
      <c r="P417" s="9">
        <v>77070</v>
      </c>
      <c r="Q417" s="9" t="s">
        <v>26</v>
      </c>
      <c r="R417" s="9" t="s">
        <v>287</v>
      </c>
      <c r="S417" s="9" t="s">
        <v>66</v>
      </c>
      <c r="T417" s="9" t="s">
        <v>201</v>
      </c>
      <c r="U417" s="9" t="s">
        <v>288</v>
      </c>
      <c r="V417" s="11">
        <v>21.12</v>
      </c>
      <c r="W417" s="9" t="str">
        <f t="shared" si="34"/>
        <v>Fast Delivery</v>
      </c>
    </row>
    <row r="418" spans="1:23" x14ac:dyDescent="0.25">
      <c r="A418" s="9">
        <v>5155</v>
      </c>
      <c r="B418" s="10" t="s">
        <v>2304</v>
      </c>
      <c r="C418" s="10">
        <v>42589</v>
      </c>
      <c r="D418" s="10">
        <v>42590</v>
      </c>
      <c r="E418" s="9">
        <f t="shared" si="31"/>
        <v>2016</v>
      </c>
      <c r="F418" s="10" t="str">
        <f t="shared" si="32"/>
        <v>Aug</v>
      </c>
      <c r="G418" s="9">
        <f t="shared" si="33"/>
        <v>8</v>
      </c>
      <c r="H418" s="9">
        <f t="shared" si="30"/>
        <v>1</v>
      </c>
      <c r="I418" s="9" t="s">
        <v>19</v>
      </c>
      <c r="J418" s="9" t="s">
        <v>2305</v>
      </c>
      <c r="K418" s="9" t="s">
        <v>2306</v>
      </c>
      <c r="L418" s="9" t="s">
        <v>22</v>
      </c>
      <c r="M418" s="9" t="s">
        <v>23</v>
      </c>
      <c r="N418" s="9" t="s">
        <v>2307</v>
      </c>
      <c r="O418" s="9" t="s">
        <v>336</v>
      </c>
      <c r="P418" s="9">
        <v>63122</v>
      </c>
      <c r="Q418" s="9" t="s">
        <v>26</v>
      </c>
      <c r="R418" s="9" t="s">
        <v>2308</v>
      </c>
      <c r="S418" s="9" t="s">
        <v>66</v>
      </c>
      <c r="T418" s="9" t="s">
        <v>103</v>
      </c>
      <c r="U418" s="9" t="s">
        <v>2309</v>
      </c>
      <c r="V418" s="11">
        <v>28.4</v>
      </c>
      <c r="W418" s="9" t="str">
        <f t="shared" si="34"/>
        <v>Fast Delivery</v>
      </c>
    </row>
    <row r="419" spans="1:23" x14ac:dyDescent="0.25">
      <c r="A419" s="9">
        <v>2816</v>
      </c>
      <c r="B419" s="10" t="s">
        <v>1755</v>
      </c>
      <c r="C419" s="10">
        <v>42614</v>
      </c>
      <c r="D419" s="10">
        <v>42621</v>
      </c>
      <c r="E419" s="9">
        <f t="shared" si="31"/>
        <v>2016</v>
      </c>
      <c r="F419" s="10" t="str">
        <f t="shared" si="32"/>
        <v>Sep</v>
      </c>
      <c r="G419" s="9">
        <f t="shared" si="33"/>
        <v>9</v>
      </c>
      <c r="H419" s="9">
        <f t="shared" si="30"/>
        <v>7</v>
      </c>
      <c r="I419" s="9" t="s">
        <v>43</v>
      </c>
      <c r="J419" s="9" t="s">
        <v>1756</v>
      </c>
      <c r="K419" s="9" t="s">
        <v>1757</v>
      </c>
      <c r="L419" s="9" t="s">
        <v>46</v>
      </c>
      <c r="M419" s="9" t="s">
        <v>23</v>
      </c>
      <c r="N419" s="9" t="s">
        <v>1758</v>
      </c>
      <c r="O419" s="9" t="s">
        <v>89</v>
      </c>
      <c r="P419" s="9">
        <v>2038</v>
      </c>
      <c r="Q419" s="9" t="s">
        <v>49</v>
      </c>
      <c r="R419" s="9" t="s">
        <v>1759</v>
      </c>
      <c r="S419" s="9" t="s">
        <v>66</v>
      </c>
      <c r="T419" s="9" t="s">
        <v>103</v>
      </c>
      <c r="U419" s="9" t="s">
        <v>1760</v>
      </c>
      <c r="V419" s="11">
        <v>114.6</v>
      </c>
      <c r="W419" s="9" t="str">
        <f t="shared" si="34"/>
        <v>Slow Delivery</v>
      </c>
    </row>
    <row r="420" spans="1:23" x14ac:dyDescent="0.25">
      <c r="A420" s="9">
        <v>84</v>
      </c>
      <c r="B420" s="10" t="s">
        <v>1978</v>
      </c>
      <c r="C420" s="10">
        <v>42616</v>
      </c>
      <c r="D420" s="10">
        <v>42621</v>
      </c>
      <c r="E420" s="9">
        <f t="shared" si="31"/>
        <v>2016</v>
      </c>
      <c r="F420" s="10" t="str">
        <f t="shared" si="32"/>
        <v>Sep</v>
      </c>
      <c r="G420" s="9">
        <f t="shared" si="33"/>
        <v>9</v>
      </c>
      <c r="H420" s="9">
        <f t="shared" si="30"/>
        <v>5</v>
      </c>
      <c r="I420" s="9" t="s">
        <v>43</v>
      </c>
      <c r="J420" s="9" t="s">
        <v>1979</v>
      </c>
      <c r="K420" s="9" t="s">
        <v>1980</v>
      </c>
      <c r="L420" s="9" t="s">
        <v>87</v>
      </c>
      <c r="M420" s="9" t="s">
        <v>23</v>
      </c>
      <c r="N420" s="9" t="s">
        <v>545</v>
      </c>
      <c r="O420" s="9" t="s">
        <v>137</v>
      </c>
      <c r="P420" s="9">
        <v>27707</v>
      </c>
      <c r="Q420" s="9" t="s">
        <v>110</v>
      </c>
      <c r="R420" s="9" t="s">
        <v>1981</v>
      </c>
      <c r="S420" s="9" t="s">
        <v>66</v>
      </c>
      <c r="T420" s="9" t="s">
        <v>280</v>
      </c>
      <c r="U420" s="9" t="s">
        <v>1982</v>
      </c>
      <c r="V420" s="11">
        <v>200.98400000000001</v>
      </c>
      <c r="W420" s="9" t="str">
        <f t="shared" si="34"/>
        <v>Slow Delivery</v>
      </c>
    </row>
    <row r="421" spans="1:23" x14ac:dyDescent="0.25">
      <c r="A421" s="9">
        <v>1118</v>
      </c>
      <c r="B421" s="10" t="s">
        <v>2057</v>
      </c>
      <c r="C421" s="10">
        <v>42617</v>
      </c>
      <c r="D421" s="10">
        <v>42621</v>
      </c>
      <c r="E421" s="9">
        <f t="shared" si="31"/>
        <v>2016</v>
      </c>
      <c r="F421" s="10" t="str">
        <f t="shared" si="32"/>
        <v>Sep</v>
      </c>
      <c r="G421" s="9">
        <f t="shared" si="33"/>
        <v>9</v>
      </c>
      <c r="H421" s="9">
        <f t="shared" si="30"/>
        <v>4</v>
      </c>
      <c r="I421" s="9" t="s">
        <v>43</v>
      </c>
      <c r="J421" s="9" t="s">
        <v>2058</v>
      </c>
      <c r="K421" s="9" t="s">
        <v>2059</v>
      </c>
      <c r="L421" s="9" t="s">
        <v>22</v>
      </c>
      <c r="M421" s="9" t="s">
        <v>23</v>
      </c>
      <c r="N421" s="9" t="s">
        <v>323</v>
      </c>
      <c r="O421" s="9" t="s">
        <v>286</v>
      </c>
      <c r="P421" s="9">
        <v>30076</v>
      </c>
      <c r="Q421" s="9" t="s">
        <v>110</v>
      </c>
      <c r="R421" s="9" t="s">
        <v>1561</v>
      </c>
      <c r="S421" s="9" t="s">
        <v>66</v>
      </c>
      <c r="T421" s="9" t="s">
        <v>201</v>
      </c>
      <c r="U421" s="9" t="s">
        <v>2060</v>
      </c>
      <c r="V421" s="11">
        <v>279.89999999999998</v>
      </c>
      <c r="W421" s="9" t="str">
        <f t="shared" si="34"/>
        <v>Slow Delivery</v>
      </c>
    </row>
    <row r="422" spans="1:23" x14ac:dyDescent="0.25">
      <c r="A422" s="9">
        <v>6257</v>
      </c>
      <c r="B422" s="10" t="s">
        <v>2226</v>
      </c>
      <c r="C422" s="10">
        <v>42619</v>
      </c>
      <c r="D422" s="10">
        <v>42621</v>
      </c>
      <c r="E422" s="9">
        <f t="shared" si="31"/>
        <v>2016</v>
      </c>
      <c r="F422" s="10" t="str">
        <f t="shared" si="32"/>
        <v>Sep</v>
      </c>
      <c r="G422" s="9">
        <f t="shared" si="33"/>
        <v>9</v>
      </c>
      <c r="H422" s="9">
        <f t="shared" si="30"/>
        <v>2</v>
      </c>
      <c r="I422" s="9" t="s">
        <v>32</v>
      </c>
      <c r="J422" s="9" t="s">
        <v>2227</v>
      </c>
      <c r="K422" s="9" t="s">
        <v>2228</v>
      </c>
      <c r="L422" s="9" t="s">
        <v>46</v>
      </c>
      <c r="M422" s="9" t="s">
        <v>23</v>
      </c>
      <c r="N422" s="9" t="s">
        <v>2229</v>
      </c>
      <c r="O422" s="9" t="s">
        <v>130</v>
      </c>
      <c r="P422" s="9">
        <v>33319</v>
      </c>
      <c r="Q422" s="9" t="s">
        <v>110</v>
      </c>
      <c r="R422" s="9" t="s">
        <v>2230</v>
      </c>
      <c r="S422" s="9" t="s">
        <v>66</v>
      </c>
      <c r="T422" s="9" t="s">
        <v>103</v>
      </c>
      <c r="U422" s="9" t="s">
        <v>2231</v>
      </c>
      <c r="V422" s="11">
        <v>3.444</v>
      </c>
      <c r="W422" s="9" t="str">
        <f t="shared" si="34"/>
        <v>Fast Delivery</v>
      </c>
    </row>
    <row r="423" spans="1:23" x14ac:dyDescent="0.25">
      <c r="A423" s="9">
        <v>3220</v>
      </c>
      <c r="B423" s="10" t="s">
        <v>1885</v>
      </c>
      <c r="C423" s="10">
        <v>42645</v>
      </c>
      <c r="D423" s="10">
        <v>42651</v>
      </c>
      <c r="E423" s="9">
        <f t="shared" si="31"/>
        <v>2016</v>
      </c>
      <c r="F423" s="10" t="str">
        <f t="shared" si="32"/>
        <v>Oct</v>
      </c>
      <c r="G423" s="9">
        <f t="shared" si="33"/>
        <v>10</v>
      </c>
      <c r="H423" s="9">
        <f t="shared" si="30"/>
        <v>6</v>
      </c>
      <c r="I423" s="9" t="s">
        <v>43</v>
      </c>
      <c r="J423" s="9" t="s">
        <v>1886</v>
      </c>
      <c r="K423" s="9" t="s">
        <v>1887</v>
      </c>
      <c r="L423" s="9" t="s">
        <v>87</v>
      </c>
      <c r="M423" s="9" t="s">
        <v>23</v>
      </c>
      <c r="N423" s="9" t="s">
        <v>100</v>
      </c>
      <c r="O423" s="9" t="s">
        <v>101</v>
      </c>
      <c r="P423" s="9">
        <v>8701</v>
      </c>
      <c r="Q423" s="9" t="s">
        <v>49</v>
      </c>
      <c r="R423" s="9" t="s">
        <v>1888</v>
      </c>
      <c r="S423" s="9" t="s">
        <v>66</v>
      </c>
      <c r="T423" s="9" t="s">
        <v>201</v>
      </c>
      <c r="U423" s="9" t="s">
        <v>1889</v>
      </c>
      <c r="V423" s="11">
        <v>94.85</v>
      </c>
      <c r="W423" s="9" t="str">
        <f t="shared" si="34"/>
        <v>Slow Delivery</v>
      </c>
    </row>
    <row r="424" spans="1:23" x14ac:dyDescent="0.25">
      <c r="A424" s="9">
        <v>9076</v>
      </c>
      <c r="B424" s="10" t="s">
        <v>2178</v>
      </c>
      <c r="C424" s="10">
        <v>42679</v>
      </c>
      <c r="D424" s="10">
        <v>42682</v>
      </c>
      <c r="E424" s="9">
        <f t="shared" si="31"/>
        <v>2016</v>
      </c>
      <c r="F424" s="10" t="str">
        <f t="shared" si="32"/>
        <v>Nov</v>
      </c>
      <c r="G424" s="9">
        <f t="shared" si="33"/>
        <v>11</v>
      </c>
      <c r="H424" s="9">
        <f t="shared" si="30"/>
        <v>3</v>
      </c>
      <c r="I424" s="9" t="s">
        <v>19</v>
      </c>
      <c r="J424" s="9" t="s">
        <v>2179</v>
      </c>
      <c r="K424" s="9" t="s">
        <v>2180</v>
      </c>
      <c r="L424" s="9" t="s">
        <v>22</v>
      </c>
      <c r="M424" s="9" t="s">
        <v>23</v>
      </c>
      <c r="N424" s="9" t="s">
        <v>100</v>
      </c>
      <c r="O424" s="9" t="s">
        <v>250</v>
      </c>
      <c r="P424" s="9">
        <v>44107</v>
      </c>
      <c r="Q424" s="9" t="s">
        <v>49</v>
      </c>
      <c r="R424" s="9" t="s">
        <v>2181</v>
      </c>
      <c r="S424" s="9" t="s">
        <v>66</v>
      </c>
      <c r="T424" s="9" t="s">
        <v>103</v>
      </c>
      <c r="U424" s="9" t="s">
        <v>2182</v>
      </c>
      <c r="V424" s="11">
        <v>7.218</v>
      </c>
      <c r="W424" s="9" t="str">
        <f t="shared" si="34"/>
        <v>Fast Delivery</v>
      </c>
    </row>
    <row r="425" spans="1:23" x14ac:dyDescent="0.25">
      <c r="A425" s="9">
        <v>3613</v>
      </c>
      <c r="B425" s="10" t="s">
        <v>2009</v>
      </c>
      <c r="C425" s="10">
        <v>42707</v>
      </c>
      <c r="D425" s="10">
        <v>42712</v>
      </c>
      <c r="E425" s="9">
        <f t="shared" si="31"/>
        <v>2016</v>
      </c>
      <c r="F425" s="10" t="str">
        <f t="shared" si="32"/>
        <v>Dec</v>
      </c>
      <c r="G425" s="9">
        <f t="shared" si="33"/>
        <v>12</v>
      </c>
      <c r="H425" s="9">
        <f t="shared" si="30"/>
        <v>5</v>
      </c>
      <c r="I425" s="9" t="s">
        <v>43</v>
      </c>
      <c r="J425" s="9" t="s">
        <v>2010</v>
      </c>
      <c r="K425" s="9" t="s">
        <v>2011</v>
      </c>
      <c r="L425" s="9" t="s">
        <v>46</v>
      </c>
      <c r="M425" s="9" t="s">
        <v>23</v>
      </c>
      <c r="N425" s="9" t="s">
        <v>149</v>
      </c>
      <c r="O425" s="9" t="s">
        <v>150</v>
      </c>
      <c r="P425" s="9">
        <v>19134</v>
      </c>
      <c r="Q425" s="9" t="s">
        <v>49</v>
      </c>
      <c r="R425" s="9" t="s">
        <v>453</v>
      </c>
      <c r="S425" s="9" t="s">
        <v>66</v>
      </c>
      <c r="T425" s="9" t="s">
        <v>201</v>
      </c>
      <c r="U425" s="9" t="s">
        <v>454</v>
      </c>
      <c r="V425" s="11">
        <v>16.448</v>
      </c>
      <c r="W425" s="9" t="str">
        <f t="shared" si="34"/>
        <v>Slow Delivery</v>
      </c>
    </row>
    <row r="426" spans="1:23" x14ac:dyDescent="0.25">
      <c r="A426" s="9">
        <v>2749</v>
      </c>
      <c r="B426" s="10" t="s">
        <v>2071</v>
      </c>
      <c r="C426" s="10">
        <v>42708</v>
      </c>
      <c r="D426" s="10">
        <v>42712</v>
      </c>
      <c r="E426" s="9">
        <f t="shared" si="31"/>
        <v>2016</v>
      </c>
      <c r="F426" s="10" t="str">
        <f t="shared" si="32"/>
        <v>Dec</v>
      </c>
      <c r="G426" s="9">
        <f t="shared" si="33"/>
        <v>12</v>
      </c>
      <c r="H426" s="9">
        <f t="shared" si="30"/>
        <v>4</v>
      </c>
      <c r="I426" s="9" t="s">
        <v>43</v>
      </c>
      <c r="J426" s="9" t="s">
        <v>2072</v>
      </c>
      <c r="K426" s="9" t="s">
        <v>2073</v>
      </c>
      <c r="L426" s="9" t="s">
        <v>22</v>
      </c>
      <c r="M426" s="9" t="s">
        <v>23</v>
      </c>
      <c r="N426" s="9" t="s">
        <v>2074</v>
      </c>
      <c r="O426" s="9" t="s">
        <v>130</v>
      </c>
      <c r="P426" s="9">
        <v>32303</v>
      </c>
      <c r="Q426" s="9" t="s">
        <v>110</v>
      </c>
      <c r="R426" s="9" t="s">
        <v>2075</v>
      </c>
      <c r="S426" s="9" t="s">
        <v>66</v>
      </c>
      <c r="T426" s="9" t="s">
        <v>103</v>
      </c>
      <c r="U426" s="9" t="s">
        <v>2076</v>
      </c>
      <c r="V426" s="11">
        <v>8.2260000000000009</v>
      </c>
      <c r="W426" s="9" t="str">
        <f t="shared" si="34"/>
        <v>Slow Delivery</v>
      </c>
    </row>
    <row r="427" spans="1:23" x14ac:dyDescent="0.25">
      <c r="A427" s="9">
        <v>7311</v>
      </c>
      <c r="B427" s="10" t="s">
        <v>2511</v>
      </c>
      <c r="C427" s="10">
        <v>42592</v>
      </c>
      <c r="D427" s="10">
        <v>42596</v>
      </c>
      <c r="E427" s="9">
        <f t="shared" si="31"/>
        <v>2016</v>
      </c>
      <c r="F427" s="10" t="str">
        <f t="shared" si="32"/>
        <v>Aug</v>
      </c>
      <c r="G427" s="9">
        <f t="shared" si="33"/>
        <v>8</v>
      </c>
      <c r="H427" s="9">
        <f t="shared" si="30"/>
        <v>4</v>
      </c>
      <c r="I427" s="9" t="s">
        <v>43</v>
      </c>
      <c r="J427" s="9" t="s">
        <v>2512</v>
      </c>
      <c r="K427" s="9" t="s">
        <v>2513</v>
      </c>
      <c r="L427" s="9" t="s">
        <v>22</v>
      </c>
      <c r="M427" s="9" t="s">
        <v>23</v>
      </c>
      <c r="N427" s="9" t="s">
        <v>117</v>
      </c>
      <c r="O427" s="9" t="s">
        <v>118</v>
      </c>
      <c r="P427" s="9">
        <v>48227</v>
      </c>
      <c r="Q427" s="9" t="s">
        <v>26</v>
      </c>
      <c r="R427" s="9" t="s">
        <v>2514</v>
      </c>
      <c r="S427" s="9" t="s">
        <v>66</v>
      </c>
      <c r="T427" s="9" t="s">
        <v>103</v>
      </c>
      <c r="U427" s="9" t="s">
        <v>2515</v>
      </c>
      <c r="V427" s="11">
        <v>64.75</v>
      </c>
      <c r="W427" s="9" t="str">
        <f t="shared" si="34"/>
        <v>Slow Delivery</v>
      </c>
    </row>
    <row r="428" spans="1:23" x14ac:dyDescent="0.25">
      <c r="A428" s="9">
        <v>7124</v>
      </c>
      <c r="B428" s="10" t="s">
        <v>2458</v>
      </c>
      <c r="C428" s="10">
        <v>42591</v>
      </c>
      <c r="D428" s="10">
        <v>42598</v>
      </c>
      <c r="E428" s="9">
        <f t="shared" si="31"/>
        <v>2016</v>
      </c>
      <c r="F428" s="10" t="str">
        <f t="shared" si="32"/>
        <v>Aug</v>
      </c>
      <c r="G428" s="9">
        <f t="shared" si="33"/>
        <v>8</v>
      </c>
      <c r="H428" s="9">
        <f t="shared" si="30"/>
        <v>7</v>
      </c>
      <c r="I428" s="9" t="s">
        <v>43</v>
      </c>
      <c r="J428" s="9" t="s">
        <v>2459</v>
      </c>
      <c r="K428" s="9" t="s">
        <v>2460</v>
      </c>
      <c r="L428" s="9" t="s">
        <v>87</v>
      </c>
      <c r="M428" s="9" t="s">
        <v>23</v>
      </c>
      <c r="N428" s="9" t="s">
        <v>47</v>
      </c>
      <c r="O428" s="9" t="s">
        <v>48</v>
      </c>
      <c r="P428" s="9">
        <v>10035</v>
      </c>
      <c r="Q428" s="9" t="s">
        <v>49</v>
      </c>
      <c r="R428" s="9" t="s">
        <v>868</v>
      </c>
      <c r="S428" s="9" t="s">
        <v>39</v>
      </c>
      <c r="T428" s="9" t="s">
        <v>112</v>
      </c>
      <c r="U428" s="9" t="s">
        <v>869</v>
      </c>
      <c r="V428" s="11">
        <v>10.02</v>
      </c>
      <c r="W428" s="9" t="str">
        <f t="shared" si="34"/>
        <v>Slow Delivery</v>
      </c>
    </row>
    <row r="429" spans="1:23" x14ac:dyDescent="0.25">
      <c r="A429" s="9">
        <v>5758</v>
      </c>
      <c r="B429" s="10" t="s">
        <v>2591</v>
      </c>
      <c r="C429" s="10">
        <v>42593</v>
      </c>
      <c r="D429" s="10">
        <v>42598</v>
      </c>
      <c r="E429" s="9">
        <f t="shared" si="31"/>
        <v>2016</v>
      </c>
      <c r="F429" s="10" t="str">
        <f t="shared" si="32"/>
        <v>Aug</v>
      </c>
      <c r="G429" s="9">
        <f t="shared" si="33"/>
        <v>8</v>
      </c>
      <c r="H429" s="9">
        <f t="shared" si="30"/>
        <v>5</v>
      </c>
      <c r="I429" s="9" t="s">
        <v>43</v>
      </c>
      <c r="J429" s="9" t="s">
        <v>2592</v>
      </c>
      <c r="K429" s="9" t="s">
        <v>2593</v>
      </c>
      <c r="L429" s="9" t="s">
        <v>22</v>
      </c>
      <c r="M429" s="9" t="s">
        <v>23</v>
      </c>
      <c r="N429" s="9" t="s">
        <v>1865</v>
      </c>
      <c r="O429" s="9" t="s">
        <v>137</v>
      </c>
      <c r="P429" s="9">
        <v>27604</v>
      </c>
      <c r="Q429" s="9" t="s">
        <v>110</v>
      </c>
      <c r="R429" s="9" t="s">
        <v>1717</v>
      </c>
      <c r="S429" s="9" t="s">
        <v>39</v>
      </c>
      <c r="T429" s="9" t="s">
        <v>112</v>
      </c>
      <c r="U429" s="9" t="s">
        <v>2594</v>
      </c>
      <c r="V429" s="11">
        <v>46.152000000000001</v>
      </c>
      <c r="W429" s="9" t="str">
        <f t="shared" si="34"/>
        <v>Slow Delivery</v>
      </c>
    </row>
    <row r="430" spans="1:23" x14ac:dyDescent="0.25">
      <c r="A430" s="9">
        <v>5647</v>
      </c>
      <c r="B430" s="10" t="s">
        <v>2022</v>
      </c>
      <c r="C430" s="10">
        <v>42373</v>
      </c>
      <c r="D430" s="10">
        <v>42378</v>
      </c>
      <c r="E430" s="9">
        <f t="shared" si="31"/>
        <v>2016</v>
      </c>
      <c r="F430" s="10" t="str">
        <f t="shared" si="32"/>
        <v>Jan</v>
      </c>
      <c r="G430" s="9">
        <f t="shared" si="33"/>
        <v>1</v>
      </c>
      <c r="H430" s="9">
        <f t="shared" si="30"/>
        <v>5</v>
      </c>
      <c r="I430" s="9" t="s">
        <v>43</v>
      </c>
      <c r="J430" s="9" t="s">
        <v>2023</v>
      </c>
      <c r="K430" s="9" t="s">
        <v>2024</v>
      </c>
      <c r="L430" s="9" t="s">
        <v>87</v>
      </c>
      <c r="M430" s="9" t="s">
        <v>23</v>
      </c>
      <c r="N430" s="9" t="s">
        <v>761</v>
      </c>
      <c r="O430" s="9" t="s">
        <v>298</v>
      </c>
      <c r="P430" s="9">
        <v>22304</v>
      </c>
      <c r="Q430" s="9" t="s">
        <v>110</v>
      </c>
      <c r="R430" s="9" t="s">
        <v>657</v>
      </c>
      <c r="S430" s="9" t="s">
        <v>39</v>
      </c>
      <c r="T430" s="9" t="s">
        <v>112</v>
      </c>
      <c r="U430" s="9" t="s">
        <v>658</v>
      </c>
      <c r="V430" s="11">
        <v>192.22</v>
      </c>
      <c r="W430" s="9" t="str">
        <f t="shared" si="34"/>
        <v>Slow Delivery</v>
      </c>
    </row>
    <row r="431" spans="1:23" x14ac:dyDescent="0.25">
      <c r="A431" s="9">
        <v>2284</v>
      </c>
      <c r="B431" s="10" t="s">
        <v>2102</v>
      </c>
      <c r="C431" s="10">
        <v>42434</v>
      </c>
      <c r="D431" s="10">
        <v>42438</v>
      </c>
      <c r="E431" s="9">
        <f t="shared" si="31"/>
        <v>2016</v>
      </c>
      <c r="F431" s="10" t="str">
        <f t="shared" si="32"/>
        <v>Mar</v>
      </c>
      <c r="G431" s="9">
        <f t="shared" si="33"/>
        <v>3</v>
      </c>
      <c r="H431" s="9">
        <f t="shared" si="30"/>
        <v>4</v>
      </c>
      <c r="I431" s="9" t="s">
        <v>43</v>
      </c>
      <c r="J431" s="9" t="s">
        <v>2103</v>
      </c>
      <c r="K431" s="9" t="s">
        <v>2104</v>
      </c>
      <c r="L431" s="9" t="s">
        <v>22</v>
      </c>
      <c r="M431" s="9" t="s">
        <v>23</v>
      </c>
      <c r="N431" s="9" t="s">
        <v>2105</v>
      </c>
      <c r="O431" s="9" t="s">
        <v>1825</v>
      </c>
      <c r="P431" s="9">
        <v>47362</v>
      </c>
      <c r="Q431" s="9" t="s">
        <v>26</v>
      </c>
      <c r="R431" s="9" t="s">
        <v>2106</v>
      </c>
      <c r="S431" s="9" t="s">
        <v>28</v>
      </c>
      <c r="T431" s="9" t="s">
        <v>51</v>
      </c>
      <c r="U431" s="9" t="s">
        <v>2107</v>
      </c>
      <c r="V431" s="11">
        <v>23.92</v>
      </c>
      <c r="W431" s="9" t="str">
        <f t="shared" si="34"/>
        <v>Slow Delivery</v>
      </c>
    </row>
    <row r="432" spans="1:23" x14ac:dyDescent="0.25">
      <c r="A432" s="9">
        <v>5329</v>
      </c>
      <c r="B432" s="10" t="s">
        <v>2112</v>
      </c>
      <c r="C432" s="10">
        <v>42434</v>
      </c>
      <c r="D432" s="10">
        <v>42438</v>
      </c>
      <c r="E432" s="9">
        <f t="shared" si="31"/>
        <v>2016</v>
      </c>
      <c r="F432" s="10" t="str">
        <f t="shared" si="32"/>
        <v>Mar</v>
      </c>
      <c r="G432" s="9">
        <f t="shared" si="33"/>
        <v>3</v>
      </c>
      <c r="H432" s="9">
        <f t="shared" si="30"/>
        <v>4</v>
      </c>
      <c r="I432" s="9" t="s">
        <v>43</v>
      </c>
      <c r="J432" s="9" t="s">
        <v>2113</v>
      </c>
      <c r="K432" s="9" t="s">
        <v>2114</v>
      </c>
      <c r="L432" s="9" t="s">
        <v>22</v>
      </c>
      <c r="M432" s="9" t="s">
        <v>23</v>
      </c>
      <c r="N432" s="9" t="s">
        <v>72</v>
      </c>
      <c r="O432" s="9" t="s">
        <v>64</v>
      </c>
      <c r="P432" s="9">
        <v>77036</v>
      </c>
      <c r="Q432" s="9" t="s">
        <v>26</v>
      </c>
      <c r="R432" s="9" t="s">
        <v>2115</v>
      </c>
      <c r="S432" s="9" t="s">
        <v>28</v>
      </c>
      <c r="T432" s="9" t="s">
        <v>51</v>
      </c>
      <c r="U432" s="9" t="s">
        <v>2116</v>
      </c>
      <c r="V432" s="11">
        <v>31.92</v>
      </c>
      <c r="W432" s="9" t="str">
        <f t="shared" si="34"/>
        <v>Slow Delivery</v>
      </c>
    </row>
    <row r="433" spans="1:23" x14ac:dyDescent="0.25">
      <c r="A433" s="9">
        <v>5781</v>
      </c>
      <c r="B433" s="10" t="s">
        <v>1836</v>
      </c>
      <c r="C433" s="10">
        <v>42462</v>
      </c>
      <c r="D433" s="10">
        <v>42469</v>
      </c>
      <c r="E433" s="9">
        <f t="shared" si="31"/>
        <v>2016</v>
      </c>
      <c r="F433" s="10" t="str">
        <f t="shared" si="32"/>
        <v>Apr</v>
      </c>
      <c r="G433" s="9">
        <f t="shared" si="33"/>
        <v>4</v>
      </c>
      <c r="H433" s="9">
        <f t="shared" si="30"/>
        <v>7</v>
      </c>
      <c r="I433" s="9" t="s">
        <v>43</v>
      </c>
      <c r="J433" s="9" t="s">
        <v>1837</v>
      </c>
      <c r="K433" s="9" t="s">
        <v>1838</v>
      </c>
      <c r="L433" s="9" t="s">
        <v>22</v>
      </c>
      <c r="M433" s="9" t="s">
        <v>23</v>
      </c>
      <c r="N433" s="9" t="s">
        <v>213</v>
      </c>
      <c r="O433" s="9" t="s">
        <v>80</v>
      </c>
      <c r="P433" s="9">
        <v>90049</v>
      </c>
      <c r="Q433" s="9" t="s">
        <v>37</v>
      </c>
      <c r="R433" s="9" t="s">
        <v>1839</v>
      </c>
      <c r="S433" s="9" t="s">
        <v>28</v>
      </c>
      <c r="T433" s="9" t="s">
        <v>364</v>
      </c>
      <c r="U433" s="9" t="s">
        <v>1840</v>
      </c>
      <c r="V433" s="11">
        <v>71.975999999999999</v>
      </c>
      <c r="W433" s="9" t="str">
        <f t="shared" si="34"/>
        <v>Slow Delivery</v>
      </c>
    </row>
    <row r="434" spans="1:23" x14ac:dyDescent="0.25">
      <c r="A434" s="9">
        <v>5876</v>
      </c>
      <c r="B434" s="10" t="s">
        <v>2276</v>
      </c>
      <c r="C434" s="10">
        <v>42467</v>
      </c>
      <c r="D434" s="10">
        <v>42469</v>
      </c>
      <c r="E434" s="9">
        <f t="shared" si="31"/>
        <v>2016</v>
      </c>
      <c r="F434" s="10" t="str">
        <f t="shared" si="32"/>
        <v>Apr</v>
      </c>
      <c r="G434" s="9">
        <f t="shared" si="33"/>
        <v>4</v>
      </c>
      <c r="H434" s="9">
        <f t="shared" si="30"/>
        <v>2</v>
      </c>
      <c r="I434" s="9" t="s">
        <v>19</v>
      </c>
      <c r="J434" s="9" t="s">
        <v>2277</v>
      </c>
      <c r="K434" s="9" t="s">
        <v>2278</v>
      </c>
      <c r="L434" s="9" t="s">
        <v>46</v>
      </c>
      <c r="M434" s="9" t="s">
        <v>23</v>
      </c>
      <c r="N434" s="9" t="s">
        <v>149</v>
      </c>
      <c r="O434" s="9" t="s">
        <v>150</v>
      </c>
      <c r="P434" s="9">
        <v>19140</v>
      </c>
      <c r="Q434" s="9" t="s">
        <v>49</v>
      </c>
      <c r="R434" s="9" t="s">
        <v>2279</v>
      </c>
      <c r="S434" s="9" t="s">
        <v>66</v>
      </c>
      <c r="T434" s="9" t="s">
        <v>158</v>
      </c>
      <c r="U434" s="9" t="s">
        <v>2280</v>
      </c>
      <c r="V434" s="11">
        <v>11.736000000000001</v>
      </c>
      <c r="W434" s="9" t="str">
        <f t="shared" si="34"/>
        <v>Fast Delivery</v>
      </c>
    </row>
    <row r="435" spans="1:23" x14ac:dyDescent="0.25">
      <c r="A435" s="9">
        <v>305</v>
      </c>
      <c r="B435" s="10" t="s">
        <v>2025</v>
      </c>
      <c r="C435" s="10">
        <v>42494</v>
      </c>
      <c r="D435" s="10">
        <v>42499</v>
      </c>
      <c r="E435" s="9">
        <f t="shared" si="31"/>
        <v>2016</v>
      </c>
      <c r="F435" s="10" t="str">
        <f t="shared" si="32"/>
        <v>May</v>
      </c>
      <c r="G435" s="9">
        <f t="shared" si="33"/>
        <v>5</v>
      </c>
      <c r="H435" s="9">
        <f t="shared" si="30"/>
        <v>5</v>
      </c>
      <c r="I435" s="9" t="s">
        <v>32</v>
      </c>
      <c r="J435" s="9" t="s">
        <v>2026</v>
      </c>
      <c r="K435" s="9" t="s">
        <v>2027</v>
      </c>
      <c r="L435" s="9" t="s">
        <v>87</v>
      </c>
      <c r="M435" s="9" t="s">
        <v>23</v>
      </c>
      <c r="N435" s="9" t="s">
        <v>47</v>
      </c>
      <c r="O435" s="9" t="s">
        <v>48</v>
      </c>
      <c r="P435" s="9">
        <v>10024</v>
      </c>
      <c r="Q435" s="9" t="s">
        <v>49</v>
      </c>
      <c r="R435" s="9" t="s">
        <v>2028</v>
      </c>
      <c r="S435" s="9" t="s">
        <v>39</v>
      </c>
      <c r="T435" s="9" t="s">
        <v>112</v>
      </c>
      <c r="U435" s="9" t="s">
        <v>2029</v>
      </c>
      <c r="V435" s="11">
        <v>26.8</v>
      </c>
      <c r="W435" s="9" t="str">
        <f t="shared" si="34"/>
        <v>Slow Delivery</v>
      </c>
    </row>
    <row r="436" spans="1:23" x14ac:dyDescent="0.25">
      <c r="A436" s="9">
        <v>7250</v>
      </c>
      <c r="B436" s="10" t="s">
        <v>2037</v>
      </c>
      <c r="C436" s="10">
        <v>42525</v>
      </c>
      <c r="D436" s="10">
        <v>42530</v>
      </c>
      <c r="E436" s="9">
        <f t="shared" si="31"/>
        <v>2016</v>
      </c>
      <c r="F436" s="10" t="str">
        <f t="shared" si="32"/>
        <v>Jun</v>
      </c>
      <c r="G436" s="9">
        <f t="shared" si="33"/>
        <v>6</v>
      </c>
      <c r="H436" s="9">
        <f t="shared" si="30"/>
        <v>5</v>
      </c>
      <c r="I436" s="9" t="s">
        <v>32</v>
      </c>
      <c r="J436" s="9" t="s">
        <v>2038</v>
      </c>
      <c r="K436" s="9" t="s">
        <v>2039</v>
      </c>
      <c r="L436" s="9" t="s">
        <v>22</v>
      </c>
      <c r="M436" s="9" t="s">
        <v>23</v>
      </c>
      <c r="N436" s="9" t="s">
        <v>213</v>
      </c>
      <c r="O436" s="9" t="s">
        <v>80</v>
      </c>
      <c r="P436" s="9">
        <v>90008</v>
      </c>
      <c r="Q436" s="9" t="s">
        <v>37</v>
      </c>
      <c r="R436" s="9" t="s">
        <v>2040</v>
      </c>
      <c r="S436" s="9" t="s">
        <v>28</v>
      </c>
      <c r="T436" s="9" t="s">
        <v>29</v>
      </c>
      <c r="U436" s="9" t="s">
        <v>2041</v>
      </c>
      <c r="V436" s="11">
        <v>119.98</v>
      </c>
      <c r="W436" s="9" t="str">
        <f t="shared" si="34"/>
        <v>Slow Delivery</v>
      </c>
    </row>
    <row r="437" spans="1:23" x14ac:dyDescent="0.25">
      <c r="A437" s="9">
        <v>8829</v>
      </c>
      <c r="B437" s="10" t="s">
        <v>2138</v>
      </c>
      <c r="C437" s="10">
        <v>42526</v>
      </c>
      <c r="D437" s="10">
        <v>42530</v>
      </c>
      <c r="E437" s="9">
        <f t="shared" si="31"/>
        <v>2016</v>
      </c>
      <c r="F437" s="10" t="str">
        <f t="shared" si="32"/>
        <v>Jun</v>
      </c>
      <c r="G437" s="9">
        <f t="shared" si="33"/>
        <v>6</v>
      </c>
      <c r="H437" s="9">
        <f t="shared" si="30"/>
        <v>4</v>
      </c>
      <c r="I437" s="9" t="s">
        <v>43</v>
      </c>
      <c r="J437" s="9" t="s">
        <v>2139</v>
      </c>
      <c r="K437" s="9" t="s">
        <v>2140</v>
      </c>
      <c r="L437" s="9" t="s">
        <v>87</v>
      </c>
      <c r="M437" s="9" t="s">
        <v>23</v>
      </c>
      <c r="N437" s="9" t="s">
        <v>2141</v>
      </c>
      <c r="O437" s="9" t="s">
        <v>336</v>
      </c>
      <c r="P437" s="9">
        <v>63301</v>
      </c>
      <c r="Q437" s="9" t="s">
        <v>26</v>
      </c>
      <c r="R437" s="9" t="s">
        <v>2142</v>
      </c>
      <c r="S437" s="9" t="s">
        <v>66</v>
      </c>
      <c r="T437" s="9" t="s">
        <v>201</v>
      </c>
      <c r="U437" s="9" t="s">
        <v>2143</v>
      </c>
      <c r="V437" s="11">
        <v>10.56</v>
      </c>
      <c r="W437" s="9" t="str">
        <f t="shared" si="34"/>
        <v>Slow Delivery</v>
      </c>
    </row>
    <row r="438" spans="1:23" x14ac:dyDescent="0.25">
      <c r="A438" s="9">
        <v>2412</v>
      </c>
      <c r="B438" s="10" t="s">
        <v>2287</v>
      </c>
      <c r="C438" s="10">
        <v>42528</v>
      </c>
      <c r="D438" s="10">
        <v>42530</v>
      </c>
      <c r="E438" s="9">
        <f t="shared" si="31"/>
        <v>2016</v>
      </c>
      <c r="F438" s="10" t="str">
        <f t="shared" si="32"/>
        <v>Jun</v>
      </c>
      <c r="G438" s="9">
        <f t="shared" si="33"/>
        <v>6</v>
      </c>
      <c r="H438" s="9">
        <f t="shared" si="30"/>
        <v>2</v>
      </c>
      <c r="I438" s="9" t="s">
        <v>32</v>
      </c>
      <c r="J438" s="9" t="s">
        <v>2288</v>
      </c>
      <c r="K438" s="9" t="s">
        <v>2289</v>
      </c>
      <c r="L438" s="9" t="s">
        <v>87</v>
      </c>
      <c r="M438" s="9" t="s">
        <v>23</v>
      </c>
      <c r="N438" s="9" t="s">
        <v>213</v>
      </c>
      <c r="O438" s="9" t="s">
        <v>80</v>
      </c>
      <c r="P438" s="9">
        <v>90036</v>
      </c>
      <c r="Q438" s="9" t="s">
        <v>37</v>
      </c>
      <c r="R438" s="9" t="s">
        <v>2290</v>
      </c>
      <c r="S438" s="9" t="s">
        <v>66</v>
      </c>
      <c r="T438" s="9" t="s">
        <v>103</v>
      </c>
      <c r="U438" s="9" t="s">
        <v>2291</v>
      </c>
      <c r="V438" s="11">
        <v>7.52</v>
      </c>
      <c r="W438" s="9" t="str">
        <f t="shared" si="34"/>
        <v>Fast Delivery</v>
      </c>
    </row>
    <row r="439" spans="1:23" x14ac:dyDescent="0.25">
      <c r="A439" s="9">
        <v>4132</v>
      </c>
      <c r="B439" s="10" t="s">
        <v>1857</v>
      </c>
      <c r="C439" s="10">
        <v>42553</v>
      </c>
      <c r="D439" s="10">
        <v>42560</v>
      </c>
      <c r="E439" s="9">
        <f t="shared" si="31"/>
        <v>2016</v>
      </c>
      <c r="F439" s="10" t="str">
        <f t="shared" si="32"/>
        <v>Jul</v>
      </c>
      <c r="G439" s="9">
        <f t="shared" si="33"/>
        <v>7</v>
      </c>
      <c r="H439" s="9">
        <f t="shared" si="30"/>
        <v>7</v>
      </c>
      <c r="I439" s="9" t="s">
        <v>43</v>
      </c>
      <c r="J439" s="9" t="s">
        <v>1858</v>
      </c>
      <c r="K439" s="9" t="s">
        <v>1859</v>
      </c>
      <c r="L439" s="9" t="s">
        <v>22</v>
      </c>
      <c r="M439" s="9" t="s">
        <v>23</v>
      </c>
      <c r="N439" s="9" t="s">
        <v>1860</v>
      </c>
      <c r="O439" s="9" t="s">
        <v>130</v>
      </c>
      <c r="P439" s="9">
        <v>33021</v>
      </c>
      <c r="Q439" s="9" t="s">
        <v>110</v>
      </c>
      <c r="R439" s="9" t="s">
        <v>1861</v>
      </c>
      <c r="S439" s="9" t="s">
        <v>66</v>
      </c>
      <c r="T439" s="9" t="s">
        <v>201</v>
      </c>
      <c r="U439" s="9" t="s">
        <v>673</v>
      </c>
      <c r="V439" s="11">
        <v>11.952</v>
      </c>
      <c r="W439" s="9" t="str">
        <f t="shared" si="34"/>
        <v>Slow Delivery</v>
      </c>
    </row>
    <row r="440" spans="1:23" x14ac:dyDescent="0.25">
      <c r="A440" s="9">
        <v>587</v>
      </c>
      <c r="B440" s="10" t="s">
        <v>1973</v>
      </c>
      <c r="C440" s="10">
        <v>42554</v>
      </c>
      <c r="D440" s="10">
        <v>42560</v>
      </c>
      <c r="E440" s="9">
        <f t="shared" si="31"/>
        <v>2016</v>
      </c>
      <c r="F440" s="10" t="str">
        <f t="shared" si="32"/>
        <v>Jul</v>
      </c>
      <c r="G440" s="9">
        <f t="shared" si="33"/>
        <v>7</v>
      </c>
      <c r="H440" s="9">
        <f t="shared" si="30"/>
        <v>6</v>
      </c>
      <c r="I440" s="9" t="s">
        <v>43</v>
      </c>
      <c r="J440" s="9" t="s">
        <v>1974</v>
      </c>
      <c r="K440" s="9" t="s">
        <v>1975</v>
      </c>
      <c r="L440" s="9" t="s">
        <v>22</v>
      </c>
      <c r="M440" s="9" t="s">
        <v>23</v>
      </c>
      <c r="N440" s="9" t="s">
        <v>206</v>
      </c>
      <c r="O440" s="9" t="s">
        <v>207</v>
      </c>
      <c r="P440" s="9">
        <v>40475</v>
      </c>
      <c r="Q440" s="9" t="s">
        <v>110</v>
      </c>
      <c r="R440" s="9" t="s">
        <v>1976</v>
      </c>
      <c r="S440" s="9" t="s">
        <v>39</v>
      </c>
      <c r="T440" s="9" t="s">
        <v>40</v>
      </c>
      <c r="U440" s="9" t="s">
        <v>1977</v>
      </c>
      <c r="V440" s="11">
        <v>70.98</v>
      </c>
      <c r="W440" s="9" t="str">
        <f t="shared" si="34"/>
        <v>Slow Delivery</v>
      </c>
    </row>
    <row r="441" spans="1:23" x14ac:dyDescent="0.25">
      <c r="A441" s="9">
        <v>1253</v>
      </c>
      <c r="B441" s="10" t="s">
        <v>2042</v>
      </c>
      <c r="C441" s="10">
        <v>42555</v>
      </c>
      <c r="D441" s="10">
        <v>42560</v>
      </c>
      <c r="E441" s="9">
        <f t="shared" si="31"/>
        <v>2016</v>
      </c>
      <c r="F441" s="10" t="str">
        <f t="shared" si="32"/>
        <v>Jul</v>
      </c>
      <c r="G441" s="9">
        <f t="shared" si="33"/>
        <v>7</v>
      </c>
      <c r="H441" s="9">
        <f t="shared" si="30"/>
        <v>5</v>
      </c>
      <c r="I441" s="9" t="s">
        <v>43</v>
      </c>
      <c r="J441" s="9" t="s">
        <v>2043</v>
      </c>
      <c r="K441" s="9" t="s">
        <v>2044</v>
      </c>
      <c r="L441" s="9" t="s">
        <v>22</v>
      </c>
      <c r="M441" s="9" t="s">
        <v>23</v>
      </c>
      <c r="N441" s="9" t="s">
        <v>1632</v>
      </c>
      <c r="O441" s="9" t="s">
        <v>25</v>
      </c>
      <c r="P441" s="9">
        <v>53209</v>
      </c>
      <c r="Q441" s="9" t="s">
        <v>26</v>
      </c>
      <c r="R441" s="9" t="s">
        <v>2045</v>
      </c>
      <c r="S441" s="9" t="s">
        <v>28</v>
      </c>
      <c r="T441" s="9" t="s">
        <v>51</v>
      </c>
      <c r="U441" s="9" t="s">
        <v>2046</v>
      </c>
      <c r="V441" s="11">
        <v>1099.96</v>
      </c>
      <c r="W441" s="9" t="str">
        <f t="shared" si="34"/>
        <v>Slow Delivery</v>
      </c>
    </row>
    <row r="442" spans="1:23" x14ac:dyDescent="0.25">
      <c r="A442" s="9">
        <v>8899</v>
      </c>
      <c r="B442" s="10" t="s">
        <v>2310</v>
      </c>
      <c r="C442" s="10">
        <v>42589</v>
      </c>
      <c r="D442" s="10">
        <v>42591</v>
      </c>
      <c r="E442" s="9">
        <f t="shared" si="31"/>
        <v>2016</v>
      </c>
      <c r="F442" s="10" t="str">
        <f t="shared" si="32"/>
        <v>Aug</v>
      </c>
      <c r="G442" s="9">
        <f t="shared" si="33"/>
        <v>8</v>
      </c>
      <c r="H442" s="9">
        <f t="shared" si="30"/>
        <v>2</v>
      </c>
      <c r="I442" s="9" t="s">
        <v>32</v>
      </c>
      <c r="J442" s="9" t="s">
        <v>2311</v>
      </c>
      <c r="K442" s="9" t="s">
        <v>2312</v>
      </c>
      <c r="L442" s="9" t="s">
        <v>87</v>
      </c>
      <c r="M442" s="9" t="s">
        <v>23</v>
      </c>
      <c r="N442" s="9" t="s">
        <v>335</v>
      </c>
      <c r="O442" s="9" t="s">
        <v>298</v>
      </c>
      <c r="P442" s="9">
        <v>22153</v>
      </c>
      <c r="Q442" s="9" t="s">
        <v>110</v>
      </c>
      <c r="R442" s="9" t="s">
        <v>2313</v>
      </c>
      <c r="S442" s="9" t="s">
        <v>28</v>
      </c>
      <c r="T442" s="9" t="s">
        <v>51</v>
      </c>
      <c r="U442" s="9" t="s">
        <v>2314</v>
      </c>
      <c r="V442" s="11">
        <v>494.97</v>
      </c>
      <c r="W442" s="9" t="str">
        <f t="shared" si="34"/>
        <v>Fast Delivery</v>
      </c>
    </row>
    <row r="443" spans="1:23" x14ac:dyDescent="0.25">
      <c r="A443" s="9">
        <v>1761</v>
      </c>
      <c r="B443" s="10" t="s">
        <v>2155</v>
      </c>
      <c r="C443" s="10">
        <v>42618</v>
      </c>
      <c r="D443" s="10">
        <v>42622</v>
      </c>
      <c r="E443" s="9">
        <f t="shared" si="31"/>
        <v>2016</v>
      </c>
      <c r="F443" s="10" t="str">
        <f t="shared" si="32"/>
        <v>Sep</v>
      </c>
      <c r="G443" s="9">
        <f t="shared" si="33"/>
        <v>9</v>
      </c>
      <c r="H443" s="9">
        <f t="shared" si="30"/>
        <v>4</v>
      </c>
      <c r="I443" s="9" t="s">
        <v>43</v>
      </c>
      <c r="J443" s="9" t="s">
        <v>2156</v>
      </c>
      <c r="K443" s="9" t="s">
        <v>2157</v>
      </c>
      <c r="L443" s="9" t="s">
        <v>22</v>
      </c>
      <c r="M443" s="9" t="s">
        <v>23</v>
      </c>
      <c r="N443" s="9" t="s">
        <v>268</v>
      </c>
      <c r="O443" s="9" t="s">
        <v>80</v>
      </c>
      <c r="P443" s="9">
        <v>92105</v>
      </c>
      <c r="Q443" s="9" t="s">
        <v>37</v>
      </c>
      <c r="R443" s="9" t="s">
        <v>2158</v>
      </c>
      <c r="S443" s="9" t="s">
        <v>39</v>
      </c>
      <c r="T443" s="9" t="s">
        <v>1218</v>
      </c>
      <c r="U443" s="9" t="s">
        <v>2159</v>
      </c>
      <c r="V443" s="11">
        <v>411.33199999999999</v>
      </c>
      <c r="W443" s="9" t="str">
        <f t="shared" si="34"/>
        <v>Slow Delivery</v>
      </c>
    </row>
    <row r="444" spans="1:23" x14ac:dyDescent="0.25">
      <c r="A444" s="9">
        <v>6790</v>
      </c>
      <c r="B444" s="10" t="s">
        <v>2320</v>
      </c>
      <c r="C444" s="10">
        <v>42620</v>
      </c>
      <c r="D444" s="10">
        <v>42622</v>
      </c>
      <c r="E444" s="9">
        <f t="shared" si="31"/>
        <v>2016</v>
      </c>
      <c r="F444" s="10" t="str">
        <f t="shared" si="32"/>
        <v>Sep</v>
      </c>
      <c r="G444" s="9">
        <f t="shared" si="33"/>
        <v>9</v>
      </c>
      <c r="H444" s="9">
        <f t="shared" si="30"/>
        <v>2</v>
      </c>
      <c r="I444" s="9" t="s">
        <v>32</v>
      </c>
      <c r="J444" s="9" t="s">
        <v>2321</v>
      </c>
      <c r="K444" s="9" t="s">
        <v>2322</v>
      </c>
      <c r="L444" s="9" t="s">
        <v>87</v>
      </c>
      <c r="M444" s="9" t="s">
        <v>23</v>
      </c>
      <c r="N444" s="9" t="s">
        <v>545</v>
      </c>
      <c r="O444" s="9" t="s">
        <v>137</v>
      </c>
      <c r="P444" s="9">
        <v>27707</v>
      </c>
      <c r="Q444" s="9" t="s">
        <v>110</v>
      </c>
      <c r="R444" s="9" t="s">
        <v>2323</v>
      </c>
      <c r="S444" s="9" t="s">
        <v>66</v>
      </c>
      <c r="T444" s="9" t="s">
        <v>158</v>
      </c>
      <c r="U444" s="9" t="s">
        <v>2324</v>
      </c>
      <c r="V444" s="11">
        <v>140.73599999999999</v>
      </c>
      <c r="W444" s="9" t="str">
        <f t="shared" si="34"/>
        <v>Fast Delivery</v>
      </c>
    </row>
    <row r="445" spans="1:23" x14ac:dyDescent="0.25">
      <c r="A445" s="9">
        <v>928</v>
      </c>
      <c r="B445" s="10" t="s">
        <v>2169</v>
      </c>
      <c r="C445" s="10">
        <v>42648</v>
      </c>
      <c r="D445" s="10">
        <v>42652</v>
      </c>
      <c r="E445" s="9">
        <f t="shared" si="31"/>
        <v>2016</v>
      </c>
      <c r="F445" s="10" t="str">
        <f t="shared" si="32"/>
        <v>Oct</v>
      </c>
      <c r="G445" s="9">
        <f t="shared" si="33"/>
        <v>10</v>
      </c>
      <c r="H445" s="9">
        <f t="shared" si="30"/>
        <v>4</v>
      </c>
      <c r="I445" s="9" t="s">
        <v>43</v>
      </c>
      <c r="J445" s="9" t="s">
        <v>2170</v>
      </c>
      <c r="K445" s="9" t="s">
        <v>2171</v>
      </c>
      <c r="L445" s="9" t="s">
        <v>46</v>
      </c>
      <c r="M445" s="9" t="s">
        <v>23</v>
      </c>
      <c r="N445" s="9" t="s">
        <v>335</v>
      </c>
      <c r="O445" s="9" t="s">
        <v>298</v>
      </c>
      <c r="P445" s="9">
        <v>22153</v>
      </c>
      <c r="Q445" s="9" t="s">
        <v>110</v>
      </c>
      <c r="R445" s="9" t="s">
        <v>353</v>
      </c>
      <c r="S445" s="9" t="s">
        <v>66</v>
      </c>
      <c r="T445" s="9" t="s">
        <v>158</v>
      </c>
      <c r="U445" s="9" t="s">
        <v>354</v>
      </c>
      <c r="V445" s="11">
        <v>46.2</v>
      </c>
      <c r="W445" s="9" t="str">
        <f t="shared" si="34"/>
        <v>Slow Delivery</v>
      </c>
    </row>
    <row r="446" spans="1:23" x14ac:dyDescent="0.25">
      <c r="A446" s="9">
        <v>1833</v>
      </c>
      <c r="B446" s="10" t="s">
        <v>2172</v>
      </c>
      <c r="C446" s="10">
        <v>42679</v>
      </c>
      <c r="D446" s="10">
        <v>42683</v>
      </c>
      <c r="E446" s="9">
        <f t="shared" si="31"/>
        <v>2016</v>
      </c>
      <c r="F446" s="10" t="str">
        <f t="shared" si="32"/>
        <v>Nov</v>
      </c>
      <c r="G446" s="9">
        <f t="shared" si="33"/>
        <v>11</v>
      </c>
      <c r="H446" s="9">
        <f t="shared" si="30"/>
        <v>4</v>
      </c>
      <c r="I446" s="9" t="s">
        <v>43</v>
      </c>
      <c r="J446" s="9" t="s">
        <v>2173</v>
      </c>
      <c r="K446" s="9" t="s">
        <v>2174</v>
      </c>
      <c r="L446" s="9" t="s">
        <v>87</v>
      </c>
      <c r="M446" s="9" t="s">
        <v>23</v>
      </c>
      <c r="N446" s="9" t="s">
        <v>2175</v>
      </c>
      <c r="O446" s="9" t="s">
        <v>137</v>
      </c>
      <c r="P446" s="9">
        <v>28110</v>
      </c>
      <c r="Q446" s="9" t="s">
        <v>110</v>
      </c>
      <c r="R446" s="9" t="s">
        <v>2176</v>
      </c>
      <c r="S446" s="9" t="s">
        <v>39</v>
      </c>
      <c r="T446" s="9" t="s">
        <v>40</v>
      </c>
      <c r="U446" s="9" t="s">
        <v>2177</v>
      </c>
      <c r="V446" s="11">
        <v>207</v>
      </c>
      <c r="W446" s="9" t="str">
        <f t="shared" si="34"/>
        <v>Slow Delivery</v>
      </c>
    </row>
    <row r="447" spans="1:23" x14ac:dyDescent="0.25">
      <c r="A447" s="9">
        <v>1007</v>
      </c>
      <c r="B447" s="10" t="s">
        <v>2232</v>
      </c>
      <c r="C447" s="10">
        <v>42680</v>
      </c>
      <c r="D447" s="10">
        <v>42683</v>
      </c>
      <c r="E447" s="9">
        <f t="shared" si="31"/>
        <v>2016</v>
      </c>
      <c r="F447" s="10" t="str">
        <f t="shared" si="32"/>
        <v>Nov</v>
      </c>
      <c r="G447" s="9">
        <f t="shared" si="33"/>
        <v>11</v>
      </c>
      <c r="H447" s="9">
        <f t="shared" si="30"/>
        <v>3</v>
      </c>
      <c r="I447" s="9" t="s">
        <v>19</v>
      </c>
      <c r="J447" s="9" t="s">
        <v>2233</v>
      </c>
      <c r="K447" s="9" t="s">
        <v>2234</v>
      </c>
      <c r="L447" s="9" t="s">
        <v>22</v>
      </c>
      <c r="M447" s="9" t="s">
        <v>23</v>
      </c>
      <c r="N447" s="9" t="s">
        <v>2235</v>
      </c>
      <c r="O447" s="9" t="s">
        <v>382</v>
      </c>
      <c r="P447" s="9">
        <v>85254</v>
      </c>
      <c r="Q447" s="9" t="s">
        <v>37</v>
      </c>
      <c r="R447" s="9" t="s">
        <v>2236</v>
      </c>
      <c r="S447" s="9" t="s">
        <v>66</v>
      </c>
      <c r="T447" s="9" t="s">
        <v>280</v>
      </c>
      <c r="U447" s="9" t="s">
        <v>2237</v>
      </c>
      <c r="V447" s="11">
        <v>7.08</v>
      </c>
      <c r="W447" s="9" t="str">
        <f t="shared" si="34"/>
        <v>Fast Delivery</v>
      </c>
    </row>
    <row r="448" spans="1:23" x14ac:dyDescent="0.25">
      <c r="A448" s="9">
        <v>532</v>
      </c>
      <c r="B448" s="10" t="s">
        <v>2325</v>
      </c>
      <c r="C448" s="10">
        <v>42681</v>
      </c>
      <c r="D448" s="10">
        <v>42683</v>
      </c>
      <c r="E448" s="9">
        <f t="shared" si="31"/>
        <v>2016</v>
      </c>
      <c r="F448" s="10" t="str">
        <f t="shared" si="32"/>
        <v>Nov</v>
      </c>
      <c r="G448" s="9">
        <f t="shared" si="33"/>
        <v>11</v>
      </c>
      <c r="H448" s="9">
        <f t="shared" si="30"/>
        <v>2</v>
      </c>
      <c r="I448" s="9" t="s">
        <v>32</v>
      </c>
      <c r="J448" s="9" t="s">
        <v>2326</v>
      </c>
      <c r="K448" s="9" t="s">
        <v>2327</v>
      </c>
      <c r="L448" s="9" t="s">
        <v>87</v>
      </c>
      <c r="M448" s="9" t="s">
        <v>23</v>
      </c>
      <c r="N448" s="9" t="s">
        <v>213</v>
      </c>
      <c r="O448" s="9" t="s">
        <v>80</v>
      </c>
      <c r="P448" s="9">
        <v>90036</v>
      </c>
      <c r="Q448" s="9" t="s">
        <v>37</v>
      </c>
      <c r="R448" s="9" t="s">
        <v>2328</v>
      </c>
      <c r="S448" s="9" t="s">
        <v>39</v>
      </c>
      <c r="T448" s="9" t="s">
        <v>40</v>
      </c>
      <c r="U448" s="9" t="s">
        <v>2329</v>
      </c>
      <c r="V448" s="11">
        <v>190.72</v>
      </c>
      <c r="W448" s="9" t="str">
        <f t="shared" si="34"/>
        <v>Fast Delivery</v>
      </c>
    </row>
    <row r="449" spans="1:23" x14ac:dyDescent="0.25">
      <c r="A449" s="9">
        <v>1564</v>
      </c>
      <c r="B449" s="10" t="s">
        <v>2471</v>
      </c>
      <c r="C449" s="10">
        <v>42683</v>
      </c>
      <c r="D449" s="10">
        <v>42683</v>
      </c>
      <c r="E449" s="9">
        <f t="shared" si="31"/>
        <v>2016</v>
      </c>
      <c r="F449" s="10" t="str">
        <f t="shared" si="32"/>
        <v>Nov</v>
      </c>
      <c r="G449" s="9">
        <f t="shared" si="33"/>
        <v>11</v>
      </c>
      <c r="H449" s="9">
        <f t="shared" si="30"/>
        <v>0</v>
      </c>
      <c r="I449" s="9" t="s">
        <v>302</v>
      </c>
      <c r="J449" s="9" t="s">
        <v>2472</v>
      </c>
      <c r="K449" s="9" t="s">
        <v>2473</v>
      </c>
      <c r="L449" s="9" t="s">
        <v>22</v>
      </c>
      <c r="M449" s="9" t="s">
        <v>23</v>
      </c>
      <c r="N449" s="9" t="s">
        <v>149</v>
      </c>
      <c r="O449" s="9" t="s">
        <v>150</v>
      </c>
      <c r="P449" s="9">
        <v>19134</v>
      </c>
      <c r="Q449" s="9" t="s">
        <v>49</v>
      </c>
      <c r="R449" s="9" t="s">
        <v>2474</v>
      </c>
      <c r="S449" s="9" t="s">
        <v>66</v>
      </c>
      <c r="T449" s="9" t="s">
        <v>201</v>
      </c>
      <c r="U449" s="9" t="s">
        <v>2475</v>
      </c>
      <c r="V449" s="11">
        <v>11.352</v>
      </c>
      <c r="W449" s="9" t="str">
        <f t="shared" si="34"/>
        <v>Fast Delivery</v>
      </c>
    </row>
    <row r="450" spans="1:23" x14ac:dyDescent="0.25">
      <c r="A450" s="9">
        <v>3851</v>
      </c>
      <c r="B450" s="10" t="s">
        <v>2083</v>
      </c>
      <c r="C450" s="10">
        <v>42708</v>
      </c>
      <c r="D450" s="10">
        <v>42713</v>
      </c>
      <c r="E450" s="9">
        <f t="shared" si="31"/>
        <v>2016</v>
      </c>
      <c r="F450" s="10" t="str">
        <f t="shared" si="32"/>
        <v>Dec</v>
      </c>
      <c r="G450" s="9">
        <f t="shared" si="33"/>
        <v>12</v>
      </c>
      <c r="H450" s="9">
        <f t="shared" ref="H450:H513" si="35">D450-C450</f>
        <v>5</v>
      </c>
      <c r="I450" s="9" t="s">
        <v>43</v>
      </c>
      <c r="J450" s="9" t="s">
        <v>2084</v>
      </c>
      <c r="K450" s="9" t="s">
        <v>2085</v>
      </c>
      <c r="L450" s="9" t="s">
        <v>87</v>
      </c>
      <c r="M450" s="9" t="s">
        <v>23</v>
      </c>
      <c r="N450" s="9" t="s">
        <v>335</v>
      </c>
      <c r="O450" s="9" t="s">
        <v>336</v>
      </c>
      <c r="P450" s="9">
        <v>65807</v>
      </c>
      <c r="Q450" s="9" t="s">
        <v>26</v>
      </c>
      <c r="R450" s="9" t="s">
        <v>1561</v>
      </c>
      <c r="S450" s="9" t="s">
        <v>66</v>
      </c>
      <c r="T450" s="9" t="s">
        <v>201</v>
      </c>
      <c r="U450" s="9" t="s">
        <v>1562</v>
      </c>
      <c r="V450" s="11">
        <v>85.96</v>
      </c>
      <c r="W450" s="9" t="str">
        <f t="shared" si="34"/>
        <v>Slow Delivery</v>
      </c>
    </row>
    <row r="451" spans="1:23" x14ac:dyDescent="0.25">
      <c r="A451" s="9">
        <v>4561</v>
      </c>
      <c r="B451" s="10" t="s">
        <v>2092</v>
      </c>
      <c r="C451" s="10">
        <v>42708</v>
      </c>
      <c r="D451" s="10">
        <v>42713</v>
      </c>
      <c r="E451" s="9">
        <f t="shared" ref="E451:E514" si="36">YEAR(C451)</f>
        <v>2016</v>
      </c>
      <c r="F451" s="10" t="str">
        <f t="shared" ref="F451:F514" si="37">TEXT(C451,"mmm")</f>
        <v>Dec</v>
      </c>
      <c r="G451" s="9">
        <f t="shared" ref="G451:G514" si="38">MONTH(C451)</f>
        <v>12</v>
      </c>
      <c r="H451" s="9">
        <f t="shared" si="35"/>
        <v>5</v>
      </c>
      <c r="I451" s="9" t="s">
        <v>32</v>
      </c>
      <c r="J451" s="9" t="s">
        <v>2093</v>
      </c>
      <c r="K451" s="9" t="s">
        <v>2094</v>
      </c>
      <c r="L451" s="9" t="s">
        <v>87</v>
      </c>
      <c r="M451" s="9" t="s">
        <v>23</v>
      </c>
      <c r="N451" s="9" t="s">
        <v>213</v>
      </c>
      <c r="O451" s="9" t="s">
        <v>80</v>
      </c>
      <c r="P451" s="9">
        <v>90049</v>
      </c>
      <c r="Q451" s="9" t="s">
        <v>37</v>
      </c>
      <c r="R451" s="9" t="s">
        <v>2095</v>
      </c>
      <c r="S451" s="9" t="s">
        <v>66</v>
      </c>
      <c r="T451" s="9" t="s">
        <v>280</v>
      </c>
      <c r="U451" s="9" t="s">
        <v>2096</v>
      </c>
      <c r="V451" s="11">
        <v>271.44</v>
      </c>
      <c r="W451" s="9" t="str">
        <f t="shared" ref="W451:W514" si="39">IF(H451&lt;=3,"Fast Delivery","Slow Delivery")</f>
        <v>Slow Delivery</v>
      </c>
    </row>
    <row r="452" spans="1:23" x14ac:dyDescent="0.25">
      <c r="A452" s="9">
        <v>3677</v>
      </c>
      <c r="B452" s="10" t="s">
        <v>2183</v>
      </c>
      <c r="C452" s="10">
        <v>42709</v>
      </c>
      <c r="D452" s="10">
        <v>42713</v>
      </c>
      <c r="E452" s="9">
        <f t="shared" si="36"/>
        <v>2016</v>
      </c>
      <c r="F452" s="10" t="str">
        <f t="shared" si="37"/>
        <v>Dec</v>
      </c>
      <c r="G452" s="9">
        <f t="shared" si="38"/>
        <v>12</v>
      </c>
      <c r="H452" s="9">
        <f t="shared" si="35"/>
        <v>4</v>
      </c>
      <c r="I452" s="9" t="s">
        <v>43</v>
      </c>
      <c r="J452" s="9" t="s">
        <v>2184</v>
      </c>
      <c r="K452" s="9" t="s">
        <v>2185</v>
      </c>
      <c r="L452" s="9" t="s">
        <v>87</v>
      </c>
      <c r="M452" s="9" t="s">
        <v>23</v>
      </c>
      <c r="N452" s="9" t="s">
        <v>268</v>
      </c>
      <c r="O452" s="9" t="s">
        <v>80</v>
      </c>
      <c r="P452" s="9">
        <v>92105</v>
      </c>
      <c r="Q452" s="9" t="s">
        <v>37</v>
      </c>
      <c r="R452" s="9" t="s">
        <v>2186</v>
      </c>
      <c r="S452" s="9" t="s">
        <v>39</v>
      </c>
      <c r="T452" s="9" t="s">
        <v>112</v>
      </c>
      <c r="U452" s="9" t="s">
        <v>2187</v>
      </c>
      <c r="V452" s="11">
        <v>44.46</v>
      </c>
      <c r="W452" s="9" t="str">
        <f t="shared" si="39"/>
        <v>Slow Delivery</v>
      </c>
    </row>
    <row r="453" spans="1:23" x14ac:dyDescent="0.25">
      <c r="A453" s="9">
        <v>4977</v>
      </c>
      <c r="B453" s="10" t="s">
        <v>2350</v>
      </c>
      <c r="C453" s="10">
        <v>42711</v>
      </c>
      <c r="D453" s="10">
        <v>42713</v>
      </c>
      <c r="E453" s="9">
        <f t="shared" si="36"/>
        <v>2016</v>
      </c>
      <c r="F453" s="10" t="str">
        <f t="shared" si="37"/>
        <v>Dec</v>
      </c>
      <c r="G453" s="9">
        <f t="shared" si="38"/>
        <v>12</v>
      </c>
      <c r="H453" s="9">
        <f t="shared" si="35"/>
        <v>2</v>
      </c>
      <c r="I453" s="9" t="s">
        <v>19</v>
      </c>
      <c r="J453" s="9" t="s">
        <v>2351</v>
      </c>
      <c r="K453" s="9" t="s">
        <v>2352</v>
      </c>
      <c r="L453" s="9" t="s">
        <v>22</v>
      </c>
      <c r="M453" s="9" t="s">
        <v>23</v>
      </c>
      <c r="N453" s="9" t="s">
        <v>47</v>
      </c>
      <c r="O453" s="9" t="s">
        <v>48</v>
      </c>
      <c r="P453" s="9">
        <v>10024</v>
      </c>
      <c r="Q453" s="9" t="s">
        <v>49</v>
      </c>
      <c r="R453" s="9" t="s">
        <v>2353</v>
      </c>
      <c r="S453" s="9" t="s">
        <v>66</v>
      </c>
      <c r="T453" s="9" t="s">
        <v>103</v>
      </c>
      <c r="U453" s="9" t="s">
        <v>2354</v>
      </c>
      <c r="V453" s="11">
        <v>21.36</v>
      </c>
      <c r="W453" s="9" t="str">
        <f t="shared" si="39"/>
        <v>Fast Delivery</v>
      </c>
    </row>
    <row r="454" spans="1:23" x14ac:dyDescent="0.25">
      <c r="A454" s="9">
        <v>3420</v>
      </c>
      <c r="B454" s="10" t="s">
        <v>2221</v>
      </c>
      <c r="C454" s="10">
        <v>42619</v>
      </c>
      <c r="D454" s="10">
        <v>42626</v>
      </c>
      <c r="E454" s="9">
        <f t="shared" si="36"/>
        <v>2016</v>
      </c>
      <c r="F454" s="10" t="str">
        <f t="shared" si="37"/>
        <v>Sep</v>
      </c>
      <c r="G454" s="9">
        <f t="shared" si="38"/>
        <v>9</v>
      </c>
      <c r="H454" s="9">
        <f t="shared" si="35"/>
        <v>7</v>
      </c>
      <c r="I454" s="9" t="s">
        <v>43</v>
      </c>
      <c r="J454" s="9" t="s">
        <v>2222</v>
      </c>
      <c r="K454" s="9" t="s">
        <v>2223</v>
      </c>
      <c r="L454" s="9" t="s">
        <v>46</v>
      </c>
      <c r="M454" s="9" t="s">
        <v>23</v>
      </c>
      <c r="N454" s="9" t="s">
        <v>47</v>
      </c>
      <c r="O454" s="9" t="s">
        <v>48</v>
      </c>
      <c r="P454" s="9">
        <v>10024</v>
      </c>
      <c r="Q454" s="9" t="s">
        <v>49</v>
      </c>
      <c r="R454" s="9" t="s">
        <v>2224</v>
      </c>
      <c r="S454" s="9" t="s">
        <v>39</v>
      </c>
      <c r="T454" s="9" t="s">
        <v>40</v>
      </c>
      <c r="U454" s="9" t="s">
        <v>2225</v>
      </c>
      <c r="V454" s="11">
        <v>271.76400000000001</v>
      </c>
      <c r="W454" s="9" t="str">
        <f t="shared" si="39"/>
        <v>Slow Delivery</v>
      </c>
    </row>
    <row r="455" spans="1:23" x14ac:dyDescent="0.25">
      <c r="A455" s="9">
        <v>3466</v>
      </c>
      <c r="B455" s="10" t="s">
        <v>2516</v>
      </c>
      <c r="C455" s="10">
        <v>42623</v>
      </c>
      <c r="D455" s="10">
        <v>42627</v>
      </c>
      <c r="E455" s="9">
        <f t="shared" si="36"/>
        <v>2016</v>
      </c>
      <c r="F455" s="10" t="str">
        <f t="shared" si="37"/>
        <v>Sep</v>
      </c>
      <c r="G455" s="9">
        <f t="shared" si="38"/>
        <v>9</v>
      </c>
      <c r="H455" s="9">
        <f t="shared" si="35"/>
        <v>4</v>
      </c>
      <c r="I455" s="9" t="s">
        <v>43</v>
      </c>
      <c r="J455" s="9" t="s">
        <v>2517</v>
      </c>
      <c r="K455" s="9" t="s">
        <v>2518</v>
      </c>
      <c r="L455" s="9" t="s">
        <v>87</v>
      </c>
      <c r="M455" s="9" t="s">
        <v>23</v>
      </c>
      <c r="N455" s="9" t="s">
        <v>88</v>
      </c>
      <c r="O455" s="9" t="s">
        <v>89</v>
      </c>
      <c r="P455" s="9">
        <v>2151</v>
      </c>
      <c r="Q455" s="9" t="s">
        <v>49</v>
      </c>
      <c r="R455" s="9" t="s">
        <v>2519</v>
      </c>
      <c r="S455" s="9" t="s">
        <v>66</v>
      </c>
      <c r="T455" s="9" t="s">
        <v>221</v>
      </c>
      <c r="U455" s="9" t="s">
        <v>2520</v>
      </c>
      <c r="V455" s="11">
        <v>61.96</v>
      </c>
      <c r="W455" s="9" t="str">
        <f t="shared" si="39"/>
        <v>Slow Delivery</v>
      </c>
    </row>
    <row r="456" spans="1:23" x14ac:dyDescent="0.25">
      <c r="A456" s="9">
        <v>7724</v>
      </c>
      <c r="B456" s="10" t="s">
        <v>2526</v>
      </c>
      <c r="C456" s="10">
        <v>42623</v>
      </c>
      <c r="D456" s="10">
        <v>42627</v>
      </c>
      <c r="E456" s="9">
        <f t="shared" si="36"/>
        <v>2016</v>
      </c>
      <c r="F456" s="10" t="str">
        <f t="shared" si="37"/>
        <v>Sep</v>
      </c>
      <c r="G456" s="9">
        <f t="shared" si="38"/>
        <v>9</v>
      </c>
      <c r="H456" s="9">
        <f t="shared" si="35"/>
        <v>4</v>
      </c>
      <c r="I456" s="9" t="s">
        <v>43</v>
      </c>
      <c r="J456" s="9" t="s">
        <v>2527</v>
      </c>
      <c r="K456" s="9" t="s">
        <v>2528</v>
      </c>
      <c r="L456" s="9" t="s">
        <v>87</v>
      </c>
      <c r="M456" s="9" t="s">
        <v>23</v>
      </c>
      <c r="N456" s="9" t="s">
        <v>1514</v>
      </c>
      <c r="O456" s="9" t="s">
        <v>64</v>
      </c>
      <c r="P456" s="9">
        <v>78745</v>
      </c>
      <c r="Q456" s="9" t="s">
        <v>26</v>
      </c>
      <c r="R456" s="9" t="s">
        <v>2529</v>
      </c>
      <c r="S456" s="9" t="s">
        <v>39</v>
      </c>
      <c r="T456" s="9" t="s">
        <v>40</v>
      </c>
      <c r="U456" s="9" t="s">
        <v>2530</v>
      </c>
      <c r="V456" s="11">
        <v>179.886</v>
      </c>
      <c r="W456" s="9" t="str">
        <f t="shared" si="39"/>
        <v>Slow Delivery</v>
      </c>
    </row>
    <row r="457" spans="1:23" x14ac:dyDescent="0.25">
      <c r="A457" s="9">
        <v>7205</v>
      </c>
      <c r="B457" s="10" t="s">
        <v>2521</v>
      </c>
      <c r="C457" s="10">
        <v>42623</v>
      </c>
      <c r="D457" s="10">
        <v>42630</v>
      </c>
      <c r="E457" s="9">
        <f t="shared" si="36"/>
        <v>2016</v>
      </c>
      <c r="F457" s="10" t="str">
        <f t="shared" si="37"/>
        <v>Sep</v>
      </c>
      <c r="G457" s="9">
        <f t="shared" si="38"/>
        <v>9</v>
      </c>
      <c r="H457" s="9">
        <f t="shared" si="35"/>
        <v>7</v>
      </c>
      <c r="I457" s="9" t="s">
        <v>43</v>
      </c>
      <c r="J457" s="9" t="s">
        <v>2522</v>
      </c>
      <c r="K457" s="9" t="s">
        <v>2523</v>
      </c>
      <c r="L457" s="9" t="s">
        <v>22</v>
      </c>
      <c r="M457" s="9" t="s">
        <v>23</v>
      </c>
      <c r="N457" s="9" t="s">
        <v>47</v>
      </c>
      <c r="O457" s="9" t="s">
        <v>48</v>
      </c>
      <c r="P457" s="9">
        <v>10024</v>
      </c>
      <c r="Q457" s="9" t="s">
        <v>49</v>
      </c>
      <c r="R457" s="9" t="s">
        <v>2524</v>
      </c>
      <c r="S457" s="9" t="s">
        <v>66</v>
      </c>
      <c r="T457" s="9" t="s">
        <v>158</v>
      </c>
      <c r="U457" s="9" t="s">
        <v>2525</v>
      </c>
      <c r="V457" s="11">
        <v>6.08</v>
      </c>
      <c r="W457" s="9" t="str">
        <f t="shared" si="39"/>
        <v>Slow Delivery</v>
      </c>
    </row>
    <row r="458" spans="1:23" x14ac:dyDescent="0.25">
      <c r="A458" s="9">
        <v>9056</v>
      </c>
      <c r="B458" s="10" t="s">
        <v>2651</v>
      </c>
      <c r="C458" s="10">
        <v>42625</v>
      </c>
      <c r="D458" s="10">
        <v>42630</v>
      </c>
      <c r="E458" s="9">
        <f t="shared" si="36"/>
        <v>2016</v>
      </c>
      <c r="F458" s="10" t="str">
        <f t="shared" si="37"/>
        <v>Sep</v>
      </c>
      <c r="G458" s="9">
        <f t="shared" si="38"/>
        <v>9</v>
      </c>
      <c r="H458" s="9">
        <f t="shared" si="35"/>
        <v>5</v>
      </c>
      <c r="I458" s="9" t="s">
        <v>32</v>
      </c>
      <c r="J458" s="9" t="s">
        <v>2652</v>
      </c>
      <c r="K458" s="9" t="s">
        <v>2653</v>
      </c>
      <c r="L458" s="9" t="s">
        <v>22</v>
      </c>
      <c r="M458" s="9" t="s">
        <v>23</v>
      </c>
      <c r="N458" s="9" t="s">
        <v>35</v>
      </c>
      <c r="O458" s="9" t="s">
        <v>36</v>
      </c>
      <c r="P458" s="9">
        <v>98103</v>
      </c>
      <c r="Q458" s="9" t="s">
        <v>37</v>
      </c>
      <c r="R458" s="9" t="s">
        <v>1235</v>
      </c>
      <c r="S458" s="9" t="s">
        <v>28</v>
      </c>
      <c r="T458" s="9" t="s">
        <v>29</v>
      </c>
      <c r="U458" s="9" t="s">
        <v>1236</v>
      </c>
      <c r="V458" s="11">
        <v>21.98</v>
      </c>
      <c r="W458" s="9" t="str">
        <f t="shared" si="39"/>
        <v>Slow Delivery</v>
      </c>
    </row>
    <row r="459" spans="1:23" x14ac:dyDescent="0.25">
      <c r="A459" s="9">
        <v>8861</v>
      </c>
      <c r="B459" s="10" t="s">
        <v>2595</v>
      </c>
      <c r="C459" s="10">
        <v>42624</v>
      </c>
      <c r="D459" s="10">
        <v>42631</v>
      </c>
      <c r="E459" s="9">
        <f t="shared" si="36"/>
        <v>2016</v>
      </c>
      <c r="F459" s="10" t="str">
        <f t="shared" si="37"/>
        <v>Sep</v>
      </c>
      <c r="G459" s="9">
        <f t="shared" si="38"/>
        <v>9</v>
      </c>
      <c r="H459" s="9">
        <f t="shared" si="35"/>
        <v>7</v>
      </c>
      <c r="I459" s="9" t="s">
        <v>43</v>
      </c>
      <c r="J459" s="9" t="s">
        <v>2596</v>
      </c>
      <c r="K459" s="9" t="s">
        <v>2597</v>
      </c>
      <c r="L459" s="9" t="s">
        <v>46</v>
      </c>
      <c r="M459" s="9" t="s">
        <v>23</v>
      </c>
      <c r="N459" s="9" t="s">
        <v>2598</v>
      </c>
      <c r="O459" s="9" t="s">
        <v>101</v>
      </c>
      <c r="P459" s="9">
        <v>7501</v>
      </c>
      <c r="Q459" s="9" t="s">
        <v>49</v>
      </c>
      <c r="R459" s="9" t="s">
        <v>2599</v>
      </c>
      <c r="S459" s="9" t="s">
        <v>66</v>
      </c>
      <c r="T459" s="9" t="s">
        <v>82</v>
      </c>
      <c r="U459" s="9" t="s">
        <v>2600</v>
      </c>
      <c r="V459" s="11">
        <v>31.05</v>
      </c>
      <c r="W459" s="9" t="str">
        <f t="shared" si="39"/>
        <v>Slow Delivery</v>
      </c>
    </row>
    <row r="460" spans="1:23" x14ac:dyDescent="0.25">
      <c r="A460" s="9">
        <v>8375</v>
      </c>
      <c r="B460" s="10" t="s">
        <v>2097</v>
      </c>
      <c r="C460" s="10">
        <v>42374</v>
      </c>
      <c r="D460" s="10">
        <v>42379</v>
      </c>
      <c r="E460" s="9">
        <f t="shared" si="36"/>
        <v>2016</v>
      </c>
      <c r="F460" s="10" t="str">
        <f t="shared" si="37"/>
        <v>Jan</v>
      </c>
      <c r="G460" s="9">
        <f t="shared" si="38"/>
        <v>1</v>
      </c>
      <c r="H460" s="9">
        <f t="shared" si="35"/>
        <v>5</v>
      </c>
      <c r="I460" s="9" t="s">
        <v>43</v>
      </c>
      <c r="J460" s="9" t="s">
        <v>2098</v>
      </c>
      <c r="K460" s="9" t="s">
        <v>2099</v>
      </c>
      <c r="L460" s="9" t="s">
        <v>46</v>
      </c>
      <c r="M460" s="9" t="s">
        <v>23</v>
      </c>
      <c r="N460" s="9" t="s">
        <v>143</v>
      </c>
      <c r="O460" s="9" t="s">
        <v>80</v>
      </c>
      <c r="P460" s="9">
        <v>94110</v>
      </c>
      <c r="Q460" s="9" t="s">
        <v>37</v>
      </c>
      <c r="R460" s="9" t="s">
        <v>2100</v>
      </c>
      <c r="S460" s="9" t="s">
        <v>66</v>
      </c>
      <c r="T460" s="9" t="s">
        <v>221</v>
      </c>
      <c r="U460" s="9" t="s">
        <v>2101</v>
      </c>
      <c r="V460" s="11">
        <v>87.36</v>
      </c>
      <c r="W460" s="9" t="str">
        <f t="shared" si="39"/>
        <v>Slow Delivery</v>
      </c>
    </row>
    <row r="461" spans="1:23" x14ac:dyDescent="0.25">
      <c r="A461" s="9">
        <v>6446</v>
      </c>
      <c r="B461" s="10" t="s">
        <v>2117</v>
      </c>
      <c r="C461" s="10">
        <v>42434</v>
      </c>
      <c r="D461" s="10">
        <v>42439</v>
      </c>
      <c r="E461" s="9">
        <f t="shared" si="36"/>
        <v>2016</v>
      </c>
      <c r="F461" s="10" t="str">
        <f t="shared" si="37"/>
        <v>Mar</v>
      </c>
      <c r="G461" s="9">
        <f t="shared" si="38"/>
        <v>3</v>
      </c>
      <c r="H461" s="9">
        <f t="shared" si="35"/>
        <v>5</v>
      </c>
      <c r="I461" s="9" t="s">
        <v>43</v>
      </c>
      <c r="J461" s="9" t="s">
        <v>2118</v>
      </c>
      <c r="K461" s="9" t="s">
        <v>2119</v>
      </c>
      <c r="L461" s="9" t="s">
        <v>22</v>
      </c>
      <c r="M461" s="9" t="s">
        <v>23</v>
      </c>
      <c r="N461" s="9" t="s">
        <v>199</v>
      </c>
      <c r="O461" s="9" t="s">
        <v>57</v>
      </c>
      <c r="P461" s="9">
        <v>60623</v>
      </c>
      <c r="Q461" s="9" t="s">
        <v>26</v>
      </c>
      <c r="R461" s="9" t="s">
        <v>1153</v>
      </c>
      <c r="S461" s="9" t="s">
        <v>66</v>
      </c>
      <c r="T461" s="9" t="s">
        <v>67</v>
      </c>
      <c r="U461" s="9" t="s">
        <v>1154</v>
      </c>
      <c r="V461" s="11">
        <v>7.1040000000000001</v>
      </c>
      <c r="W461" s="9" t="str">
        <f t="shared" si="39"/>
        <v>Slow Delivery</v>
      </c>
    </row>
    <row r="462" spans="1:23" x14ac:dyDescent="0.25">
      <c r="A462" s="9">
        <v>6343</v>
      </c>
      <c r="B462" s="10" t="s">
        <v>2271</v>
      </c>
      <c r="C462" s="10">
        <v>42436</v>
      </c>
      <c r="D462" s="10">
        <v>42439</v>
      </c>
      <c r="E462" s="9">
        <f t="shared" si="36"/>
        <v>2016</v>
      </c>
      <c r="F462" s="10" t="str">
        <f t="shared" si="37"/>
        <v>Mar</v>
      </c>
      <c r="G462" s="9">
        <f t="shared" si="38"/>
        <v>3</v>
      </c>
      <c r="H462" s="9">
        <f t="shared" si="35"/>
        <v>3</v>
      </c>
      <c r="I462" s="9" t="s">
        <v>19</v>
      </c>
      <c r="J462" s="9" t="s">
        <v>2272</v>
      </c>
      <c r="K462" s="9" t="s">
        <v>2273</v>
      </c>
      <c r="L462" s="9" t="s">
        <v>46</v>
      </c>
      <c r="M462" s="9" t="s">
        <v>23</v>
      </c>
      <c r="N462" s="9" t="s">
        <v>1814</v>
      </c>
      <c r="O462" s="9" t="s">
        <v>1475</v>
      </c>
      <c r="P462" s="9">
        <v>19711</v>
      </c>
      <c r="Q462" s="9" t="s">
        <v>49</v>
      </c>
      <c r="R462" s="9" t="s">
        <v>2274</v>
      </c>
      <c r="S462" s="9" t="s">
        <v>28</v>
      </c>
      <c r="T462" s="9" t="s">
        <v>29</v>
      </c>
      <c r="U462" s="9" t="s">
        <v>2275</v>
      </c>
      <c r="V462" s="11">
        <v>119.85</v>
      </c>
      <c r="W462" s="9" t="str">
        <f t="shared" si="39"/>
        <v>Fast Delivery</v>
      </c>
    </row>
    <row r="463" spans="1:23" x14ac:dyDescent="0.25">
      <c r="A463" s="9">
        <v>119</v>
      </c>
      <c r="B463" s="10" t="s">
        <v>2120</v>
      </c>
      <c r="C463" s="10">
        <v>42465</v>
      </c>
      <c r="D463" s="10">
        <v>42470</v>
      </c>
      <c r="E463" s="9">
        <f t="shared" si="36"/>
        <v>2016</v>
      </c>
      <c r="F463" s="10" t="str">
        <f t="shared" si="37"/>
        <v>Apr</v>
      </c>
      <c r="G463" s="9">
        <f t="shared" si="38"/>
        <v>4</v>
      </c>
      <c r="H463" s="9">
        <f t="shared" si="35"/>
        <v>5</v>
      </c>
      <c r="I463" s="9" t="s">
        <v>43</v>
      </c>
      <c r="J463" s="9" t="s">
        <v>2121</v>
      </c>
      <c r="K463" s="9" t="s">
        <v>2122</v>
      </c>
      <c r="L463" s="9" t="s">
        <v>87</v>
      </c>
      <c r="M463" s="9" t="s">
        <v>23</v>
      </c>
      <c r="N463" s="9" t="s">
        <v>2123</v>
      </c>
      <c r="O463" s="9" t="s">
        <v>575</v>
      </c>
      <c r="P463" s="9">
        <v>37620</v>
      </c>
      <c r="Q463" s="9" t="s">
        <v>110</v>
      </c>
      <c r="R463" s="9" t="s">
        <v>1711</v>
      </c>
      <c r="S463" s="9" t="s">
        <v>66</v>
      </c>
      <c r="T463" s="9" t="s">
        <v>103</v>
      </c>
      <c r="U463" s="9" t="s">
        <v>1712</v>
      </c>
      <c r="V463" s="11">
        <v>157.79400000000001</v>
      </c>
      <c r="W463" s="9" t="str">
        <f t="shared" si="39"/>
        <v>Slow Delivery</v>
      </c>
    </row>
    <row r="464" spans="1:23" x14ac:dyDescent="0.25">
      <c r="A464" s="9">
        <v>2525</v>
      </c>
      <c r="B464" s="10" t="s">
        <v>2203</v>
      </c>
      <c r="C464" s="10">
        <v>42466</v>
      </c>
      <c r="D464" s="10">
        <v>42470</v>
      </c>
      <c r="E464" s="9">
        <f t="shared" si="36"/>
        <v>2016</v>
      </c>
      <c r="F464" s="10" t="str">
        <f t="shared" si="37"/>
        <v>Apr</v>
      </c>
      <c r="G464" s="9">
        <f t="shared" si="38"/>
        <v>4</v>
      </c>
      <c r="H464" s="9">
        <f t="shared" si="35"/>
        <v>4</v>
      </c>
      <c r="I464" s="9" t="s">
        <v>43</v>
      </c>
      <c r="J464" s="9" t="s">
        <v>2204</v>
      </c>
      <c r="K464" s="9" t="s">
        <v>2205</v>
      </c>
      <c r="L464" s="9" t="s">
        <v>22</v>
      </c>
      <c r="M464" s="9" t="s">
        <v>23</v>
      </c>
      <c r="N464" s="9" t="s">
        <v>72</v>
      </c>
      <c r="O464" s="9" t="s">
        <v>64</v>
      </c>
      <c r="P464" s="9">
        <v>77041</v>
      </c>
      <c r="Q464" s="9" t="s">
        <v>26</v>
      </c>
      <c r="R464" s="9" t="s">
        <v>1300</v>
      </c>
      <c r="S464" s="9" t="s">
        <v>66</v>
      </c>
      <c r="T464" s="9" t="s">
        <v>158</v>
      </c>
      <c r="U464" s="9" t="s">
        <v>1301</v>
      </c>
      <c r="V464" s="11">
        <v>42.048000000000002</v>
      </c>
      <c r="W464" s="9" t="str">
        <f t="shared" si="39"/>
        <v>Slow Delivery</v>
      </c>
    </row>
    <row r="465" spans="1:23" x14ac:dyDescent="0.25">
      <c r="A465" s="9">
        <v>6559</v>
      </c>
      <c r="B465" s="10" t="s">
        <v>2133</v>
      </c>
      <c r="C465" s="10">
        <v>42526</v>
      </c>
      <c r="D465" s="10">
        <v>42531</v>
      </c>
      <c r="E465" s="9">
        <f t="shared" si="36"/>
        <v>2016</v>
      </c>
      <c r="F465" s="10" t="str">
        <f t="shared" si="37"/>
        <v>Jun</v>
      </c>
      <c r="G465" s="9">
        <f t="shared" si="38"/>
        <v>6</v>
      </c>
      <c r="H465" s="9">
        <f t="shared" si="35"/>
        <v>5</v>
      </c>
      <c r="I465" s="9" t="s">
        <v>43</v>
      </c>
      <c r="J465" s="9" t="s">
        <v>2134</v>
      </c>
      <c r="K465" s="9" t="s">
        <v>2135</v>
      </c>
      <c r="L465" s="9" t="s">
        <v>87</v>
      </c>
      <c r="M465" s="9" t="s">
        <v>23</v>
      </c>
      <c r="N465" s="9" t="s">
        <v>1190</v>
      </c>
      <c r="O465" s="9" t="s">
        <v>48</v>
      </c>
      <c r="P465" s="9">
        <v>14215</v>
      </c>
      <c r="Q465" s="9" t="s">
        <v>49</v>
      </c>
      <c r="R465" s="9" t="s">
        <v>2136</v>
      </c>
      <c r="S465" s="9" t="s">
        <v>39</v>
      </c>
      <c r="T465" s="9" t="s">
        <v>40</v>
      </c>
      <c r="U465" s="9" t="s">
        <v>2137</v>
      </c>
      <c r="V465" s="11">
        <v>1522.6379999999999</v>
      </c>
      <c r="W465" s="9" t="str">
        <f t="shared" si="39"/>
        <v>Slow Delivery</v>
      </c>
    </row>
    <row r="466" spans="1:23" x14ac:dyDescent="0.25">
      <c r="A466" s="9">
        <v>3003</v>
      </c>
      <c r="B466" s="10" t="s">
        <v>2144</v>
      </c>
      <c r="C466" s="10">
        <v>42556</v>
      </c>
      <c r="D466" s="10">
        <v>42561</v>
      </c>
      <c r="E466" s="9">
        <f t="shared" si="36"/>
        <v>2016</v>
      </c>
      <c r="F466" s="10" t="str">
        <f t="shared" si="37"/>
        <v>Jul</v>
      </c>
      <c r="G466" s="9">
        <f t="shared" si="38"/>
        <v>7</v>
      </c>
      <c r="H466" s="9">
        <f t="shared" si="35"/>
        <v>5</v>
      </c>
      <c r="I466" s="9" t="s">
        <v>43</v>
      </c>
      <c r="J466" s="9" t="s">
        <v>2145</v>
      </c>
      <c r="K466" s="9" t="s">
        <v>2146</v>
      </c>
      <c r="L466" s="9" t="s">
        <v>46</v>
      </c>
      <c r="M466" s="9" t="s">
        <v>23</v>
      </c>
      <c r="N466" s="9" t="s">
        <v>2147</v>
      </c>
      <c r="O466" s="9" t="s">
        <v>118</v>
      </c>
      <c r="P466" s="9">
        <v>48310</v>
      </c>
      <c r="Q466" s="9" t="s">
        <v>26</v>
      </c>
      <c r="R466" s="9" t="s">
        <v>2148</v>
      </c>
      <c r="S466" s="9" t="s">
        <v>66</v>
      </c>
      <c r="T466" s="9" t="s">
        <v>103</v>
      </c>
      <c r="U466" s="9" t="s">
        <v>2149</v>
      </c>
      <c r="V466" s="11">
        <v>19</v>
      </c>
      <c r="W466" s="9" t="str">
        <f t="shared" si="39"/>
        <v>Slow Delivery</v>
      </c>
    </row>
    <row r="467" spans="1:23" x14ac:dyDescent="0.25">
      <c r="A467" s="9">
        <v>4405</v>
      </c>
      <c r="B467" s="10" t="s">
        <v>2150</v>
      </c>
      <c r="C467" s="10">
        <v>42556</v>
      </c>
      <c r="D467" s="10">
        <v>42561</v>
      </c>
      <c r="E467" s="9">
        <f t="shared" si="36"/>
        <v>2016</v>
      </c>
      <c r="F467" s="10" t="str">
        <f t="shared" si="37"/>
        <v>Jul</v>
      </c>
      <c r="G467" s="9">
        <f t="shared" si="38"/>
        <v>7</v>
      </c>
      <c r="H467" s="9">
        <f t="shared" si="35"/>
        <v>5</v>
      </c>
      <c r="I467" s="9" t="s">
        <v>43</v>
      </c>
      <c r="J467" s="9" t="s">
        <v>2151</v>
      </c>
      <c r="K467" s="9" t="s">
        <v>2152</v>
      </c>
      <c r="L467" s="9" t="s">
        <v>22</v>
      </c>
      <c r="M467" s="9" t="s">
        <v>23</v>
      </c>
      <c r="N467" s="9" t="s">
        <v>149</v>
      </c>
      <c r="O467" s="9" t="s">
        <v>150</v>
      </c>
      <c r="P467" s="9">
        <v>19140</v>
      </c>
      <c r="Q467" s="9" t="s">
        <v>49</v>
      </c>
      <c r="R467" s="9" t="s">
        <v>2153</v>
      </c>
      <c r="S467" s="9" t="s">
        <v>28</v>
      </c>
      <c r="T467" s="9" t="s">
        <v>29</v>
      </c>
      <c r="U467" s="9" t="s">
        <v>2154</v>
      </c>
      <c r="V467" s="11">
        <v>34.799999999999997</v>
      </c>
      <c r="W467" s="9" t="str">
        <f t="shared" si="39"/>
        <v>Slow Delivery</v>
      </c>
    </row>
    <row r="468" spans="1:23" x14ac:dyDescent="0.25">
      <c r="A468" s="9">
        <v>1017</v>
      </c>
      <c r="B468" s="10" t="s">
        <v>2206</v>
      </c>
      <c r="C468" s="10">
        <v>42557</v>
      </c>
      <c r="D468" s="10">
        <v>42561</v>
      </c>
      <c r="E468" s="9">
        <f t="shared" si="36"/>
        <v>2016</v>
      </c>
      <c r="F468" s="10" t="str">
        <f t="shared" si="37"/>
        <v>Jul</v>
      </c>
      <c r="G468" s="9">
        <f t="shared" si="38"/>
        <v>7</v>
      </c>
      <c r="H468" s="9">
        <f t="shared" si="35"/>
        <v>4</v>
      </c>
      <c r="I468" s="9" t="s">
        <v>43</v>
      </c>
      <c r="J468" s="9" t="s">
        <v>2207</v>
      </c>
      <c r="K468" s="9" t="s">
        <v>2208</v>
      </c>
      <c r="L468" s="9" t="s">
        <v>87</v>
      </c>
      <c r="M468" s="9" t="s">
        <v>23</v>
      </c>
      <c r="N468" s="9" t="s">
        <v>47</v>
      </c>
      <c r="O468" s="9" t="s">
        <v>48</v>
      </c>
      <c r="P468" s="9">
        <v>10011</v>
      </c>
      <c r="Q468" s="9" t="s">
        <v>49</v>
      </c>
      <c r="R468" s="9" t="s">
        <v>2209</v>
      </c>
      <c r="S468" s="9" t="s">
        <v>39</v>
      </c>
      <c r="T468" s="9" t="s">
        <v>112</v>
      </c>
      <c r="U468" s="9" t="s">
        <v>2210</v>
      </c>
      <c r="V468" s="11">
        <v>13.96</v>
      </c>
      <c r="W468" s="9" t="str">
        <f t="shared" si="39"/>
        <v>Slow Delivery</v>
      </c>
    </row>
    <row r="469" spans="1:23" x14ac:dyDescent="0.25">
      <c r="A469" s="9">
        <v>9542</v>
      </c>
      <c r="B469" s="10" t="s">
        <v>2216</v>
      </c>
      <c r="C469" s="10">
        <v>42588</v>
      </c>
      <c r="D469" s="10">
        <v>42592</v>
      </c>
      <c r="E469" s="9">
        <f t="shared" si="36"/>
        <v>2016</v>
      </c>
      <c r="F469" s="10" t="str">
        <f t="shared" si="37"/>
        <v>Aug</v>
      </c>
      <c r="G469" s="9">
        <f t="shared" si="38"/>
        <v>8</v>
      </c>
      <c r="H469" s="9">
        <f t="shared" si="35"/>
        <v>4</v>
      </c>
      <c r="I469" s="9" t="s">
        <v>43</v>
      </c>
      <c r="J469" s="9" t="s">
        <v>2217</v>
      </c>
      <c r="K469" s="9" t="s">
        <v>2218</v>
      </c>
      <c r="L469" s="9" t="s">
        <v>87</v>
      </c>
      <c r="M469" s="9" t="s">
        <v>23</v>
      </c>
      <c r="N469" s="9" t="s">
        <v>72</v>
      </c>
      <c r="O469" s="9" t="s">
        <v>64</v>
      </c>
      <c r="P469" s="9">
        <v>77095</v>
      </c>
      <c r="Q469" s="9" t="s">
        <v>26</v>
      </c>
      <c r="R469" s="9" t="s">
        <v>2219</v>
      </c>
      <c r="S469" s="9" t="s">
        <v>66</v>
      </c>
      <c r="T469" s="9" t="s">
        <v>82</v>
      </c>
      <c r="U469" s="9" t="s">
        <v>2220</v>
      </c>
      <c r="V469" s="11">
        <v>35.520000000000003</v>
      </c>
      <c r="W469" s="9" t="str">
        <f t="shared" si="39"/>
        <v>Slow Delivery</v>
      </c>
    </row>
    <row r="470" spans="1:23" x14ac:dyDescent="0.25">
      <c r="A470" s="9">
        <v>6661</v>
      </c>
      <c r="B470" s="10" t="s">
        <v>2383</v>
      </c>
      <c r="C470" s="10">
        <v>42590</v>
      </c>
      <c r="D470" s="10">
        <v>42592</v>
      </c>
      <c r="E470" s="9">
        <f t="shared" si="36"/>
        <v>2016</v>
      </c>
      <c r="F470" s="10" t="str">
        <f t="shared" si="37"/>
        <v>Aug</v>
      </c>
      <c r="G470" s="9">
        <f t="shared" si="38"/>
        <v>8</v>
      </c>
      <c r="H470" s="9">
        <f t="shared" si="35"/>
        <v>2</v>
      </c>
      <c r="I470" s="9" t="s">
        <v>32</v>
      </c>
      <c r="J470" s="9" t="s">
        <v>2384</v>
      </c>
      <c r="K470" s="9" t="s">
        <v>2385</v>
      </c>
      <c r="L470" s="9" t="s">
        <v>22</v>
      </c>
      <c r="M470" s="9" t="s">
        <v>23</v>
      </c>
      <c r="N470" s="9" t="s">
        <v>1087</v>
      </c>
      <c r="O470" s="9" t="s">
        <v>89</v>
      </c>
      <c r="P470" s="9">
        <v>1841</v>
      </c>
      <c r="Q470" s="9" t="s">
        <v>49</v>
      </c>
      <c r="R470" s="9" t="s">
        <v>2386</v>
      </c>
      <c r="S470" s="9" t="s">
        <v>66</v>
      </c>
      <c r="T470" s="9" t="s">
        <v>158</v>
      </c>
      <c r="U470" s="9" t="s">
        <v>2387</v>
      </c>
      <c r="V470" s="11">
        <v>39.659999999999997</v>
      </c>
      <c r="W470" s="9" t="str">
        <f t="shared" si="39"/>
        <v>Fast Delivery</v>
      </c>
    </row>
    <row r="471" spans="1:23" x14ac:dyDescent="0.25">
      <c r="A471" s="9">
        <v>5282</v>
      </c>
      <c r="B471" s="10" t="s">
        <v>2163</v>
      </c>
      <c r="C471" s="10">
        <v>42618</v>
      </c>
      <c r="D471" s="10">
        <v>42623</v>
      </c>
      <c r="E471" s="9">
        <f t="shared" si="36"/>
        <v>2016</v>
      </c>
      <c r="F471" s="10" t="str">
        <f t="shared" si="37"/>
        <v>Sep</v>
      </c>
      <c r="G471" s="9">
        <f t="shared" si="38"/>
        <v>9</v>
      </c>
      <c r="H471" s="9">
        <f t="shared" si="35"/>
        <v>5</v>
      </c>
      <c r="I471" s="9" t="s">
        <v>43</v>
      </c>
      <c r="J471" s="9" t="s">
        <v>2164</v>
      </c>
      <c r="K471" s="9" t="s">
        <v>2165</v>
      </c>
      <c r="L471" s="9" t="s">
        <v>87</v>
      </c>
      <c r="M471" s="9" t="s">
        <v>23</v>
      </c>
      <c r="N471" s="9" t="s">
        <v>2166</v>
      </c>
      <c r="O471" s="9" t="s">
        <v>96</v>
      </c>
      <c r="P471" s="9">
        <v>55901</v>
      </c>
      <c r="Q471" s="9" t="s">
        <v>26</v>
      </c>
      <c r="R471" s="9" t="s">
        <v>2167</v>
      </c>
      <c r="S471" s="9" t="s">
        <v>39</v>
      </c>
      <c r="T471" s="9" t="s">
        <v>112</v>
      </c>
      <c r="U471" s="9" t="s">
        <v>2168</v>
      </c>
      <c r="V471" s="11">
        <v>6.16</v>
      </c>
      <c r="W471" s="9" t="str">
        <f t="shared" si="39"/>
        <v>Slow Delivery</v>
      </c>
    </row>
    <row r="472" spans="1:23" x14ac:dyDescent="0.25">
      <c r="A472" s="9">
        <v>1529</v>
      </c>
      <c r="B472" s="10" t="s">
        <v>2330</v>
      </c>
      <c r="C472" s="10">
        <v>42681</v>
      </c>
      <c r="D472" s="10">
        <v>42684</v>
      </c>
      <c r="E472" s="9">
        <f t="shared" si="36"/>
        <v>2016</v>
      </c>
      <c r="F472" s="10" t="str">
        <f t="shared" si="37"/>
        <v>Nov</v>
      </c>
      <c r="G472" s="9">
        <f t="shared" si="38"/>
        <v>11</v>
      </c>
      <c r="H472" s="9">
        <f t="shared" si="35"/>
        <v>3</v>
      </c>
      <c r="I472" s="9" t="s">
        <v>32</v>
      </c>
      <c r="J472" s="9" t="s">
        <v>2331</v>
      </c>
      <c r="K472" s="9" t="s">
        <v>2332</v>
      </c>
      <c r="L472" s="9" t="s">
        <v>87</v>
      </c>
      <c r="M472" s="9" t="s">
        <v>23</v>
      </c>
      <c r="N472" s="9" t="s">
        <v>1814</v>
      </c>
      <c r="O472" s="9" t="s">
        <v>1475</v>
      </c>
      <c r="P472" s="9">
        <v>19711</v>
      </c>
      <c r="Q472" s="9" t="s">
        <v>49</v>
      </c>
      <c r="R472" s="9" t="s">
        <v>2333</v>
      </c>
      <c r="S472" s="9" t="s">
        <v>66</v>
      </c>
      <c r="T472" s="9" t="s">
        <v>67</v>
      </c>
      <c r="U472" s="9" t="s">
        <v>2334</v>
      </c>
      <c r="V472" s="11">
        <v>26.18</v>
      </c>
      <c r="W472" s="9" t="str">
        <f t="shared" si="39"/>
        <v>Fast Delivery</v>
      </c>
    </row>
    <row r="473" spans="1:23" x14ac:dyDescent="0.25">
      <c r="A473" s="9">
        <v>2260</v>
      </c>
      <c r="B473" s="10" t="s">
        <v>2403</v>
      </c>
      <c r="C473" s="10">
        <v>42682</v>
      </c>
      <c r="D473" s="10">
        <v>42684</v>
      </c>
      <c r="E473" s="9">
        <f t="shared" si="36"/>
        <v>2016</v>
      </c>
      <c r="F473" s="10" t="str">
        <f t="shared" si="37"/>
        <v>Nov</v>
      </c>
      <c r="G473" s="9">
        <f t="shared" si="38"/>
        <v>11</v>
      </c>
      <c r="H473" s="9">
        <f t="shared" si="35"/>
        <v>2</v>
      </c>
      <c r="I473" s="9" t="s">
        <v>32</v>
      </c>
      <c r="J473" s="9" t="s">
        <v>2404</v>
      </c>
      <c r="K473" s="9" t="s">
        <v>2405</v>
      </c>
      <c r="L473" s="9" t="s">
        <v>46</v>
      </c>
      <c r="M473" s="9" t="s">
        <v>23</v>
      </c>
      <c r="N473" s="9" t="s">
        <v>268</v>
      </c>
      <c r="O473" s="9" t="s">
        <v>80</v>
      </c>
      <c r="P473" s="9">
        <v>92024</v>
      </c>
      <c r="Q473" s="9" t="s">
        <v>37</v>
      </c>
      <c r="R473" s="9" t="s">
        <v>1240</v>
      </c>
      <c r="S473" s="9" t="s">
        <v>66</v>
      </c>
      <c r="T473" s="9" t="s">
        <v>67</v>
      </c>
      <c r="U473" s="9" t="s">
        <v>1241</v>
      </c>
      <c r="V473" s="11">
        <v>5</v>
      </c>
      <c r="W473" s="9" t="str">
        <f t="shared" si="39"/>
        <v>Fast Delivery</v>
      </c>
    </row>
    <row r="474" spans="1:23" x14ac:dyDescent="0.25">
      <c r="A474" s="9">
        <v>3374</v>
      </c>
      <c r="B474" s="10" t="s">
        <v>2077</v>
      </c>
      <c r="C474" s="10">
        <v>42708</v>
      </c>
      <c r="D474" s="10">
        <v>42714</v>
      </c>
      <c r="E474" s="9">
        <f t="shared" si="36"/>
        <v>2016</v>
      </c>
      <c r="F474" s="10" t="str">
        <f t="shared" si="37"/>
        <v>Dec</v>
      </c>
      <c r="G474" s="9">
        <f t="shared" si="38"/>
        <v>12</v>
      </c>
      <c r="H474" s="9">
        <f t="shared" si="35"/>
        <v>6</v>
      </c>
      <c r="I474" s="9" t="s">
        <v>43</v>
      </c>
      <c r="J474" s="9" t="s">
        <v>2078</v>
      </c>
      <c r="K474" s="9" t="s">
        <v>2079</v>
      </c>
      <c r="L474" s="9" t="s">
        <v>22</v>
      </c>
      <c r="M474" s="9" t="s">
        <v>23</v>
      </c>
      <c r="N474" s="9" t="s">
        <v>2080</v>
      </c>
      <c r="O474" s="9" t="s">
        <v>48</v>
      </c>
      <c r="P474" s="9">
        <v>11550</v>
      </c>
      <c r="Q474" s="9" t="s">
        <v>49</v>
      </c>
      <c r="R474" s="9" t="s">
        <v>2081</v>
      </c>
      <c r="S474" s="9" t="s">
        <v>39</v>
      </c>
      <c r="T474" s="9" t="s">
        <v>112</v>
      </c>
      <c r="U474" s="9" t="s">
        <v>2082</v>
      </c>
      <c r="V474" s="11">
        <v>28.44</v>
      </c>
      <c r="W474" s="9" t="str">
        <f t="shared" si="39"/>
        <v>Slow Delivery</v>
      </c>
    </row>
    <row r="475" spans="1:23" x14ac:dyDescent="0.25">
      <c r="A475" s="9">
        <v>6454</v>
      </c>
      <c r="B475" s="10" t="s">
        <v>2388</v>
      </c>
      <c r="C475" s="10">
        <v>42651</v>
      </c>
      <c r="D475" s="10">
        <v>42656</v>
      </c>
      <c r="E475" s="9">
        <f t="shared" si="36"/>
        <v>2016</v>
      </c>
      <c r="F475" s="10" t="str">
        <f t="shared" si="37"/>
        <v>Oct</v>
      </c>
      <c r="G475" s="9">
        <f t="shared" si="38"/>
        <v>10</v>
      </c>
      <c r="H475" s="9">
        <f t="shared" si="35"/>
        <v>5</v>
      </c>
      <c r="I475" s="9" t="s">
        <v>43</v>
      </c>
      <c r="J475" s="9" t="s">
        <v>2389</v>
      </c>
      <c r="K475" s="9" t="s">
        <v>2390</v>
      </c>
      <c r="L475" s="9" t="s">
        <v>22</v>
      </c>
      <c r="M475" s="9" t="s">
        <v>23</v>
      </c>
      <c r="N475" s="9" t="s">
        <v>72</v>
      </c>
      <c r="O475" s="9" t="s">
        <v>64</v>
      </c>
      <c r="P475" s="9">
        <v>77036</v>
      </c>
      <c r="Q475" s="9" t="s">
        <v>26</v>
      </c>
      <c r="R475" s="9" t="s">
        <v>2391</v>
      </c>
      <c r="S475" s="9" t="s">
        <v>66</v>
      </c>
      <c r="T475" s="9" t="s">
        <v>158</v>
      </c>
      <c r="U475" s="9" t="s">
        <v>2392</v>
      </c>
      <c r="V475" s="11">
        <v>3.44</v>
      </c>
      <c r="W475" s="9" t="str">
        <f t="shared" si="39"/>
        <v>Slow Delivery</v>
      </c>
    </row>
    <row r="476" spans="1:23" x14ac:dyDescent="0.25">
      <c r="A476" s="9">
        <v>8134</v>
      </c>
      <c r="B476" s="10" t="s">
        <v>2393</v>
      </c>
      <c r="C476" s="10">
        <v>42651</v>
      </c>
      <c r="D476" s="10">
        <v>42656</v>
      </c>
      <c r="E476" s="9">
        <f t="shared" si="36"/>
        <v>2016</v>
      </c>
      <c r="F476" s="10" t="str">
        <f t="shared" si="37"/>
        <v>Oct</v>
      </c>
      <c r="G476" s="9">
        <f t="shared" si="38"/>
        <v>10</v>
      </c>
      <c r="H476" s="9">
        <f t="shared" si="35"/>
        <v>5</v>
      </c>
      <c r="I476" s="9" t="s">
        <v>43</v>
      </c>
      <c r="J476" s="9" t="s">
        <v>2394</v>
      </c>
      <c r="K476" s="9" t="s">
        <v>2395</v>
      </c>
      <c r="L476" s="9" t="s">
        <v>87</v>
      </c>
      <c r="M476" s="9" t="s">
        <v>23</v>
      </c>
      <c r="N476" s="9" t="s">
        <v>556</v>
      </c>
      <c r="O476" s="9" t="s">
        <v>64</v>
      </c>
      <c r="P476" s="9">
        <v>75081</v>
      </c>
      <c r="Q476" s="9" t="s">
        <v>26</v>
      </c>
      <c r="R476" s="9" t="s">
        <v>2396</v>
      </c>
      <c r="S476" s="9" t="s">
        <v>39</v>
      </c>
      <c r="T476" s="9" t="s">
        <v>112</v>
      </c>
      <c r="U476" s="9" t="s">
        <v>2397</v>
      </c>
      <c r="V476" s="11">
        <v>72.78</v>
      </c>
      <c r="W476" s="9" t="str">
        <f t="shared" si="39"/>
        <v>Slow Delivery</v>
      </c>
    </row>
    <row r="477" spans="1:23" x14ac:dyDescent="0.25">
      <c r="A477" s="9">
        <v>7312</v>
      </c>
      <c r="B477" s="10" t="s">
        <v>2461</v>
      </c>
      <c r="C477" s="10">
        <v>42652</v>
      </c>
      <c r="D477" s="10">
        <v>42656</v>
      </c>
      <c r="E477" s="9">
        <f t="shared" si="36"/>
        <v>2016</v>
      </c>
      <c r="F477" s="10" t="str">
        <f t="shared" si="37"/>
        <v>Oct</v>
      </c>
      <c r="G477" s="9">
        <f t="shared" si="38"/>
        <v>10</v>
      </c>
      <c r="H477" s="9">
        <f t="shared" si="35"/>
        <v>4</v>
      </c>
      <c r="I477" s="9" t="s">
        <v>43</v>
      </c>
      <c r="J477" s="9" t="s">
        <v>2462</v>
      </c>
      <c r="K477" s="9" t="s">
        <v>2463</v>
      </c>
      <c r="L477" s="9" t="s">
        <v>22</v>
      </c>
      <c r="M477" s="9" t="s">
        <v>23</v>
      </c>
      <c r="N477" s="9" t="s">
        <v>1502</v>
      </c>
      <c r="O477" s="9" t="s">
        <v>130</v>
      </c>
      <c r="P477" s="9">
        <v>33178</v>
      </c>
      <c r="Q477" s="9" t="s">
        <v>110</v>
      </c>
      <c r="R477" s="9" t="s">
        <v>2464</v>
      </c>
      <c r="S477" s="9" t="s">
        <v>66</v>
      </c>
      <c r="T477" s="9" t="s">
        <v>103</v>
      </c>
      <c r="U477" s="9" t="s">
        <v>2465</v>
      </c>
      <c r="V477" s="11">
        <v>1.8720000000000001</v>
      </c>
      <c r="W477" s="9" t="str">
        <f t="shared" si="39"/>
        <v>Slow Delivery</v>
      </c>
    </row>
    <row r="478" spans="1:23" x14ac:dyDescent="0.25">
      <c r="A478" s="9">
        <v>9263</v>
      </c>
      <c r="B478" s="10" t="s">
        <v>2466</v>
      </c>
      <c r="C478" s="10">
        <v>42652</v>
      </c>
      <c r="D478" s="10">
        <v>42656</v>
      </c>
      <c r="E478" s="9">
        <f t="shared" si="36"/>
        <v>2016</v>
      </c>
      <c r="F478" s="10" t="str">
        <f t="shared" si="37"/>
        <v>Oct</v>
      </c>
      <c r="G478" s="9">
        <f t="shared" si="38"/>
        <v>10</v>
      </c>
      <c r="H478" s="9">
        <f t="shared" si="35"/>
        <v>4</v>
      </c>
      <c r="I478" s="9" t="s">
        <v>43</v>
      </c>
      <c r="J478" s="9" t="s">
        <v>2467</v>
      </c>
      <c r="K478" s="9" t="s">
        <v>2468</v>
      </c>
      <c r="L478" s="9" t="s">
        <v>22</v>
      </c>
      <c r="M478" s="9" t="s">
        <v>23</v>
      </c>
      <c r="N478" s="9" t="s">
        <v>117</v>
      </c>
      <c r="O478" s="9" t="s">
        <v>118</v>
      </c>
      <c r="P478" s="9">
        <v>48227</v>
      </c>
      <c r="Q478" s="9" t="s">
        <v>26</v>
      </c>
      <c r="R478" s="9" t="s">
        <v>2469</v>
      </c>
      <c r="S478" s="9" t="s">
        <v>39</v>
      </c>
      <c r="T478" s="9" t="s">
        <v>40</v>
      </c>
      <c r="U478" s="9" t="s">
        <v>2470</v>
      </c>
      <c r="V478" s="11">
        <v>389.97</v>
      </c>
      <c r="W478" s="9" t="str">
        <f t="shared" si="39"/>
        <v>Slow Delivery</v>
      </c>
    </row>
    <row r="479" spans="1:23" x14ac:dyDescent="0.25">
      <c r="A479" s="9">
        <v>2117</v>
      </c>
      <c r="B479" s="10" t="s">
        <v>2654</v>
      </c>
      <c r="C479" s="10">
        <v>42655</v>
      </c>
      <c r="D479" s="10">
        <v>42660</v>
      </c>
      <c r="E479" s="9">
        <f t="shared" si="36"/>
        <v>2016</v>
      </c>
      <c r="F479" s="10" t="str">
        <f t="shared" si="37"/>
        <v>Oct</v>
      </c>
      <c r="G479" s="9">
        <f t="shared" si="38"/>
        <v>10</v>
      </c>
      <c r="H479" s="9">
        <f t="shared" si="35"/>
        <v>5</v>
      </c>
      <c r="I479" s="9" t="s">
        <v>32</v>
      </c>
      <c r="J479" s="9" t="s">
        <v>2655</v>
      </c>
      <c r="K479" s="9" t="s">
        <v>2656</v>
      </c>
      <c r="L479" s="9" t="s">
        <v>22</v>
      </c>
      <c r="M479" s="9" t="s">
        <v>23</v>
      </c>
      <c r="N479" s="9" t="s">
        <v>2166</v>
      </c>
      <c r="O479" s="9" t="s">
        <v>48</v>
      </c>
      <c r="P479" s="9">
        <v>14609</v>
      </c>
      <c r="Q479" s="9" t="s">
        <v>49</v>
      </c>
      <c r="R479" s="9" t="s">
        <v>841</v>
      </c>
      <c r="S479" s="9" t="s">
        <v>39</v>
      </c>
      <c r="T479" s="9" t="s">
        <v>480</v>
      </c>
      <c r="U479" s="9" t="s">
        <v>842</v>
      </c>
      <c r="V479" s="11">
        <v>209.67</v>
      </c>
      <c r="W479" s="9" t="str">
        <f t="shared" si="39"/>
        <v>Slow Delivery</v>
      </c>
    </row>
    <row r="480" spans="1:23" x14ac:dyDescent="0.25">
      <c r="A480" s="9">
        <v>6390</v>
      </c>
      <c r="B480" s="10" t="s">
        <v>2268</v>
      </c>
      <c r="C480" s="10">
        <v>42407</v>
      </c>
      <c r="D480" s="10">
        <v>42411</v>
      </c>
      <c r="E480" s="9">
        <f t="shared" si="36"/>
        <v>2016</v>
      </c>
      <c r="F480" s="10" t="str">
        <f t="shared" si="37"/>
        <v>Feb</v>
      </c>
      <c r="G480" s="9">
        <f t="shared" si="38"/>
        <v>2</v>
      </c>
      <c r="H480" s="9">
        <f t="shared" si="35"/>
        <v>4</v>
      </c>
      <c r="I480" s="9" t="s">
        <v>43</v>
      </c>
      <c r="J480" s="9" t="s">
        <v>2269</v>
      </c>
      <c r="K480" s="9" t="s">
        <v>2270</v>
      </c>
      <c r="L480" s="9" t="s">
        <v>87</v>
      </c>
      <c r="M480" s="9" t="s">
        <v>23</v>
      </c>
      <c r="N480" s="9" t="s">
        <v>335</v>
      </c>
      <c r="O480" s="9" t="s">
        <v>298</v>
      </c>
      <c r="P480" s="9">
        <v>22153</v>
      </c>
      <c r="Q480" s="9" t="s">
        <v>110</v>
      </c>
      <c r="R480" s="9" t="s">
        <v>903</v>
      </c>
      <c r="S480" s="9" t="s">
        <v>66</v>
      </c>
      <c r="T480" s="9" t="s">
        <v>280</v>
      </c>
      <c r="U480" s="9" t="s">
        <v>904</v>
      </c>
      <c r="V480" s="11">
        <v>311.14999999999998</v>
      </c>
      <c r="W480" s="9" t="str">
        <f t="shared" si="39"/>
        <v>Slow Delivery</v>
      </c>
    </row>
    <row r="481" spans="1:23" x14ac:dyDescent="0.25">
      <c r="A481" s="9">
        <v>7370</v>
      </c>
      <c r="B481" s="10" t="s">
        <v>2434</v>
      </c>
      <c r="C481" s="10">
        <v>42438</v>
      </c>
      <c r="D481" s="10">
        <v>42440</v>
      </c>
      <c r="E481" s="9">
        <f t="shared" si="36"/>
        <v>2016</v>
      </c>
      <c r="F481" s="10" t="str">
        <f t="shared" si="37"/>
        <v>Mar</v>
      </c>
      <c r="G481" s="9">
        <f t="shared" si="38"/>
        <v>3</v>
      </c>
      <c r="H481" s="9">
        <f t="shared" si="35"/>
        <v>2</v>
      </c>
      <c r="I481" s="9" t="s">
        <v>32</v>
      </c>
      <c r="J481" s="9" t="s">
        <v>2435</v>
      </c>
      <c r="K481" s="9" t="s">
        <v>2436</v>
      </c>
      <c r="L481" s="9" t="s">
        <v>22</v>
      </c>
      <c r="M481" s="9" t="s">
        <v>23</v>
      </c>
      <c r="N481" s="9" t="s">
        <v>1865</v>
      </c>
      <c r="O481" s="9" t="s">
        <v>137</v>
      </c>
      <c r="P481" s="9">
        <v>27604</v>
      </c>
      <c r="Q481" s="9" t="s">
        <v>110</v>
      </c>
      <c r="R481" s="9" t="s">
        <v>524</v>
      </c>
      <c r="S481" s="9" t="s">
        <v>66</v>
      </c>
      <c r="T481" s="9" t="s">
        <v>82</v>
      </c>
      <c r="U481" s="9" t="s">
        <v>525</v>
      </c>
      <c r="V481" s="11">
        <v>4.6079999999999997</v>
      </c>
      <c r="W481" s="9" t="str">
        <f t="shared" si="39"/>
        <v>Fast Delivery</v>
      </c>
    </row>
    <row r="482" spans="1:23" x14ac:dyDescent="0.25">
      <c r="A482" s="9">
        <v>7646</v>
      </c>
      <c r="B482" s="10" t="s">
        <v>2124</v>
      </c>
      <c r="C482" s="10">
        <v>42465</v>
      </c>
      <c r="D482" s="10">
        <v>42471</v>
      </c>
      <c r="E482" s="9">
        <f t="shared" si="36"/>
        <v>2016</v>
      </c>
      <c r="F482" s="10" t="str">
        <f t="shared" si="37"/>
        <v>Apr</v>
      </c>
      <c r="G482" s="9">
        <f t="shared" si="38"/>
        <v>4</v>
      </c>
      <c r="H482" s="9">
        <f t="shared" si="35"/>
        <v>6</v>
      </c>
      <c r="I482" s="9" t="s">
        <v>43</v>
      </c>
      <c r="J482" s="9" t="s">
        <v>2125</v>
      </c>
      <c r="K482" s="9" t="s">
        <v>2126</v>
      </c>
      <c r="L482" s="9" t="s">
        <v>87</v>
      </c>
      <c r="M482" s="9" t="s">
        <v>23</v>
      </c>
      <c r="N482" s="9" t="s">
        <v>213</v>
      </c>
      <c r="O482" s="9" t="s">
        <v>80</v>
      </c>
      <c r="P482" s="9">
        <v>90036</v>
      </c>
      <c r="Q482" s="9" t="s">
        <v>37</v>
      </c>
      <c r="R482" s="9" t="s">
        <v>1809</v>
      </c>
      <c r="S482" s="9" t="s">
        <v>39</v>
      </c>
      <c r="T482" s="9" t="s">
        <v>40</v>
      </c>
      <c r="U482" s="9" t="s">
        <v>1810</v>
      </c>
      <c r="V482" s="11">
        <v>892.22400000000005</v>
      </c>
      <c r="W482" s="9" t="str">
        <f t="shared" si="39"/>
        <v>Slow Delivery</v>
      </c>
    </row>
    <row r="483" spans="1:23" x14ac:dyDescent="0.25">
      <c r="A483" s="9">
        <v>6595</v>
      </c>
      <c r="B483" s="10" t="s">
        <v>2030</v>
      </c>
      <c r="C483" s="10">
        <v>42494</v>
      </c>
      <c r="D483" s="10">
        <v>42501</v>
      </c>
      <c r="E483" s="9">
        <f t="shared" si="36"/>
        <v>2016</v>
      </c>
      <c r="F483" s="10" t="str">
        <f t="shared" si="37"/>
        <v>May</v>
      </c>
      <c r="G483" s="9">
        <f t="shared" si="38"/>
        <v>5</v>
      </c>
      <c r="H483" s="9">
        <f t="shared" si="35"/>
        <v>7</v>
      </c>
      <c r="I483" s="9" t="s">
        <v>43</v>
      </c>
      <c r="J483" s="9" t="s">
        <v>2031</v>
      </c>
      <c r="K483" s="9" t="s">
        <v>2032</v>
      </c>
      <c r="L483" s="9" t="s">
        <v>87</v>
      </c>
      <c r="M483" s="9" t="s">
        <v>23</v>
      </c>
      <c r="N483" s="9" t="s">
        <v>2033</v>
      </c>
      <c r="O483" s="9" t="s">
        <v>1825</v>
      </c>
      <c r="P483" s="9">
        <v>46203</v>
      </c>
      <c r="Q483" s="9" t="s">
        <v>26</v>
      </c>
      <c r="R483" s="9" t="s">
        <v>182</v>
      </c>
      <c r="S483" s="9" t="s">
        <v>66</v>
      </c>
      <c r="T483" s="9" t="s">
        <v>158</v>
      </c>
      <c r="U483" s="9" t="s">
        <v>183</v>
      </c>
      <c r="V483" s="11">
        <v>125.93</v>
      </c>
      <c r="W483" s="9" t="str">
        <f t="shared" si="39"/>
        <v>Slow Delivery</v>
      </c>
    </row>
    <row r="484" spans="1:23" x14ac:dyDescent="0.25">
      <c r="A484" s="9">
        <v>5671</v>
      </c>
      <c r="B484" s="10" t="s">
        <v>2451</v>
      </c>
      <c r="C484" s="10">
        <v>42530</v>
      </c>
      <c r="D484" s="10">
        <v>42532</v>
      </c>
      <c r="E484" s="9">
        <f t="shared" si="36"/>
        <v>2016</v>
      </c>
      <c r="F484" s="10" t="str">
        <f t="shared" si="37"/>
        <v>Jun</v>
      </c>
      <c r="G484" s="9">
        <f t="shared" si="38"/>
        <v>6</v>
      </c>
      <c r="H484" s="9">
        <f t="shared" si="35"/>
        <v>2</v>
      </c>
      <c r="I484" s="9" t="s">
        <v>32</v>
      </c>
      <c r="J484" s="9" t="s">
        <v>2452</v>
      </c>
      <c r="K484" s="9" t="s">
        <v>2453</v>
      </c>
      <c r="L484" s="9" t="s">
        <v>22</v>
      </c>
      <c r="M484" s="9" t="s">
        <v>23</v>
      </c>
      <c r="N484" s="9" t="s">
        <v>2454</v>
      </c>
      <c r="O484" s="9" t="s">
        <v>1468</v>
      </c>
      <c r="P484" s="9">
        <v>83201</v>
      </c>
      <c r="Q484" s="9" t="s">
        <v>37</v>
      </c>
      <c r="R484" s="9" t="s">
        <v>299</v>
      </c>
      <c r="S484" s="9" t="s">
        <v>39</v>
      </c>
      <c r="T484" s="9" t="s">
        <v>112</v>
      </c>
      <c r="U484" s="9" t="s">
        <v>300</v>
      </c>
      <c r="V484" s="11">
        <v>355.36</v>
      </c>
      <c r="W484" s="9" t="str">
        <f t="shared" si="39"/>
        <v>Fast Delivery</v>
      </c>
    </row>
    <row r="485" spans="1:23" x14ac:dyDescent="0.25">
      <c r="A485" s="9">
        <v>5164</v>
      </c>
      <c r="B485" s="10" t="s">
        <v>2211</v>
      </c>
      <c r="C485" s="10">
        <v>42557</v>
      </c>
      <c r="D485" s="10">
        <v>42562</v>
      </c>
      <c r="E485" s="9">
        <f t="shared" si="36"/>
        <v>2016</v>
      </c>
      <c r="F485" s="10" t="str">
        <f t="shared" si="37"/>
        <v>Jul</v>
      </c>
      <c r="G485" s="9">
        <f t="shared" si="38"/>
        <v>7</v>
      </c>
      <c r="H485" s="9">
        <f t="shared" si="35"/>
        <v>5</v>
      </c>
      <c r="I485" s="9" t="s">
        <v>43</v>
      </c>
      <c r="J485" s="9" t="s">
        <v>2212</v>
      </c>
      <c r="K485" s="9" t="s">
        <v>2213</v>
      </c>
      <c r="L485" s="9" t="s">
        <v>22</v>
      </c>
      <c r="M485" s="9" t="s">
        <v>23</v>
      </c>
      <c r="N485" s="9" t="s">
        <v>1587</v>
      </c>
      <c r="O485" s="9" t="s">
        <v>80</v>
      </c>
      <c r="P485" s="9">
        <v>91104</v>
      </c>
      <c r="Q485" s="9" t="s">
        <v>37</v>
      </c>
      <c r="R485" s="9" t="s">
        <v>2214</v>
      </c>
      <c r="S485" s="9" t="s">
        <v>39</v>
      </c>
      <c r="T485" s="9" t="s">
        <v>40</v>
      </c>
      <c r="U485" s="9" t="s">
        <v>2215</v>
      </c>
      <c r="V485" s="11">
        <v>170.352</v>
      </c>
      <c r="W485" s="9" t="str">
        <f t="shared" si="39"/>
        <v>Slow Delivery</v>
      </c>
    </row>
    <row r="486" spans="1:23" x14ac:dyDescent="0.25">
      <c r="A486" s="9">
        <v>4466</v>
      </c>
      <c r="B486" s="10" t="s">
        <v>2292</v>
      </c>
      <c r="C486" s="10">
        <v>42589</v>
      </c>
      <c r="D486" s="10">
        <v>42593</v>
      </c>
      <c r="E486" s="9">
        <f t="shared" si="36"/>
        <v>2016</v>
      </c>
      <c r="F486" s="10" t="str">
        <f t="shared" si="37"/>
        <v>Aug</v>
      </c>
      <c r="G486" s="9">
        <f t="shared" si="38"/>
        <v>8</v>
      </c>
      <c r="H486" s="9">
        <f t="shared" si="35"/>
        <v>4</v>
      </c>
      <c r="I486" s="9" t="s">
        <v>43</v>
      </c>
      <c r="J486" s="9" t="s">
        <v>2293</v>
      </c>
      <c r="K486" s="9" t="s">
        <v>2294</v>
      </c>
      <c r="L486" s="9" t="s">
        <v>87</v>
      </c>
      <c r="M486" s="9" t="s">
        <v>23</v>
      </c>
      <c r="N486" s="9" t="s">
        <v>2295</v>
      </c>
      <c r="O486" s="9" t="s">
        <v>1468</v>
      </c>
      <c r="P486" s="9">
        <v>83704</v>
      </c>
      <c r="Q486" s="9" t="s">
        <v>37</v>
      </c>
      <c r="R486" s="9" t="s">
        <v>2296</v>
      </c>
      <c r="S486" s="9" t="s">
        <v>66</v>
      </c>
      <c r="T486" s="9" t="s">
        <v>103</v>
      </c>
      <c r="U486" s="9" t="s">
        <v>2297</v>
      </c>
      <c r="V486" s="11">
        <v>3.3039999999999998</v>
      </c>
      <c r="W486" s="9" t="str">
        <f t="shared" si="39"/>
        <v>Slow Delivery</v>
      </c>
    </row>
    <row r="487" spans="1:23" x14ac:dyDescent="0.25">
      <c r="A487" s="9">
        <v>4488</v>
      </c>
      <c r="B487" s="10" t="s">
        <v>2160</v>
      </c>
      <c r="C487" s="10">
        <v>42618</v>
      </c>
      <c r="D487" s="10">
        <v>42624</v>
      </c>
      <c r="E487" s="9">
        <f t="shared" si="36"/>
        <v>2016</v>
      </c>
      <c r="F487" s="10" t="str">
        <f t="shared" si="37"/>
        <v>Sep</v>
      </c>
      <c r="G487" s="9">
        <f t="shared" si="38"/>
        <v>9</v>
      </c>
      <c r="H487" s="9">
        <f t="shared" si="35"/>
        <v>6</v>
      </c>
      <c r="I487" s="9" t="s">
        <v>43</v>
      </c>
      <c r="J487" s="9" t="s">
        <v>2161</v>
      </c>
      <c r="K487" s="9" t="s">
        <v>2162</v>
      </c>
      <c r="L487" s="9" t="s">
        <v>46</v>
      </c>
      <c r="M487" s="9" t="s">
        <v>23</v>
      </c>
      <c r="N487" s="9" t="s">
        <v>72</v>
      </c>
      <c r="O487" s="9" t="s">
        <v>64</v>
      </c>
      <c r="P487" s="9">
        <v>77036</v>
      </c>
      <c r="Q487" s="9" t="s">
        <v>26</v>
      </c>
      <c r="R487" s="9" t="s">
        <v>731</v>
      </c>
      <c r="S487" s="9" t="s">
        <v>66</v>
      </c>
      <c r="T487" s="9" t="s">
        <v>103</v>
      </c>
      <c r="U487" s="9" t="s">
        <v>732</v>
      </c>
      <c r="V487" s="11">
        <v>16.27</v>
      </c>
      <c r="W487" s="9" t="str">
        <f t="shared" si="39"/>
        <v>Slow Delivery</v>
      </c>
    </row>
    <row r="488" spans="1:23" x14ac:dyDescent="0.25">
      <c r="A488" s="9">
        <v>2806</v>
      </c>
      <c r="B488" s="10" t="s">
        <v>2315</v>
      </c>
      <c r="C488" s="10">
        <v>42620</v>
      </c>
      <c r="D488" s="10">
        <v>42624</v>
      </c>
      <c r="E488" s="9">
        <f t="shared" si="36"/>
        <v>2016</v>
      </c>
      <c r="F488" s="10" t="str">
        <f t="shared" si="37"/>
        <v>Sep</v>
      </c>
      <c r="G488" s="9">
        <f t="shared" si="38"/>
        <v>9</v>
      </c>
      <c r="H488" s="9">
        <f t="shared" si="35"/>
        <v>4</v>
      </c>
      <c r="I488" s="9" t="s">
        <v>43</v>
      </c>
      <c r="J488" s="9" t="s">
        <v>2316</v>
      </c>
      <c r="K488" s="9" t="s">
        <v>2317</v>
      </c>
      <c r="L488" s="9" t="s">
        <v>22</v>
      </c>
      <c r="M488" s="9" t="s">
        <v>23</v>
      </c>
      <c r="N488" s="9" t="s">
        <v>63</v>
      </c>
      <c r="O488" s="9" t="s">
        <v>64</v>
      </c>
      <c r="P488" s="9">
        <v>79907</v>
      </c>
      <c r="Q488" s="9" t="s">
        <v>26</v>
      </c>
      <c r="R488" s="9" t="s">
        <v>2318</v>
      </c>
      <c r="S488" s="9" t="s">
        <v>39</v>
      </c>
      <c r="T488" s="9" t="s">
        <v>40</v>
      </c>
      <c r="U488" s="9" t="s">
        <v>2319</v>
      </c>
      <c r="V488" s="11">
        <v>47.515999999999998</v>
      </c>
      <c r="W488" s="9" t="str">
        <f t="shared" si="39"/>
        <v>Slow Delivery</v>
      </c>
    </row>
    <row r="489" spans="1:23" x14ac:dyDescent="0.25">
      <c r="A489" s="9">
        <v>6048</v>
      </c>
      <c r="B489" s="10" t="s">
        <v>2335</v>
      </c>
      <c r="C489" s="10">
        <v>42681</v>
      </c>
      <c r="D489" s="10">
        <v>42685</v>
      </c>
      <c r="E489" s="9">
        <f t="shared" si="36"/>
        <v>2016</v>
      </c>
      <c r="F489" s="10" t="str">
        <f t="shared" si="37"/>
        <v>Nov</v>
      </c>
      <c r="G489" s="9">
        <f t="shared" si="38"/>
        <v>11</v>
      </c>
      <c r="H489" s="9">
        <f t="shared" si="35"/>
        <v>4</v>
      </c>
      <c r="I489" s="9" t="s">
        <v>43</v>
      </c>
      <c r="J489" s="9" t="s">
        <v>2336</v>
      </c>
      <c r="K489" s="9" t="s">
        <v>2337</v>
      </c>
      <c r="L489" s="9" t="s">
        <v>87</v>
      </c>
      <c r="M489" s="9" t="s">
        <v>23</v>
      </c>
      <c r="N489" s="9" t="s">
        <v>1502</v>
      </c>
      <c r="O489" s="9" t="s">
        <v>130</v>
      </c>
      <c r="P489" s="9">
        <v>33142</v>
      </c>
      <c r="Q489" s="9" t="s">
        <v>110</v>
      </c>
      <c r="R489" s="9" t="s">
        <v>2338</v>
      </c>
      <c r="S489" s="9" t="s">
        <v>66</v>
      </c>
      <c r="T489" s="9" t="s">
        <v>103</v>
      </c>
      <c r="U489" s="9" t="s">
        <v>2339</v>
      </c>
      <c r="V489" s="11">
        <v>16.146000000000001</v>
      </c>
      <c r="W489" s="9" t="str">
        <f t="shared" si="39"/>
        <v>Slow Delivery</v>
      </c>
    </row>
    <row r="490" spans="1:23" x14ac:dyDescent="0.25">
      <c r="A490" s="9">
        <v>1522</v>
      </c>
      <c r="B490" s="10" t="s">
        <v>2246</v>
      </c>
      <c r="C490" s="10">
        <v>42710</v>
      </c>
      <c r="D490" s="10">
        <v>42715</v>
      </c>
      <c r="E490" s="9">
        <f t="shared" si="36"/>
        <v>2016</v>
      </c>
      <c r="F490" s="10" t="str">
        <f t="shared" si="37"/>
        <v>Dec</v>
      </c>
      <c r="G490" s="9">
        <f t="shared" si="38"/>
        <v>12</v>
      </c>
      <c r="H490" s="9">
        <f t="shared" si="35"/>
        <v>5</v>
      </c>
      <c r="I490" s="9" t="s">
        <v>43</v>
      </c>
      <c r="J490" s="9" t="s">
        <v>2247</v>
      </c>
      <c r="K490" s="9" t="s">
        <v>2248</v>
      </c>
      <c r="L490" s="9" t="s">
        <v>22</v>
      </c>
      <c r="M490" s="9" t="s">
        <v>23</v>
      </c>
      <c r="N490" s="9" t="s">
        <v>2249</v>
      </c>
      <c r="O490" s="9" t="s">
        <v>382</v>
      </c>
      <c r="P490" s="9">
        <v>85705</v>
      </c>
      <c r="Q490" s="9" t="s">
        <v>37</v>
      </c>
      <c r="R490" s="9" t="s">
        <v>2250</v>
      </c>
      <c r="S490" s="9" t="s">
        <v>39</v>
      </c>
      <c r="T490" s="9" t="s">
        <v>112</v>
      </c>
      <c r="U490" s="9" t="s">
        <v>2251</v>
      </c>
      <c r="V490" s="11">
        <v>206.11199999999999</v>
      </c>
      <c r="W490" s="9" t="str">
        <f t="shared" si="39"/>
        <v>Slow Delivery</v>
      </c>
    </row>
    <row r="491" spans="1:23" x14ac:dyDescent="0.25">
      <c r="A491" s="9">
        <v>2379</v>
      </c>
      <c r="B491" s="10" t="s">
        <v>2252</v>
      </c>
      <c r="C491" s="10">
        <v>42710</v>
      </c>
      <c r="D491" s="10">
        <v>42715</v>
      </c>
      <c r="E491" s="9">
        <f t="shared" si="36"/>
        <v>2016</v>
      </c>
      <c r="F491" s="10" t="str">
        <f t="shared" si="37"/>
        <v>Dec</v>
      </c>
      <c r="G491" s="9">
        <f t="shared" si="38"/>
        <v>12</v>
      </c>
      <c r="H491" s="9">
        <f t="shared" si="35"/>
        <v>5</v>
      </c>
      <c r="I491" s="9" t="s">
        <v>43</v>
      </c>
      <c r="J491" s="9" t="s">
        <v>2253</v>
      </c>
      <c r="K491" s="9" t="s">
        <v>2254</v>
      </c>
      <c r="L491" s="9" t="s">
        <v>46</v>
      </c>
      <c r="M491" s="9" t="s">
        <v>23</v>
      </c>
      <c r="N491" s="9" t="s">
        <v>2255</v>
      </c>
      <c r="O491" s="9" t="s">
        <v>80</v>
      </c>
      <c r="P491" s="9">
        <v>91360</v>
      </c>
      <c r="Q491" s="9" t="s">
        <v>37</v>
      </c>
      <c r="R491" s="9" t="s">
        <v>2256</v>
      </c>
      <c r="S491" s="9" t="s">
        <v>66</v>
      </c>
      <c r="T491" s="9" t="s">
        <v>201</v>
      </c>
      <c r="U491" s="9" t="s">
        <v>2257</v>
      </c>
      <c r="V491" s="11">
        <v>32.75</v>
      </c>
      <c r="W491" s="9" t="str">
        <f t="shared" si="39"/>
        <v>Slow Delivery</v>
      </c>
    </row>
    <row r="492" spans="1:23" x14ac:dyDescent="0.25">
      <c r="A492" s="9">
        <v>5609</v>
      </c>
      <c r="B492" s="10" t="s">
        <v>2258</v>
      </c>
      <c r="C492" s="10">
        <v>42710</v>
      </c>
      <c r="D492" s="10">
        <v>42715</v>
      </c>
      <c r="E492" s="9">
        <f t="shared" si="36"/>
        <v>2016</v>
      </c>
      <c r="F492" s="10" t="str">
        <f t="shared" si="37"/>
        <v>Dec</v>
      </c>
      <c r="G492" s="9">
        <f t="shared" si="38"/>
        <v>12</v>
      </c>
      <c r="H492" s="9">
        <f t="shared" si="35"/>
        <v>5</v>
      </c>
      <c r="I492" s="9" t="s">
        <v>43</v>
      </c>
      <c r="J492" s="9" t="s">
        <v>2259</v>
      </c>
      <c r="K492" s="9" t="s">
        <v>2260</v>
      </c>
      <c r="L492" s="9" t="s">
        <v>22</v>
      </c>
      <c r="M492" s="9" t="s">
        <v>23</v>
      </c>
      <c r="N492" s="9" t="s">
        <v>143</v>
      </c>
      <c r="O492" s="9" t="s">
        <v>80</v>
      </c>
      <c r="P492" s="9">
        <v>94109</v>
      </c>
      <c r="Q492" s="9" t="s">
        <v>37</v>
      </c>
      <c r="R492" s="9" t="s">
        <v>2261</v>
      </c>
      <c r="S492" s="9" t="s">
        <v>66</v>
      </c>
      <c r="T492" s="9" t="s">
        <v>221</v>
      </c>
      <c r="U492" s="9" t="s">
        <v>2262</v>
      </c>
      <c r="V492" s="11">
        <v>7.78</v>
      </c>
      <c r="W492" s="9" t="str">
        <f t="shared" si="39"/>
        <v>Slow Delivery</v>
      </c>
    </row>
    <row r="493" spans="1:23" x14ac:dyDescent="0.25">
      <c r="A493" s="9">
        <v>1756</v>
      </c>
      <c r="B493" s="10" t="s">
        <v>2419</v>
      </c>
      <c r="C493" s="10">
        <v>42712</v>
      </c>
      <c r="D493" s="10">
        <v>42715</v>
      </c>
      <c r="E493" s="9">
        <f t="shared" si="36"/>
        <v>2016</v>
      </c>
      <c r="F493" s="10" t="str">
        <f t="shared" si="37"/>
        <v>Dec</v>
      </c>
      <c r="G493" s="9">
        <f t="shared" si="38"/>
        <v>12</v>
      </c>
      <c r="H493" s="9">
        <f t="shared" si="35"/>
        <v>3</v>
      </c>
      <c r="I493" s="9" t="s">
        <v>32</v>
      </c>
      <c r="J493" s="9" t="s">
        <v>2420</v>
      </c>
      <c r="K493" s="9" t="s">
        <v>2421</v>
      </c>
      <c r="L493" s="9" t="s">
        <v>46</v>
      </c>
      <c r="M493" s="9" t="s">
        <v>23</v>
      </c>
      <c r="N493" s="9" t="s">
        <v>1527</v>
      </c>
      <c r="O493" s="9" t="s">
        <v>64</v>
      </c>
      <c r="P493" s="9">
        <v>76106</v>
      </c>
      <c r="Q493" s="9" t="s">
        <v>26</v>
      </c>
      <c r="R493" s="9" t="s">
        <v>2422</v>
      </c>
      <c r="S493" s="9" t="s">
        <v>66</v>
      </c>
      <c r="T493" s="9" t="s">
        <v>201</v>
      </c>
      <c r="U493" s="9" t="s">
        <v>2423</v>
      </c>
      <c r="V493" s="11">
        <v>360.71199999999999</v>
      </c>
      <c r="W493" s="9" t="str">
        <f t="shared" si="39"/>
        <v>Fast Delivery</v>
      </c>
    </row>
    <row r="494" spans="1:23" x14ac:dyDescent="0.25">
      <c r="A494" s="9">
        <v>2012</v>
      </c>
      <c r="B494" s="10" t="s">
        <v>2601</v>
      </c>
      <c r="C494" s="10">
        <v>42715</v>
      </c>
      <c r="D494" s="10">
        <v>42715</v>
      </c>
      <c r="E494" s="9">
        <f t="shared" si="36"/>
        <v>2016</v>
      </c>
      <c r="F494" s="10" t="str">
        <f t="shared" si="37"/>
        <v>Dec</v>
      </c>
      <c r="G494" s="9">
        <f t="shared" si="38"/>
        <v>12</v>
      </c>
      <c r="H494" s="9">
        <f t="shared" si="35"/>
        <v>0</v>
      </c>
      <c r="I494" s="9" t="s">
        <v>302</v>
      </c>
      <c r="J494" s="9" t="s">
        <v>2602</v>
      </c>
      <c r="K494" s="9" t="s">
        <v>2603</v>
      </c>
      <c r="L494" s="9" t="s">
        <v>22</v>
      </c>
      <c r="M494" s="9" t="s">
        <v>23</v>
      </c>
      <c r="N494" s="9" t="s">
        <v>72</v>
      </c>
      <c r="O494" s="9" t="s">
        <v>64</v>
      </c>
      <c r="P494" s="9">
        <v>77041</v>
      </c>
      <c r="Q494" s="9" t="s">
        <v>26</v>
      </c>
      <c r="R494" s="9" t="s">
        <v>358</v>
      </c>
      <c r="S494" s="9" t="s">
        <v>28</v>
      </c>
      <c r="T494" s="9" t="s">
        <v>29</v>
      </c>
      <c r="U494" s="9" t="s">
        <v>359</v>
      </c>
      <c r="V494" s="11">
        <v>159.98400000000001</v>
      </c>
      <c r="W494" s="9" t="str">
        <f t="shared" si="39"/>
        <v>Fast Delivery</v>
      </c>
    </row>
    <row r="495" spans="1:23" x14ac:dyDescent="0.25">
      <c r="A495" s="9">
        <v>7905</v>
      </c>
      <c r="B495" s="10" t="s">
        <v>2340</v>
      </c>
      <c r="C495" s="10">
        <v>42681</v>
      </c>
      <c r="D495" s="10">
        <v>42687</v>
      </c>
      <c r="E495" s="9">
        <f t="shared" si="36"/>
        <v>2016</v>
      </c>
      <c r="F495" s="10" t="str">
        <f t="shared" si="37"/>
        <v>Nov</v>
      </c>
      <c r="G495" s="9">
        <f t="shared" si="38"/>
        <v>11</v>
      </c>
      <c r="H495" s="9">
        <f t="shared" si="35"/>
        <v>6</v>
      </c>
      <c r="I495" s="9" t="s">
        <v>43</v>
      </c>
      <c r="J495" s="9" t="s">
        <v>2341</v>
      </c>
      <c r="K495" s="9" t="s">
        <v>2342</v>
      </c>
      <c r="L495" s="9" t="s">
        <v>22</v>
      </c>
      <c r="M495" s="9" t="s">
        <v>23</v>
      </c>
      <c r="N495" s="9" t="s">
        <v>72</v>
      </c>
      <c r="O495" s="9" t="s">
        <v>64</v>
      </c>
      <c r="P495" s="9">
        <v>77036</v>
      </c>
      <c r="Q495" s="9" t="s">
        <v>26</v>
      </c>
      <c r="R495" s="9" t="s">
        <v>2343</v>
      </c>
      <c r="S495" s="9" t="s">
        <v>66</v>
      </c>
      <c r="T495" s="9" t="s">
        <v>201</v>
      </c>
      <c r="U495" s="9" t="s">
        <v>2344</v>
      </c>
      <c r="V495" s="11">
        <v>76.64</v>
      </c>
      <c r="W495" s="9" t="str">
        <f t="shared" si="39"/>
        <v>Slow Delivery</v>
      </c>
    </row>
    <row r="496" spans="1:23" x14ac:dyDescent="0.25">
      <c r="A496" s="9">
        <v>3025</v>
      </c>
      <c r="B496" s="10" t="s">
        <v>2406</v>
      </c>
      <c r="C496" s="10">
        <v>42682</v>
      </c>
      <c r="D496" s="10">
        <v>42687</v>
      </c>
      <c r="E496" s="9">
        <f t="shared" si="36"/>
        <v>2016</v>
      </c>
      <c r="F496" s="10" t="str">
        <f t="shared" si="37"/>
        <v>Nov</v>
      </c>
      <c r="G496" s="9">
        <f t="shared" si="38"/>
        <v>11</v>
      </c>
      <c r="H496" s="9">
        <f t="shared" si="35"/>
        <v>5</v>
      </c>
      <c r="I496" s="9" t="s">
        <v>43</v>
      </c>
      <c r="J496" s="9" t="s">
        <v>2407</v>
      </c>
      <c r="K496" s="9" t="s">
        <v>2408</v>
      </c>
      <c r="L496" s="9" t="s">
        <v>22</v>
      </c>
      <c r="M496" s="9" t="s">
        <v>23</v>
      </c>
      <c r="N496" s="9" t="s">
        <v>47</v>
      </c>
      <c r="O496" s="9" t="s">
        <v>48</v>
      </c>
      <c r="P496" s="9">
        <v>10011</v>
      </c>
      <c r="Q496" s="9" t="s">
        <v>49</v>
      </c>
      <c r="R496" s="9" t="s">
        <v>1754</v>
      </c>
      <c r="S496" s="9" t="s">
        <v>66</v>
      </c>
      <c r="T496" s="9" t="s">
        <v>103</v>
      </c>
      <c r="U496" s="9" t="s">
        <v>792</v>
      </c>
      <c r="V496" s="11">
        <v>52.271999999999998</v>
      </c>
      <c r="W496" s="9" t="str">
        <f t="shared" si="39"/>
        <v>Slow Delivery</v>
      </c>
    </row>
    <row r="497" spans="1:23" x14ac:dyDescent="0.25">
      <c r="A497" s="9">
        <v>4569</v>
      </c>
      <c r="B497" s="10" t="s">
        <v>2409</v>
      </c>
      <c r="C497" s="10">
        <v>42682</v>
      </c>
      <c r="D497" s="10">
        <v>42687</v>
      </c>
      <c r="E497" s="9">
        <f t="shared" si="36"/>
        <v>2016</v>
      </c>
      <c r="F497" s="10" t="str">
        <f t="shared" si="37"/>
        <v>Nov</v>
      </c>
      <c r="G497" s="9">
        <f t="shared" si="38"/>
        <v>11</v>
      </c>
      <c r="H497" s="9">
        <f t="shared" si="35"/>
        <v>5</v>
      </c>
      <c r="I497" s="9" t="s">
        <v>43</v>
      </c>
      <c r="J497" s="9" t="s">
        <v>2410</v>
      </c>
      <c r="K497" s="9" t="s">
        <v>2411</v>
      </c>
      <c r="L497" s="9" t="s">
        <v>22</v>
      </c>
      <c r="M497" s="9" t="s">
        <v>23</v>
      </c>
      <c r="N497" s="9" t="s">
        <v>72</v>
      </c>
      <c r="O497" s="9" t="s">
        <v>64</v>
      </c>
      <c r="P497" s="9">
        <v>77095</v>
      </c>
      <c r="Q497" s="9" t="s">
        <v>26</v>
      </c>
      <c r="R497" s="9" t="s">
        <v>2412</v>
      </c>
      <c r="S497" s="9" t="s">
        <v>66</v>
      </c>
      <c r="T497" s="9" t="s">
        <v>103</v>
      </c>
      <c r="U497" s="9" t="s">
        <v>2413</v>
      </c>
      <c r="V497" s="11">
        <v>10.476000000000001</v>
      </c>
      <c r="W497" s="9" t="str">
        <f t="shared" si="39"/>
        <v>Slow Delivery</v>
      </c>
    </row>
    <row r="498" spans="1:23" x14ac:dyDescent="0.25">
      <c r="A498" s="9">
        <v>1988</v>
      </c>
      <c r="B498" s="10" t="s">
        <v>2476</v>
      </c>
      <c r="C498" s="10">
        <v>42683</v>
      </c>
      <c r="D498" s="10">
        <v>42687</v>
      </c>
      <c r="E498" s="9">
        <f t="shared" si="36"/>
        <v>2016</v>
      </c>
      <c r="F498" s="10" t="str">
        <f t="shared" si="37"/>
        <v>Nov</v>
      </c>
      <c r="G498" s="9">
        <f t="shared" si="38"/>
        <v>11</v>
      </c>
      <c r="H498" s="9">
        <f t="shared" si="35"/>
        <v>4</v>
      </c>
      <c r="I498" s="9" t="s">
        <v>43</v>
      </c>
      <c r="J498" s="9" t="s">
        <v>2477</v>
      </c>
      <c r="K498" s="9" t="s">
        <v>2478</v>
      </c>
      <c r="L498" s="9" t="s">
        <v>22</v>
      </c>
      <c r="M498" s="9" t="s">
        <v>23</v>
      </c>
      <c r="N498" s="9" t="s">
        <v>335</v>
      </c>
      <c r="O498" s="9" t="s">
        <v>336</v>
      </c>
      <c r="P498" s="9">
        <v>65807</v>
      </c>
      <c r="Q498" s="9" t="s">
        <v>26</v>
      </c>
      <c r="R498" s="9" t="s">
        <v>2479</v>
      </c>
      <c r="S498" s="9" t="s">
        <v>66</v>
      </c>
      <c r="T498" s="9" t="s">
        <v>103</v>
      </c>
      <c r="U498" s="9" t="s">
        <v>2480</v>
      </c>
      <c r="V498" s="11">
        <v>17.22</v>
      </c>
      <c r="W498" s="9" t="str">
        <f t="shared" si="39"/>
        <v>Slow Delivery</v>
      </c>
    </row>
    <row r="499" spans="1:23" x14ac:dyDescent="0.25">
      <c r="A499" s="9">
        <v>6947</v>
      </c>
      <c r="B499" s="10" t="s">
        <v>2485</v>
      </c>
      <c r="C499" s="10">
        <v>42683</v>
      </c>
      <c r="D499" s="10">
        <v>42687</v>
      </c>
      <c r="E499" s="9">
        <f t="shared" si="36"/>
        <v>2016</v>
      </c>
      <c r="F499" s="10" t="str">
        <f t="shared" si="37"/>
        <v>Nov</v>
      </c>
      <c r="G499" s="9">
        <f t="shared" si="38"/>
        <v>11</v>
      </c>
      <c r="H499" s="9">
        <f t="shared" si="35"/>
        <v>4</v>
      </c>
      <c r="I499" s="9" t="s">
        <v>43</v>
      </c>
      <c r="J499" s="9" t="s">
        <v>2486</v>
      </c>
      <c r="K499" s="9" t="s">
        <v>2487</v>
      </c>
      <c r="L499" s="9" t="s">
        <v>46</v>
      </c>
      <c r="M499" s="9" t="s">
        <v>23</v>
      </c>
      <c r="N499" s="9" t="s">
        <v>2488</v>
      </c>
      <c r="O499" s="9" t="s">
        <v>80</v>
      </c>
      <c r="P499" s="9">
        <v>95661</v>
      </c>
      <c r="Q499" s="9" t="s">
        <v>37</v>
      </c>
      <c r="R499" s="9" t="s">
        <v>2489</v>
      </c>
      <c r="S499" s="9" t="s">
        <v>66</v>
      </c>
      <c r="T499" s="9" t="s">
        <v>67</v>
      </c>
      <c r="U499" s="9" t="s">
        <v>2490</v>
      </c>
      <c r="V499" s="11">
        <v>2.48</v>
      </c>
      <c r="W499" s="9" t="str">
        <f t="shared" si="39"/>
        <v>Slow Delivery</v>
      </c>
    </row>
    <row r="500" spans="1:23" x14ac:dyDescent="0.25">
      <c r="A500" s="9">
        <v>1918</v>
      </c>
      <c r="B500" s="10" t="s">
        <v>2398</v>
      </c>
      <c r="C500" s="10">
        <v>42682</v>
      </c>
      <c r="D500" s="10">
        <v>42688</v>
      </c>
      <c r="E500" s="9">
        <f t="shared" si="36"/>
        <v>2016</v>
      </c>
      <c r="F500" s="10" t="str">
        <f t="shared" si="37"/>
        <v>Nov</v>
      </c>
      <c r="G500" s="9">
        <f t="shared" si="38"/>
        <v>11</v>
      </c>
      <c r="H500" s="9">
        <f t="shared" si="35"/>
        <v>6</v>
      </c>
      <c r="I500" s="9" t="s">
        <v>43</v>
      </c>
      <c r="J500" s="9" t="s">
        <v>2399</v>
      </c>
      <c r="K500" s="9" t="s">
        <v>2400</v>
      </c>
      <c r="L500" s="9" t="s">
        <v>22</v>
      </c>
      <c r="M500" s="9" t="s">
        <v>23</v>
      </c>
      <c r="N500" s="9" t="s">
        <v>1758</v>
      </c>
      <c r="O500" s="9" t="s">
        <v>89</v>
      </c>
      <c r="P500" s="9">
        <v>2038</v>
      </c>
      <c r="Q500" s="9" t="s">
        <v>49</v>
      </c>
      <c r="R500" s="9" t="s">
        <v>2401</v>
      </c>
      <c r="S500" s="9" t="s">
        <v>66</v>
      </c>
      <c r="T500" s="9" t="s">
        <v>158</v>
      </c>
      <c r="U500" s="9" t="s">
        <v>2402</v>
      </c>
      <c r="V500" s="11">
        <v>11.65</v>
      </c>
      <c r="W500" s="9" t="str">
        <f t="shared" si="39"/>
        <v>Slow Delivery</v>
      </c>
    </row>
    <row r="501" spans="1:23" x14ac:dyDescent="0.25">
      <c r="A501" s="9">
        <v>5339</v>
      </c>
      <c r="B501" s="10" t="s">
        <v>2481</v>
      </c>
      <c r="C501" s="10">
        <v>42683</v>
      </c>
      <c r="D501" s="10">
        <v>42688</v>
      </c>
      <c r="E501" s="9">
        <f t="shared" si="36"/>
        <v>2016</v>
      </c>
      <c r="F501" s="10" t="str">
        <f t="shared" si="37"/>
        <v>Nov</v>
      </c>
      <c r="G501" s="9">
        <f t="shared" si="38"/>
        <v>11</v>
      </c>
      <c r="H501" s="9">
        <f t="shared" si="35"/>
        <v>5</v>
      </c>
      <c r="I501" s="9" t="s">
        <v>32</v>
      </c>
      <c r="J501" s="9" t="s">
        <v>2482</v>
      </c>
      <c r="K501" s="9" t="s">
        <v>2483</v>
      </c>
      <c r="L501" s="9" t="s">
        <v>22</v>
      </c>
      <c r="M501" s="9" t="s">
        <v>23</v>
      </c>
      <c r="N501" s="9" t="s">
        <v>2484</v>
      </c>
      <c r="O501" s="9" t="s">
        <v>48</v>
      </c>
      <c r="P501" s="9">
        <v>11572</v>
      </c>
      <c r="Q501" s="9" t="s">
        <v>49</v>
      </c>
      <c r="R501" s="9" t="s">
        <v>2201</v>
      </c>
      <c r="S501" s="9" t="s">
        <v>66</v>
      </c>
      <c r="T501" s="9" t="s">
        <v>74</v>
      </c>
      <c r="U501" s="9" t="s">
        <v>2202</v>
      </c>
      <c r="V501" s="11">
        <v>244.55</v>
      </c>
      <c r="W501" s="9" t="str">
        <f t="shared" si="39"/>
        <v>Slow Delivery</v>
      </c>
    </row>
    <row r="502" spans="1:23" x14ac:dyDescent="0.25">
      <c r="A502" s="9">
        <v>5006</v>
      </c>
      <c r="B502" s="10" t="s">
        <v>2531</v>
      </c>
      <c r="C502" s="10">
        <v>42684</v>
      </c>
      <c r="D502" s="10">
        <v>42688</v>
      </c>
      <c r="E502" s="9">
        <f t="shared" si="36"/>
        <v>2016</v>
      </c>
      <c r="F502" s="10" t="str">
        <f t="shared" si="37"/>
        <v>Nov</v>
      </c>
      <c r="G502" s="9">
        <f t="shared" si="38"/>
        <v>11</v>
      </c>
      <c r="H502" s="9">
        <f t="shared" si="35"/>
        <v>4</v>
      </c>
      <c r="I502" s="9" t="s">
        <v>32</v>
      </c>
      <c r="J502" s="9" t="s">
        <v>2532</v>
      </c>
      <c r="K502" s="9" t="s">
        <v>2533</v>
      </c>
      <c r="L502" s="9" t="s">
        <v>87</v>
      </c>
      <c r="M502" s="9" t="s">
        <v>23</v>
      </c>
      <c r="N502" s="9" t="s">
        <v>206</v>
      </c>
      <c r="O502" s="9" t="s">
        <v>1825</v>
      </c>
      <c r="P502" s="9">
        <v>47374</v>
      </c>
      <c r="Q502" s="9" t="s">
        <v>26</v>
      </c>
      <c r="R502" s="9" t="s">
        <v>2534</v>
      </c>
      <c r="S502" s="9" t="s">
        <v>66</v>
      </c>
      <c r="T502" s="9" t="s">
        <v>74</v>
      </c>
      <c r="U502" s="9" t="s">
        <v>2535</v>
      </c>
      <c r="V502" s="11">
        <v>714.3</v>
      </c>
      <c r="W502" s="9" t="str">
        <f t="shared" si="39"/>
        <v>Slow Delivery</v>
      </c>
    </row>
    <row r="503" spans="1:23" x14ac:dyDescent="0.25">
      <c r="A503" s="9">
        <v>5849</v>
      </c>
      <c r="B503" s="10" t="s">
        <v>2536</v>
      </c>
      <c r="C503" s="10">
        <v>42684</v>
      </c>
      <c r="D503" s="10">
        <v>42688</v>
      </c>
      <c r="E503" s="9">
        <f t="shared" si="36"/>
        <v>2016</v>
      </c>
      <c r="F503" s="10" t="str">
        <f t="shared" si="37"/>
        <v>Nov</v>
      </c>
      <c r="G503" s="9">
        <f t="shared" si="38"/>
        <v>11</v>
      </c>
      <c r="H503" s="9">
        <f t="shared" si="35"/>
        <v>4</v>
      </c>
      <c r="I503" s="9" t="s">
        <v>43</v>
      </c>
      <c r="J503" s="9" t="s">
        <v>2537</v>
      </c>
      <c r="K503" s="9" t="s">
        <v>2538</v>
      </c>
      <c r="L503" s="9" t="s">
        <v>46</v>
      </c>
      <c r="M503" s="9" t="s">
        <v>23</v>
      </c>
      <c r="N503" s="9" t="s">
        <v>2488</v>
      </c>
      <c r="O503" s="9" t="s">
        <v>96</v>
      </c>
      <c r="P503" s="9">
        <v>55113</v>
      </c>
      <c r="Q503" s="9" t="s">
        <v>26</v>
      </c>
      <c r="R503" s="9" t="s">
        <v>2539</v>
      </c>
      <c r="S503" s="9" t="s">
        <v>66</v>
      </c>
      <c r="T503" s="9" t="s">
        <v>221</v>
      </c>
      <c r="U503" s="9" t="s">
        <v>2540</v>
      </c>
      <c r="V503" s="11">
        <v>715.64</v>
      </c>
      <c r="W503" s="9" t="str">
        <f t="shared" si="39"/>
        <v>Slow Delivery</v>
      </c>
    </row>
    <row r="504" spans="1:23" x14ac:dyDescent="0.25">
      <c r="A504" s="9">
        <v>2689</v>
      </c>
      <c r="B504" s="10" t="s">
        <v>2657</v>
      </c>
      <c r="C504" s="10">
        <v>42686</v>
      </c>
      <c r="D504" s="10">
        <v>42688</v>
      </c>
      <c r="E504" s="9">
        <f t="shared" si="36"/>
        <v>2016</v>
      </c>
      <c r="F504" s="10" t="str">
        <f t="shared" si="37"/>
        <v>Nov</v>
      </c>
      <c r="G504" s="9">
        <f t="shared" si="38"/>
        <v>11</v>
      </c>
      <c r="H504" s="9">
        <f t="shared" si="35"/>
        <v>2</v>
      </c>
      <c r="I504" s="9" t="s">
        <v>19</v>
      </c>
      <c r="J504" s="9" t="s">
        <v>2658</v>
      </c>
      <c r="K504" s="9" t="s">
        <v>2659</v>
      </c>
      <c r="L504" s="9" t="s">
        <v>87</v>
      </c>
      <c r="M504" s="9" t="s">
        <v>23</v>
      </c>
      <c r="N504" s="9" t="s">
        <v>213</v>
      </c>
      <c r="O504" s="9" t="s">
        <v>80</v>
      </c>
      <c r="P504" s="9">
        <v>90032</v>
      </c>
      <c r="Q504" s="9" t="s">
        <v>37</v>
      </c>
      <c r="R504" s="9" t="s">
        <v>779</v>
      </c>
      <c r="S504" s="9" t="s">
        <v>66</v>
      </c>
      <c r="T504" s="9" t="s">
        <v>201</v>
      </c>
      <c r="U504" s="9" t="s">
        <v>780</v>
      </c>
      <c r="V504" s="11">
        <v>15.7</v>
      </c>
      <c r="W504" s="9" t="str">
        <f t="shared" si="39"/>
        <v>Fast Delivery</v>
      </c>
    </row>
    <row r="505" spans="1:23" x14ac:dyDescent="0.25">
      <c r="A505" s="9">
        <v>9331</v>
      </c>
      <c r="B505" s="10" t="s">
        <v>2660</v>
      </c>
      <c r="C505" s="10">
        <v>42686</v>
      </c>
      <c r="D505" s="10">
        <v>42692</v>
      </c>
      <c r="E505" s="9">
        <f t="shared" si="36"/>
        <v>2016</v>
      </c>
      <c r="F505" s="10" t="str">
        <f t="shared" si="37"/>
        <v>Nov</v>
      </c>
      <c r="G505" s="9">
        <f t="shared" si="38"/>
        <v>11</v>
      </c>
      <c r="H505" s="9">
        <f t="shared" si="35"/>
        <v>6</v>
      </c>
      <c r="I505" s="9" t="s">
        <v>43</v>
      </c>
      <c r="J505" s="9" t="s">
        <v>2661</v>
      </c>
      <c r="K505" s="9" t="s">
        <v>2662</v>
      </c>
      <c r="L505" s="9" t="s">
        <v>22</v>
      </c>
      <c r="M505" s="9" t="s">
        <v>23</v>
      </c>
      <c r="N505" s="9" t="s">
        <v>47</v>
      </c>
      <c r="O505" s="9" t="s">
        <v>48</v>
      </c>
      <c r="P505" s="9">
        <v>10035</v>
      </c>
      <c r="Q505" s="9" t="s">
        <v>49</v>
      </c>
      <c r="R505" s="9" t="s">
        <v>2663</v>
      </c>
      <c r="S505" s="9" t="s">
        <v>66</v>
      </c>
      <c r="T505" s="9" t="s">
        <v>280</v>
      </c>
      <c r="U505" s="9" t="s">
        <v>281</v>
      </c>
      <c r="V505" s="11">
        <v>15.56</v>
      </c>
      <c r="W505" s="9" t="str">
        <f t="shared" si="39"/>
        <v>Slow Delivery</v>
      </c>
    </row>
    <row r="506" spans="1:23" x14ac:dyDescent="0.25">
      <c r="A506" s="9">
        <v>4421</v>
      </c>
      <c r="B506" s="10" t="s">
        <v>3869</v>
      </c>
      <c r="C506" s="10">
        <v>42691</v>
      </c>
      <c r="D506" s="10">
        <v>42695</v>
      </c>
      <c r="E506" s="9">
        <f t="shared" si="36"/>
        <v>2016</v>
      </c>
      <c r="F506" s="10" t="str">
        <f t="shared" si="37"/>
        <v>Nov</v>
      </c>
      <c r="G506" s="9">
        <f t="shared" si="38"/>
        <v>11</v>
      </c>
      <c r="H506" s="9">
        <f t="shared" si="35"/>
        <v>4</v>
      </c>
      <c r="I506" s="9" t="s">
        <v>32</v>
      </c>
      <c r="J506" s="9" t="s">
        <v>3870</v>
      </c>
      <c r="K506" s="9" t="s">
        <v>3871</v>
      </c>
      <c r="L506" s="9" t="s">
        <v>22</v>
      </c>
      <c r="M506" s="9" t="s">
        <v>23</v>
      </c>
      <c r="N506" s="9" t="s">
        <v>199</v>
      </c>
      <c r="O506" s="9" t="s">
        <v>57</v>
      </c>
      <c r="P506" s="9">
        <v>60610</v>
      </c>
      <c r="Q506" s="9" t="s">
        <v>26</v>
      </c>
      <c r="R506" s="9" t="s">
        <v>3872</v>
      </c>
      <c r="S506" s="9" t="s">
        <v>66</v>
      </c>
      <c r="T506" s="9" t="s">
        <v>564</v>
      </c>
      <c r="U506" s="9" t="s">
        <v>3873</v>
      </c>
      <c r="V506" s="11">
        <v>40.92</v>
      </c>
      <c r="W506" s="9" t="str">
        <f t="shared" si="39"/>
        <v>Slow Delivery</v>
      </c>
    </row>
    <row r="507" spans="1:23" x14ac:dyDescent="0.25">
      <c r="A507" s="9">
        <v>5842</v>
      </c>
      <c r="B507" s="10" t="s">
        <v>3874</v>
      </c>
      <c r="C507" s="10">
        <v>42691</v>
      </c>
      <c r="D507" s="10">
        <v>42695</v>
      </c>
      <c r="E507" s="9">
        <f t="shared" si="36"/>
        <v>2016</v>
      </c>
      <c r="F507" s="10" t="str">
        <f t="shared" si="37"/>
        <v>Nov</v>
      </c>
      <c r="G507" s="9">
        <f t="shared" si="38"/>
        <v>11</v>
      </c>
      <c r="H507" s="9">
        <f t="shared" si="35"/>
        <v>4</v>
      </c>
      <c r="I507" s="9" t="s">
        <v>43</v>
      </c>
      <c r="J507" s="9" t="s">
        <v>3875</v>
      </c>
      <c r="K507" s="9" t="s">
        <v>3876</v>
      </c>
      <c r="L507" s="9" t="s">
        <v>22</v>
      </c>
      <c r="M507" s="9" t="s">
        <v>23</v>
      </c>
      <c r="N507" s="9" t="s">
        <v>268</v>
      </c>
      <c r="O507" s="9" t="s">
        <v>80</v>
      </c>
      <c r="P507" s="9">
        <v>92105</v>
      </c>
      <c r="Q507" s="9" t="s">
        <v>37</v>
      </c>
      <c r="R507" s="9" t="s">
        <v>3877</v>
      </c>
      <c r="S507" s="9" t="s">
        <v>28</v>
      </c>
      <c r="T507" s="9" t="s">
        <v>51</v>
      </c>
      <c r="U507" s="9" t="s">
        <v>3878</v>
      </c>
      <c r="V507" s="11">
        <v>415.96800000000002</v>
      </c>
      <c r="W507" s="9" t="str">
        <f t="shared" si="39"/>
        <v>Slow Delivery</v>
      </c>
    </row>
    <row r="508" spans="1:23" x14ac:dyDescent="0.25">
      <c r="A508" s="9">
        <v>3995</v>
      </c>
      <c r="B508" s="10" t="s">
        <v>2361</v>
      </c>
      <c r="C508" s="10">
        <v>42437</v>
      </c>
      <c r="D508" s="10">
        <v>42441</v>
      </c>
      <c r="E508" s="9">
        <f t="shared" si="36"/>
        <v>2016</v>
      </c>
      <c r="F508" s="10" t="str">
        <f t="shared" si="37"/>
        <v>Mar</v>
      </c>
      <c r="G508" s="9">
        <f t="shared" si="38"/>
        <v>3</v>
      </c>
      <c r="H508" s="9">
        <f t="shared" si="35"/>
        <v>4</v>
      </c>
      <c r="I508" s="9" t="s">
        <v>43</v>
      </c>
      <c r="J508" s="9" t="s">
        <v>2362</v>
      </c>
      <c r="K508" s="9" t="s">
        <v>2363</v>
      </c>
      <c r="L508" s="9" t="s">
        <v>22</v>
      </c>
      <c r="M508" s="9" t="s">
        <v>23</v>
      </c>
      <c r="N508" s="9" t="s">
        <v>2364</v>
      </c>
      <c r="O508" s="9" t="s">
        <v>25</v>
      </c>
      <c r="P508" s="9">
        <v>53142</v>
      </c>
      <c r="Q508" s="9" t="s">
        <v>26</v>
      </c>
      <c r="R508" s="9" t="s">
        <v>2365</v>
      </c>
      <c r="S508" s="9" t="s">
        <v>39</v>
      </c>
      <c r="T508" s="9" t="s">
        <v>1218</v>
      </c>
      <c r="U508" s="9" t="s">
        <v>2366</v>
      </c>
      <c r="V508" s="11">
        <v>512.94000000000005</v>
      </c>
      <c r="W508" s="9" t="str">
        <f t="shared" si="39"/>
        <v>Slow Delivery</v>
      </c>
    </row>
    <row r="509" spans="1:23" x14ac:dyDescent="0.25">
      <c r="A509" s="9">
        <v>2975</v>
      </c>
      <c r="B509" s="10" t="s">
        <v>2281</v>
      </c>
      <c r="C509" s="10">
        <v>42497</v>
      </c>
      <c r="D509" s="10">
        <v>42502</v>
      </c>
      <c r="E509" s="9">
        <f t="shared" si="36"/>
        <v>2016</v>
      </c>
      <c r="F509" s="10" t="str">
        <f t="shared" si="37"/>
        <v>May</v>
      </c>
      <c r="G509" s="9">
        <f t="shared" si="38"/>
        <v>5</v>
      </c>
      <c r="H509" s="9">
        <f t="shared" si="35"/>
        <v>5</v>
      </c>
      <c r="I509" s="9" t="s">
        <v>43</v>
      </c>
      <c r="J509" s="9" t="s">
        <v>2282</v>
      </c>
      <c r="K509" s="9" t="s">
        <v>2283</v>
      </c>
      <c r="L509" s="9" t="s">
        <v>22</v>
      </c>
      <c r="M509" s="9" t="s">
        <v>23</v>
      </c>
      <c r="N509" s="9" t="s">
        <v>2284</v>
      </c>
      <c r="O509" s="9" t="s">
        <v>64</v>
      </c>
      <c r="P509" s="9">
        <v>75002</v>
      </c>
      <c r="Q509" s="9" t="s">
        <v>26</v>
      </c>
      <c r="R509" s="9" t="s">
        <v>2285</v>
      </c>
      <c r="S509" s="9" t="s">
        <v>39</v>
      </c>
      <c r="T509" s="9" t="s">
        <v>480</v>
      </c>
      <c r="U509" s="9" t="s">
        <v>2286</v>
      </c>
      <c r="V509" s="11">
        <v>244.006</v>
      </c>
      <c r="W509" s="9" t="str">
        <f t="shared" si="39"/>
        <v>Slow Delivery</v>
      </c>
    </row>
    <row r="510" spans="1:23" x14ac:dyDescent="0.25">
      <c r="A510" s="9">
        <v>9164</v>
      </c>
      <c r="B510" s="10" t="s">
        <v>2375</v>
      </c>
      <c r="C510" s="10">
        <v>42529</v>
      </c>
      <c r="D510" s="10">
        <v>42533</v>
      </c>
      <c r="E510" s="9">
        <f t="shared" si="36"/>
        <v>2016</v>
      </c>
      <c r="F510" s="10" t="str">
        <f t="shared" si="37"/>
        <v>Jun</v>
      </c>
      <c r="G510" s="9">
        <f t="shared" si="38"/>
        <v>6</v>
      </c>
      <c r="H510" s="9">
        <f t="shared" si="35"/>
        <v>4</v>
      </c>
      <c r="I510" s="9" t="s">
        <v>43</v>
      </c>
      <c r="J510" s="9" t="s">
        <v>2376</v>
      </c>
      <c r="K510" s="9" t="s">
        <v>2377</v>
      </c>
      <c r="L510" s="9" t="s">
        <v>22</v>
      </c>
      <c r="M510" s="9" t="s">
        <v>23</v>
      </c>
      <c r="N510" s="9" t="s">
        <v>199</v>
      </c>
      <c r="O510" s="9" t="s">
        <v>57</v>
      </c>
      <c r="P510" s="9">
        <v>60610</v>
      </c>
      <c r="Q510" s="9" t="s">
        <v>26</v>
      </c>
      <c r="R510" s="9" t="s">
        <v>2378</v>
      </c>
      <c r="S510" s="9" t="s">
        <v>28</v>
      </c>
      <c r="T510" s="9" t="s">
        <v>29</v>
      </c>
      <c r="U510" s="9" t="s">
        <v>2379</v>
      </c>
      <c r="V510" s="11">
        <v>2.3759999999999999</v>
      </c>
      <c r="W510" s="9" t="str">
        <f t="shared" si="39"/>
        <v>Slow Delivery</v>
      </c>
    </row>
    <row r="511" spans="1:23" x14ac:dyDescent="0.25">
      <c r="A511" s="9">
        <v>3119</v>
      </c>
      <c r="B511" s="10" t="s">
        <v>2576</v>
      </c>
      <c r="C511" s="10">
        <v>42532</v>
      </c>
      <c r="D511" s="10">
        <v>42533</v>
      </c>
      <c r="E511" s="9">
        <f t="shared" si="36"/>
        <v>2016</v>
      </c>
      <c r="F511" s="10" t="str">
        <f t="shared" si="37"/>
        <v>Jun</v>
      </c>
      <c r="G511" s="9">
        <f t="shared" si="38"/>
        <v>6</v>
      </c>
      <c r="H511" s="9">
        <f t="shared" si="35"/>
        <v>1</v>
      </c>
      <c r="I511" s="9" t="s">
        <v>19</v>
      </c>
      <c r="J511" s="9" t="s">
        <v>2577</v>
      </c>
      <c r="K511" s="9" t="s">
        <v>2578</v>
      </c>
      <c r="L511" s="9" t="s">
        <v>87</v>
      </c>
      <c r="M511" s="9" t="s">
        <v>23</v>
      </c>
      <c r="N511" s="9" t="s">
        <v>310</v>
      </c>
      <c r="O511" s="9" t="s">
        <v>130</v>
      </c>
      <c r="P511" s="9">
        <v>33801</v>
      </c>
      <c r="Q511" s="9" t="s">
        <v>110</v>
      </c>
      <c r="R511" s="9" t="s">
        <v>2579</v>
      </c>
      <c r="S511" s="9" t="s">
        <v>39</v>
      </c>
      <c r="T511" s="9" t="s">
        <v>40</v>
      </c>
      <c r="U511" s="9" t="s">
        <v>2580</v>
      </c>
      <c r="V511" s="11">
        <v>1123.92</v>
      </c>
      <c r="W511" s="9" t="str">
        <f t="shared" si="39"/>
        <v>Fast Delivery</v>
      </c>
    </row>
    <row r="512" spans="1:23" x14ac:dyDescent="0.25">
      <c r="A512" s="9">
        <v>5039</v>
      </c>
      <c r="B512" s="10" t="s">
        <v>2586</v>
      </c>
      <c r="C512" s="10">
        <v>42562</v>
      </c>
      <c r="D512" s="10">
        <v>42563</v>
      </c>
      <c r="E512" s="9">
        <f t="shared" si="36"/>
        <v>2016</v>
      </c>
      <c r="F512" s="10" t="str">
        <f t="shared" si="37"/>
        <v>Jul</v>
      </c>
      <c r="G512" s="9">
        <f t="shared" si="38"/>
        <v>7</v>
      </c>
      <c r="H512" s="9">
        <f t="shared" si="35"/>
        <v>1</v>
      </c>
      <c r="I512" s="9" t="s">
        <v>19</v>
      </c>
      <c r="J512" s="9" t="s">
        <v>2587</v>
      </c>
      <c r="K512" s="9" t="s">
        <v>2588</v>
      </c>
      <c r="L512" s="9" t="s">
        <v>87</v>
      </c>
      <c r="M512" s="9" t="s">
        <v>23</v>
      </c>
      <c r="N512" s="9" t="s">
        <v>463</v>
      </c>
      <c r="O512" s="9" t="s">
        <v>1475</v>
      </c>
      <c r="P512" s="9">
        <v>19805</v>
      </c>
      <c r="Q512" s="9" t="s">
        <v>49</v>
      </c>
      <c r="R512" s="9" t="s">
        <v>2589</v>
      </c>
      <c r="S512" s="9" t="s">
        <v>39</v>
      </c>
      <c r="T512" s="9" t="s">
        <v>480</v>
      </c>
      <c r="U512" s="9" t="s">
        <v>2590</v>
      </c>
      <c r="V512" s="11">
        <v>199.83600000000001</v>
      </c>
      <c r="W512" s="9" t="str">
        <f t="shared" si="39"/>
        <v>Fast Delivery</v>
      </c>
    </row>
    <row r="513" spans="1:23" x14ac:dyDescent="0.25">
      <c r="A513" s="9">
        <v>5100</v>
      </c>
      <c r="B513" s="10" t="s">
        <v>2298</v>
      </c>
      <c r="C513" s="10">
        <v>42589</v>
      </c>
      <c r="D513" s="10">
        <v>42594</v>
      </c>
      <c r="E513" s="9">
        <f t="shared" si="36"/>
        <v>2016</v>
      </c>
      <c r="F513" s="10" t="str">
        <f t="shared" si="37"/>
        <v>Aug</v>
      </c>
      <c r="G513" s="9">
        <f t="shared" si="38"/>
        <v>8</v>
      </c>
      <c r="H513" s="9">
        <f t="shared" si="35"/>
        <v>5</v>
      </c>
      <c r="I513" s="9" t="s">
        <v>43</v>
      </c>
      <c r="J513" s="9" t="s">
        <v>2299</v>
      </c>
      <c r="K513" s="9" t="s">
        <v>2300</v>
      </c>
      <c r="L513" s="9" t="s">
        <v>46</v>
      </c>
      <c r="M513" s="9" t="s">
        <v>23</v>
      </c>
      <c r="N513" s="9" t="s">
        <v>2301</v>
      </c>
      <c r="O513" s="9" t="s">
        <v>80</v>
      </c>
      <c r="P513" s="9">
        <v>93309</v>
      </c>
      <c r="Q513" s="9" t="s">
        <v>37</v>
      </c>
      <c r="R513" s="9" t="s">
        <v>2302</v>
      </c>
      <c r="S513" s="9" t="s">
        <v>66</v>
      </c>
      <c r="T513" s="9" t="s">
        <v>103</v>
      </c>
      <c r="U513" s="9" t="s">
        <v>2303</v>
      </c>
      <c r="V513" s="11">
        <v>19.152000000000001</v>
      </c>
      <c r="W513" s="9" t="str">
        <f t="shared" si="39"/>
        <v>Slow Delivery</v>
      </c>
    </row>
    <row r="514" spans="1:23" x14ac:dyDescent="0.25">
      <c r="A514" s="9">
        <v>9102</v>
      </c>
      <c r="B514" s="10" t="s">
        <v>2345</v>
      </c>
      <c r="C514" s="10">
        <v>42681</v>
      </c>
      <c r="D514" s="10">
        <v>42686</v>
      </c>
      <c r="E514" s="9">
        <f t="shared" si="36"/>
        <v>2016</v>
      </c>
      <c r="F514" s="10" t="str">
        <f t="shared" si="37"/>
        <v>Nov</v>
      </c>
      <c r="G514" s="9">
        <f t="shared" si="38"/>
        <v>11</v>
      </c>
      <c r="H514" s="9">
        <f t="shared" ref="H514:H577" si="40">D514-C514</f>
        <v>5</v>
      </c>
      <c r="I514" s="9" t="s">
        <v>43</v>
      </c>
      <c r="J514" s="9" t="s">
        <v>2346</v>
      </c>
      <c r="K514" s="9" t="s">
        <v>2347</v>
      </c>
      <c r="L514" s="9" t="s">
        <v>22</v>
      </c>
      <c r="M514" s="9" t="s">
        <v>23</v>
      </c>
      <c r="N514" s="9" t="s">
        <v>72</v>
      </c>
      <c r="O514" s="9" t="s">
        <v>64</v>
      </c>
      <c r="P514" s="9">
        <v>77041</v>
      </c>
      <c r="Q514" s="9" t="s">
        <v>26</v>
      </c>
      <c r="R514" s="9" t="s">
        <v>2348</v>
      </c>
      <c r="S514" s="9" t="s">
        <v>66</v>
      </c>
      <c r="T514" s="9" t="s">
        <v>158</v>
      </c>
      <c r="U514" s="9" t="s">
        <v>2349</v>
      </c>
      <c r="V514" s="11">
        <v>23.64</v>
      </c>
      <c r="W514" s="9" t="str">
        <f t="shared" si="39"/>
        <v>Slow Delivery</v>
      </c>
    </row>
    <row r="515" spans="1:23" x14ac:dyDescent="0.25">
      <c r="A515" s="9">
        <v>5141</v>
      </c>
      <c r="B515" s="10" t="s">
        <v>2414</v>
      </c>
      <c r="C515" s="10">
        <v>42682</v>
      </c>
      <c r="D515" s="10">
        <v>42686</v>
      </c>
      <c r="E515" s="9">
        <f t="shared" ref="E515:E578" si="41">YEAR(C515)</f>
        <v>2016</v>
      </c>
      <c r="F515" s="10" t="str">
        <f t="shared" ref="F515:F578" si="42">TEXT(C515,"mmm")</f>
        <v>Nov</v>
      </c>
      <c r="G515" s="9">
        <f t="shared" ref="G515:G578" si="43">MONTH(C515)</f>
        <v>11</v>
      </c>
      <c r="H515" s="9">
        <f t="shared" si="40"/>
        <v>4</v>
      </c>
      <c r="I515" s="9" t="s">
        <v>43</v>
      </c>
      <c r="J515" s="9" t="s">
        <v>2415</v>
      </c>
      <c r="K515" s="9" t="s">
        <v>2416</v>
      </c>
      <c r="L515" s="9" t="s">
        <v>22</v>
      </c>
      <c r="M515" s="9" t="s">
        <v>23</v>
      </c>
      <c r="N515" s="9" t="s">
        <v>143</v>
      </c>
      <c r="O515" s="9" t="s">
        <v>80</v>
      </c>
      <c r="P515" s="9">
        <v>94109</v>
      </c>
      <c r="Q515" s="9" t="s">
        <v>37</v>
      </c>
      <c r="R515" s="9" t="s">
        <v>2417</v>
      </c>
      <c r="S515" s="9" t="s">
        <v>28</v>
      </c>
      <c r="T515" s="9" t="s">
        <v>29</v>
      </c>
      <c r="U515" s="9" t="s">
        <v>2418</v>
      </c>
      <c r="V515" s="11">
        <v>119.9</v>
      </c>
      <c r="W515" s="9" t="str">
        <f t="shared" ref="W515:W578" si="44">IF(H515&lt;=3,"Fast Delivery","Slow Delivery")</f>
        <v>Slow Delivery</v>
      </c>
    </row>
    <row r="516" spans="1:23" x14ac:dyDescent="0.25">
      <c r="A516" s="9">
        <v>1285</v>
      </c>
      <c r="B516" s="10" t="s">
        <v>2241</v>
      </c>
      <c r="C516" s="10">
        <v>42710</v>
      </c>
      <c r="D516" s="10">
        <v>42716</v>
      </c>
      <c r="E516" s="9">
        <f t="shared" si="41"/>
        <v>2016</v>
      </c>
      <c r="F516" s="10" t="str">
        <f t="shared" si="42"/>
        <v>Dec</v>
      </c>
      <c r="G516" s="9">
        <f t="shared" si="43"/>
        <v>12</v>
      </c>
      <c r="H516" s="9">
        <f t="shared" si="40"/>
        <v>6</v>
      </c>
      <c r="I516" s="9" t="s">
        <v>43</v>
      </c>
      <c r="J516" s="9" t="s">
        <v>2242</v>
      </c>
      <c r="K516" s="9" t="s">
        <v>2243</v>
      </c>
      <c r="L516" s="9" t="s">
        <v>22</v>
      </c>
      <c r="M516" s="9" t="s">
        <v>23</v>
      </c>
      <c r="N516" s="9" t="s">
        <v>1514</v>
      </c>
      <c r="O516" s="9" t="s">
        <v>64</v>
      </c>
      <c r="P516" s="9">
        <v>78745</v>
      </c>
      <c r="Q516" s="9" t="s">
        <v>26</v>
      </c>
      <c r="R516" s="9" t="s">
        <v>2244</v>
      </c>
      <c r="S516" s="9" t="s">
        <v>66</v>
      </c>
      <c r="T516" s="9" t="s">
        <v>103</v>
      </c>
      <c r="U516" s="9" t="s">
        <v>2245</v>
      </c>
      <c r="V516" s="11">
        <v>2.7719999999999998</v>
      </c>
      <c r="W516" s="9" t="str">
        <f t="shared" si="44"/>
        <v>Slow Delivery</v>
      </c>
    </row>
    <row r="517" spans="1:23" x14ac:dyDescent="0.25">
      <c r="A517" s="9">
        <v>7575</v>
      </c>
      <c r="B517" s="10" t="s">
        <v>2424</v>
      </c>
      <c r="C517" s="10">
        <v>42712</v>
      </c>
      <c r="D517" s="10">
        <v>42716</v>
      </c>
      <c r="E517" s="9">
        <f t="shared" si="41"/>
        <v>2016</v>
      </c>
      <c r="F517" s="10" t="str">
        <f t="shared" si="42"/>
        <v>Dec</v>
      </c>
      <c r="G517" s="9">
        <f t="shared" si="43"/>
        <v>12</v>
      </c>
      <c r="H517" s="9">
        <f t="shared" si="40"/>
        <v>4</v>
      </c>
      <c r="I517" s="9" t="s">
        <v>43</v>
      </c>
      <c r="J517" s="9" t="s">
        <v>2425</v>
      </c>
      <c r="K517" s="9" t="s">
        <v>2426</v>
      </c>
      <c r="L517" s="9" t="s">
        <v>87</v>
      </c>
      <c r="M517" s="9" t="s">
        <v>23</v>
      </c>
      <c r="N517" s="9" t="s">
        <v>213</v>
      </c>
      <c r="O517" s="9" t="s">
        <v>80</v>
      </c>
      <c r="P517" s="9">
        <v>90036</v>
      </c>
      <c r="Q517" s="9" t="s">
        <v>37</v>
      </c>
      <c r="R517" s="9" t="s">
        <v>1602</v>
      </c>
      <c r="S517" s="9" t="s">
        <v>66</v>
      </c>
      <c r="T517" s="9" t="s">
        <v>74</v>
      </c>
      <c r="U517" s="9" t="s">
        <v>1603</v>
      </c>
      <c r="V517" s="11">
        <v>221.96</v>
      </c>
      <c r="W517" s="9" t="str">
        <f t="shared" si="44"/>
        <v>Slow Delivery</v>
      </c>
    </row>
    <row r="518" spans="1:23" x14ac:dyDescent="0.25">
      <c r="A518" s="9">
        <v>8626</v>
      </c>
      <c r="B518" s="10" t="s">
        <v>2427</v>
      </c>
      <c r="C518" s="10">
        <v>42712</v>
      </c>
      <c r="D518" s="10">
        <v>42716</v>
      </c>
      <c r="E518" s="9">
        <f t="shared" si="41"/>
        <v>2016</v>
      </c>
      <c r="F518" s="10" t="str">
        <f t="shared" si="42"/>
        <v>Dec</v>
      </c>
      <c r="G518" s="9">
        <f t="shared" si="43"/>
        <v>12</v>
      </c>
      <c r="H518" s="9">
        <f t="shared" si="40"/>
        <v>4</v>
      </c>
      <c r="I518" s="9" t="s">
        <v>43</v>
      </c>
      <c r="J518" s="9" t="s">
        <v>2428</v>
      </c>
      <c r="K518" s="9" t="s">
        <v>2429</v>
      </c>
      <c r="L518" s="9" t="s">
        <v>87</v>
      </c>
      <c r="M518" s="9" t="s">
        <v>23</v>
      </c>
      <c r="N518" s="9" t="s">
        <v>2430</v>
      </c>
      <c r="O518" s="9" t="s">
        <v>181</v>
      </c>
      <c r="P518" s="9">
        <v>80906</v>
      </c>
      <c r="Q518" s="9" t="s">
        <v>37</v>
      </c>
      <c r="R518" s="9" t="s">
        <v>200</v>
      </c>
      <c r="S518" s="9" t="s">
        <v>66</v>
      </c>
      <c r="T518" s="9" t="s">
        <v>201</v>
      </c>
      <c r="U518" s="9" t="s">
        <v>202</v>
      </c>
      <c r="V518" s="11">
        <v>15.696</v>
      </c>
      <c r="W518" s="9" t="str">
        <f t="shared" si="44"/>
        <v>Slow Delivery</v>
      </c>
    </row>
    <row r="519" spans="1:23" x14ac:dyDescent="0.25">
      <c r="A519" s="9">
        <v>980</v>
      </c>
      <c r="B519" s="10" t="s">
        <v>2491</v>
      </c>
      <c r="C519" s="10">
        <v>42713</v>
      </c>
      <c r="D519" s="10">
        <v>42716</v>
      </c>
      <c r="E519" s="9">
        <f t="shared" si="41"/>
        <v>2016</v>
      </c>
      <c r="F519" s="10" t="str">
        <f t="shared" si="42"/>
        <v>Dec</v>
      </c>
      <c r="G519" s="9">
        <f t="shared" si="43"/>
        <v>12</v>
      </c>
      <c r="H519" s="9">
        <f t="shared" si="40"/>
        <v>3</v>
      </c>
      <c r="I519" s="9" t="s">
        <v>19</v>
      </c>
      <c r="J519" s="9" t="s">
        <v>2492</v>
      </c>
      <c r="K519" s="9" t="s">
        <v>2493</v>
      </c>
      <c r="L519" s="9" t="s">
        <v>87</v>
      </c>
      <c r="M519" s="9" t="s">
        <v>23</v>
      </c>
      <c r="N519" s="9" t="s">
        <v>249</v>
      </c>
      <c r="O519" s="9" t="s">
        <v>1825</v>
      </c>
      <c r="P519" s="9">
        <v>47201</v>
      </c>
      <c r="Q519" s="9" t="s">
        <v>26</v>
      </c>
      <c r="R519" s="9" t="s">
        <v>2494</v>
      </c>
      <c r="S519" s="9" t="s">
        <v>66</v>
      </c>
      <c r="T519" s="9" t="s">
        <v>201</v>
      </c>
      <c r="U519" s="9" t="s">
        <v>2495</v>
      </c>
      <c r="V519" s="11">
        <v>34.020000000000003</v>
      </c>
      <c r="W519" s="9" t="str">
        <f t="shared" si="44"/>
        <v>Fast Delivery</v>
      </c>
    </row>
    <row r="520" spans="1:23" x14ac:dyDescent="0.25">
      <c r="A520" s="9">
        <v>1092</v>
      </c>
      <c r="B520" s="10" t="s">
        <v>2238</v>
      </c>
      <c r="C520" s="10">
        <v>42710</v>
      </c>
      <c r="D520" s="10">
        <v>42717</v>
      </c>
      <c r="E520" s="9">
        <f t="shared" si="41"/>
        <v>2016</v>
      </c>
      <c r="F520" s="10" t="str">
        <f t="shared" si="42"/>
        <v>Dec</v>
      </c>
      <c r="G520" s="9">
        <f t="shared" si="43"/>
        <v>12</v>
      </c>
      <c r="H520" s="9">
        <f t="shared" si="40"/>
        <v>7</v>
      </c>
      <c r="I520" s="9" t="s">
        <v>43</v>
      </c>
      <c r="J520" s="9" t="s">
        <v>2239</v>
      </c>
      <c r="K520" s="9" t="s">
        <v>2240</v>
      </c>
      <c r="L520" s="9" t="s">
        <v>22</v>
      </c>
      <c r="M520" s="9" t="s">
        <v>23</v>
      </c>
      <c r="N520" s="9" t="s">
        <v>268</v>
      </c>
      <c r="O520" s="9" t="s">
        <v>80</v>
      </c>
      <c r="P520" s="9">
        <v>92105</v>
      </c>
      <c r="Q520" s="9" t="s">
        <v>37</v>
      </c>
      <c r="R520" s="9" t="s">
        <v>774</v>
      </c>
      <c r="S520" s="9" t="s">
        <v>66</v>
      </c>
      <c r="T520" s="9" t="s">
        <v>158</v>
      </c>
      <c r="U520" s="9" t="s">
        <v>775</v>
      </c>
      <c r="V520" s="11">
        <v>120.15</v>
      </c>
      <c r="W520" s="9" t="str">
        <f t="shared" si="44"/>
        <v>Slow Delivery</v>
      </c>
    </row>
    <row r="521" spans="1:23" x14ac:dyDescent="0.25">
      <c r="A521" s="9">
        <v>8509</v>
      </c>
      <c r="B521" s="10" t="s">
        <v>2611</v>
      </c>
      <c r="C521" s="10">
        <v>42715</v>
      </c>
      <c r="D521" s="10">
        <v>42718</v>
      </c>
      <c r="E521" s="9">
        <f t="shared" si="41"/>
        <v>2016</v>
      </c>
      <c r="F521" s="10" t="str">
        <f t="shared" si="42"/>
        <v>Dec</v>
      </c>
      <c r="G521" s="9">
        <f t="shared" si="43"/>
        <v>12</v>
      </c>
      <c r="H521" s="9">
        <f t="shared" si="40"/>
        <v>3</v>
      </c>
      <c r="I521" s="9" t="s">
        <v>19</v>
      </c>
      <c r="J521" s="9" t="s">
        <v>2612</v>
      </c>
      <c r="K521" s="9" t="s">
        <v>2613</v>
      </c>
      <c r="L521" s="9" t="s">
        <v>22</v>
      </c>
      <c r="M521" s="9" t="s">
        <v>23</v>
      </c>
      <c r="N521" s="9" t="s">
        <v>117</v>
      </c>
      <c r="O521" s="9" t="s">
        <v>118</v>
      </c>
      <c r="P521" s="9">
        <v>48205</v>
      </c>
      <c r="Q521" s="9" t="s">
        <v>26</v>
      </c>
      <c r="R521" s="9" t="s">
        <v>2614</v>
      </c>
      <c r="S521" s="9" t="s">
        <v>28</v>
      </c>
      <c r="T521" s="9" t="s">
        <v>29</v>
      </c>
      <c r="U521" s="9" t="s">
        <v>2615</v>
      </c>
      <c r="V521" s="11">
        <v>175.23</v>
      </c>
      <c r="W521" s="9" t="str">
        <f t="shared" si="44"/>
        <v>Fast Delivery</v>
      </c>
    </row>
    <row r="522" spans="1:23" x14ac:dyDescent="0.25">
      <c r="A522" s="9">
        <v>6361</v>
      </c>
      <c r="B522" s="10" t="s">
        <v>2546</v>
      </c>
      <c r="C522" s="10">
        <v>42714</v>
      </c>
      <c r="D522" s="10">
        <v>42719</v>
      </c>
      <c r="E522" s="9">
        <f t="shared" si="41"/>
        <v>2016</v>
      </c>
      <c r="F522" s="10" t="str">
        <f t="shared" si="42"/>
        <v>Dec</v>
      </c>
      <c r="G522" s="9">
        <f t="shared" si="43"/>
        <v>12</v>
      </c>
      <c r="H522" s="9">
        <f t="shared" si="40"/>
        <v>5</v>
      </c>
      <c r="I522" s="9" t="s">
        <v>43</v>
      </c>
      <c r="J522" s="9" t="s">
        <v>2547</v>
      </c>
      <c r="K522" s="9" t="s">
        <v>2548</v>
      </c>
      <c r="L522" s="9" t="s">
        <v>46</v>
      </c>
      <c r="M522" s="9" t="s">
        <v>23</v>
      </c>
      <c r="N522" s="9" t="s">
        <v>213</v>
      </c>
      <c r="O522" s="9" t="s">
        <v>80</v>
      </c>
      <c r="P522" s="9">
        <v>90032</v>
      </c>
      <c r="Q522" s="9" t="s">
        <v>37</v>
      </c>
      <c r="R522" s="9" t="s">
        <v>2549</v>
      </c>
      <c r="S522" s="9" t="s">
        <v>66</v>
      </c>
      <c r="T522" s="9" t="s">
        <v>158</v>
      </c>
      <c r="U522" s="9" t="s">
        <v>2550</v>
      </c>
      <c r="V522" s="11">
        <v>56.3</v>
      </c>
      <c r="W522" s="9" t="str">
        <f t="shared" si="44"/>
        <v>Slow Delivery</v>
      </c>
    </row>
    <row r="523" spans="1:23" x14ac:dyDescent="0.25">
      <c r="A523" s="9">
        <v>7154</v>
      </c>
      <c r="B523" s="10" t="s">
        <v>2551</v>
      </c>
      <c r="C523" s="10">
        <v>42714</v>
      </c>
      <c r="D523" s="10">
        <v>42719</v>
      </c>
      <c r="E523" s="9">
        <f t="shared" si="41"/>
        <v>2016</v>
      </c>
      <c r="F523" s="10" t="str">
        <f t="shared" si="42"/>
        <v>Dec</v>
      </c>
      <c r="G523" s="9">
        <f t="shared" si="43"/>
        <v>12</v>
      </c>
      <c r="H523" s="9">
        <f t="shared" si="40"/>
        <v>5</v>
      </c>
      <c r="I523" s="9" t="s">
        <v>43</v>
      </c>
      <c r="J523" s="9" t="s">
        <v>2552</v>
      </c>
      <c r="K523" s="9" t="s">
        <v>2553</v>
      </c>
      <c r="L523" s="9" t="s">
        <v>22</v>
      </c>
      <c r="M523" s="9" t="s">
        <v>23</v>
      </c>
      <c r="N523" s="9" t="s">
        <v>199</v>
      </c>
      <c r="O523" s="9" t="s">
        <v>57</v>
      </c>
      <c r="P523" s="9">
        <v>60610</v>
      </c>
      <c r="Q523" s="9" t="s">
        <v>26</v>
      </c>
      <c r="R523" s="9" t="s">
        <v>2554</v>
      </c>
      <c r="S523" s="9" t="s">
        <v>66</v>
      </c>
      <c r="T523" s="9" t="s">
        <v>221</v>
      </c>
      <c r="U523" s="9" t="s">
        <v>2555</v>
      </c>
      <c r="V523" s="11">
        <v>53.088000000000001</v>
      </c>
      <c r="W523" s="9" t="str">
        <f t="shared" si="44"/>
        <v>Slow Delivery</v>
      </c>
    </row>
    <row r="524" spans="1:23" x14ac:dyDescent="0.25">
      <c r="A524" s="9">
        <v>8293</v>
      </c>
      <c r="B524" s="10" t="s">
        <v>2604</v>
      </c>
      <c r="C524" s="10">
        <v>42715</v>
      </c>
      <c r="D524" s="10">
        <v>42719</v>
      </c>
      <c r="E524" s="9">
        <f t="shared" si="41"/>
        <v>2016</v>
      </c>
      <c r="F524" s="10" t="str">
        <f t="shared" si="42"/>
        <v>Dec</v>
      </c>
      <c r="G524" s="9">
        <f t="shared" si="43"/>
        <v>12</v>
      </c>
      <c r="H524" s="9">
        <f t="shared" si="40"/>
        <v>4</v>
      </c>
      <c r="I524" s="9" t="s">
        <v>43</v>
      </c>
      <c r="J524" s="9" t="s">
        <v>2605</v>
      </c>
      <c r="K524" s="9" t="s">
        <v>2606</v>
      </c>
      <c r="L524" s="9" t="s">
        <v>22</v>
      </c>
      <c r="M524" s="9" t="s">
        <v>23</v>
      </c>
      <c r="N524" s="9" t="s">
        <v>1922</v>
      </c>
      <c r="O524" s="9" t="s">
        <v>250</v>
      </c>
      <c r="P524" s="9">
        <v>45373</v>
      </c>
      <c r="Q524" s="9" t="s">
        <v>49</v>
      </c>
      <c r="R524" s="9" t="s">
        <v>2230</v>
      </c>
      <c r="S524" s="9" t="s">
        <v>66</v>
      </c>
      <c r="T524" s="9" t="s">
        <v>103</v>
      </c>
      <c r="U524" s="9" t="s">
        <v>2231</v>
      </c>
      <c r="V524" s="11">
        <v>10.332000000000001</v>
      </c>
      <c r="W524" s="9" t="str">
        <f t="shared" si="44"/>
        <v>Slow Delivery</v>
      </c>
    </row>
    <row r="525" spans="1:23" x14ac:dyDescent="0.25">
      <c r="A525" s="9">
        <v>7794</v>
      </c>
      <c r="B525" s="10" t="s">
        <v>2664</v>
      </c>
      <c r="C525" s="10">
        <v>42716</v>
      </c>
      <c r="D525" s="10">
        <v>42719</v>
      </c>
      <c r="E525" s="9">
        <f t="shared" si="41"/>
        <v>2016</v>
      </c>
      <c r="F525" s="10" t="str">
        <f t="shared" si="42"/>
        <v>Dec</v>
      </c>
      <c r="G525" s="9">
        <f t="shared" si="43"/>
        <v>12</v>
      </c>
      <c r="H525" s="9">
        <f t="shared" si="40"/>
        <v>3</v>
      </c>
      <c r="I525" s="9" t="s">
        <v>32</v>
      </c>
      <c r="J525" s="9" t="s">
        <v>2665</v>
      </c>
      <c r="K525" s="9" t="s">
        <v>2666</v>
      </c>
      <c r="L525" s="9" t="s">
        <v>87</v>
      </c>
      <c r="M525" s="9" t="s">
        <v>23</v>
      </c>
      <c r="N525" s="9" t="s">
        <v>2667</v>
      </c>
      <c r="O525" s="9" t="s">
        <v>174</v>
      </c>
      <c r="P525" s="9">
        <v>89115</v>
      </c>
      <c r="Q525" s="9" t="s">
        <v>37</v>
      </c>
      <c r="R525" s="9" t="s">
        <v>2668</v>
      </c>
      <c r="S525" s="9" t="s">
        <v>66</v>
      </c>
      <c r="T525" s="9" t="s">
        <v>201</v>
      </c>
      <c r="U525" s="9" t="s">
        <v>2669</v>
      </c>
      <c r="V525" s="11">
        <v>32.4</v>
      </c>
      <c r="W525" s="9" t="str">
        <f t="shared" si="44"/>
        <v>Fast Delivery</v>
      </c>
    </row>
    <row r="526" spans="1:23" x14ac:dyDescent="0.25">
      <c r="A526" s="9">
        <v>4006</v>
      </c>
      <c r="B526" s="10" t="s">
        <v>2541</v>
      </c>
      <c r="C526" s="10">
        <v>42714</v>
      </c>
      <c r="D526" s="10">
        <v>42720</v>
      </c>
      <c r="E526" s="9">
        <f t="shared" si="41"/>
        <v>2016</v>
      </c>
      <c r="F526" s="10" t="str">
        <f t="shared" si="42"/>
        <v>Dec</v>
      </c>
      <c r="G526" s="9">
        <f t="shared" si="43"/>
        <v>12</v>
      </c>
      <c r="H526" s="9">
        <f t="shared" si="40"/>
        <v>6</v>
      </c>
      <c r="I526" s="9" t="s">
        <v>43</v>
      </c>
      <c r="J526" s="9" t="s">
        <v>2542</v>
      </c>
      <c r="K526" s="9" t="s">
        <v>2543</v>
      </c>
      <c r="L526" s="9" t="s">
        <v>22</v>
      </c>
      <c r="M526" s="9" t="s">
        <v>23</v>
      </c>
      <c r="N526" s="9" t="s">
        <v>323</v>
      </c>
      <c r="O526" s="9" t="s">
        <v>286</v>
      </c>
      <c r="P526" s="9">
        <v>30076</v>
      </c>
      <c r="Q526" s="9" t="s">
        <v>110</v>
      </c>
      <c r="R526" s="9" t="s">
        <v>2544</v>
      </c>
      <c r="S526" s="9" t="s">
        <v>66</v>
      </c>
      <c r="T526" s="9" t="s">
        <v>158</v>
      </c>
      <c r="U526" s="9" t="s">
        <v>2545</v>
      </c>
      <c r="V526" s="11">
        <v>1.78</v>
      </c>
      <c r="W526" s="9" t="str">
        <f t="shared" si="44"/>
        <v>Slow Delivery</v>
      </c>
    </row>
    <row r="527" spans="1:23" x14ac:dyDescent="0.25">
      <c r="A527" s="9">
        <v>8438</v>
      </c>
      <c r="B527" s="10" t="s">
        <v>2556</v>
      </c>
      <c r="C527" s="10">
        <v>42714</v>
      </c>
      <c r="D527" s="10">
        <v>42720</v>
      </c>
      <c r="E527" s="9">
        <f t="shared" si="41"/>
        <v>2016</v>
      </c>
      <c r="F527" s="10" t="str">
        <f t="shared" si="42"/>
        <v>Dec</v>
      </c>
      <c r="G527" s="9">
        <f t="shared" si="43"/>
        <v>12</v>
      </c>
      <c r="H527" s="9">
        <f t="shared" si="40"/>
        <v>6</v>
      </c>
      <c r="I527" s="9" t="s">
        <v>43</v>
      </c>
      <c r="J527" s="9" t="s">
        <v>2557</v>
      </c>
      <c r="K527" s="9" t="s">
        <v>2558</v>
      </c>
      <c r="L527" s="9" t="s">
        <v>22</v>
      </c>
      <c r="M527" s="9" t="s">
        <v>23</v>
      </c>
      <c r="N527" s="9" t="s">
        <v>2559</v>
      </c>
      <c r="O527" s="9" t="s">
        <v>250</v>
      </c>
      <c r="P527" s="9">
        <v>44105</v>
      </c>
      <c r="Q527" s="9" t="s">
        <v>49</v>
      </c>
      <c r="R527" s="9" t="s">
        <v>873</v>
      </c>
      <c r="S527" s="9" t="s">
        <v>28</v>
      </c>
      <c r="T527" s="9" t="s">
        <v>29</v>
      </c>
      <c r="U527" s="9" t="s">
        <v>874</v>
      </c>
      <c r="V527" s="11">
        <v>25.488</v>
      </c>
      <c r="W527" s="9" t="str">
        <f t="shared" si="44"/>
        <v>Slow Delivery</v>
      </c>
    </row>
    <row r="528" spans="1:23" x14ac:dyDescent="0.25">
      <c r="A528" s="9">
        <v>2234</v>
      </c>
      <c r="B528" s="10" t="s">
        <v>3781</v>
      </c>
      <c r="C528" s="10">
        <v>42718</v>
      </c>
      <c r="D528" s="10">
        <v>42720</v>
      </c>
      <c r="E528" s="9">
        <f t="shared" si="41"/>
        <v>2016</v>
      </c>
      <c r="F528" s="10" t="str">
        <f t="shared" si="42"/>
        <v>Dec</v>
      </c>
      <c r="G528" s="9">
        <f t="shared" si="43"/>
        <v>12</v>
      </c>
      <c r="H528" s="9">
        <f t="shared" si="40"/>
        <v>2</v>
      </c>
      <c r="I528" s="9" t="s">
        <v>32</v>
      </c>
      <c r="J528" s="9" t="s">
        <v>3782</v>
      </c>
      <c r="K528" s="9" t="s">
        <v>3783</v>
      </c>
      <c r="L528" s="9" t="s">
        <v>22</v>
      </c>
      <c r="M528" s="9" t="s">
        <v>23</v>
      </c>
      <c r="N528" s="9" t="s">
        <v>187</v>
      </c>
      <c r="O528" s="9" t="s">
        <v>188</v>
      </c>
      <c r="P528" s="9">
        <v>97206</v>
      </c>
      <c r="Q528" s="9" t="s">
        <v>37</v>
      </c>
      <c r="R528" s="9" t="s">
        <v>3784</v>
      </c>
      <c r="S528" s="9" t="s">
        <v>28</v>
      </c>
      <c r="T528" s="9" t="s">
        <v>51</v>
      </c>
      <c r="U528" s="9" t="s">
        <v>3785</v>
      </c>
      <c r="V528" s="11">
        <v>319.96800000000002</v>
      </c>
      <c r="W528" s="9" t="str">
        <f t="shared" si="44"/>
        <v>Fast Delivery</v>
      </c>
    </row>
    <row r="529" spans="1:23" x14ac:dyDescent="0.25">
      <c r="A529" s="9">
        <v>8410</v>
      </c>
      <c r="B529" s="10" t="s">
        <v>2607</v>
      </c>
      <c r="C529" s="10">
        <v>42715</v>
      </c>
      <c r="D529" s="10">
        <v>42721</v>
      </c>
      <c r="E529" s="9">
        <f t="shared" si="41"/>
        <v>2016</v>
      </c>
      <c r="F529" s="10" t="str">
        <f t="shared" si="42"/>
        <v>Dec</v>
      </c>
      <c r="G529" s="9">
        <f t="shared" si="43"/>
        <v>12</v>
      </c>
      <c r="H529" s="9">
        <f t="shared" si="40"/>
        <v>6</v>
      </c>
      <c r="I529" s="9" t="s">
        <v>43</v>
      </c>
      <c r="J529" s="9" t="s">
        <v>2608</v>
      </c>
      <c r="K529" s="9" t="s">
        <v>2609</v>
      </c>
      <c r="L529" s="9" t="s">
        <v>46</v>
      </c>
      <c r="M529" s="9" t="s">
        <v>23</v>
      </c>
      <c r="N529" s="9" t="s">
        <v>2610</v>
      </c>
      <c r="O529" s="9" t="s">
        <v>80</v>
      </c>
      <c r="P529" s="9">
        <v>92404</v>
      </c>
      <c r="Q529" s="9" t="s">
        <v>37</v>
      </c>
      <c r="R529" s="9" t="s">
        <v>617</v>
      </c>
      <c r="S529" s="9" t="s">
        <v>66</v>
      </c>
      <c r="T529" s="9" t="s">
        <v>103</v>
      </c>
      <c r="U529" s="9" t="s">
        <v>618</v>
      </c>
      <c r="V529" s="11">
        <v>110.52800000000001</v>
      </c>
      <c r="W529" s="9" t="str">
        <f t="shared" si="44"/>
        <v>Slow Delivery</v>
      </c>
    </row>
    <row r="530" spans="1:23" x14ac:dyDescent="0.25">
      <c r="A530" s="9">
        <v>6873</v>
      </c>
      <c r="B530" s="10" t="s">
        <v>3852</v>
      </c>
      <c r="C530" s="10">
        <v>42720</v>
      </c>
      <c r="D530" s="10">
        <v>42723</v>
      </c>
      <c r="E530" s="9">
        <f t="shared" si="41"/>
        <v>2016</v>
      </c>
      <c r="F530" s="10" t="str">
        <f t="shared" si="42"/>
        <v>Dec</v>
      </c>
      <c r="G530" s="9">
        <f t="shared" si="43"/>
        <v>12</v>
      </c>
      <c r="H530" s="9">
        <f t="shared" si="40"/>
        <v>3</v>
      </c>
      <c r="I530" s="9" t="s">
        <v>19</v>
      </c>
      <c r="J530" s="9" t="s">
        <v>3853</v>
      </c>
      <c r="K530" s="9" t="s">
        <v>3854</v>
      </c>
      <c r="L530" s="9" t="s">
        <v>22</v>
      </c>
      <c r="M530" s="9" t="s">
        <v>23</v>
      </c>
      <c r="N530" s="9" t="s">
        <v>35</v>
      </c>
      <c r="O530" s="9" t="s">
        <v>36</v>
      </c>
      <c r="P530" s="9">
        <v>98105</v>
      </c>
      <c r="Q530" s="9" t="s">
        <v>37</v>
      </c>
      <c r="R530" s="9" t="s">
        <v>3855</v>
      </c>
      <c r="S530" s="9" t="s">
        <v>66</v>
      </c>
      <c r="T530" s="9" t="s">
        <v>201</v>
      </c>
      <c r="U530" s="9" t="s">
        <v>3856</v>
      </c>
      <c r="V530" s="11">
        <v>4.9800000000000004</v>
      </c>
      <c r="W530" s="9" t="str">
        <f t="shared" si="44"/>
        <v>Fast Delivery</v>
      </c>
    </row>
    <row r="531" spans="1:23" x14ac:dyDescent="0.25">
      <c r="A531" s="9">
        <v>4993</v>
      </c>
      <c r="B531" s="10" t="s">
        <v>3899</v>
      </c>
      <c r="C531" s="10">
        <v>42722</v>
      </c>
      <c r="D531" s="10">
        <v>42729</v>
      </c>
      <c r="E531" s="9">
        <f t="shared" si="41"/>
        <v>2016</v>
      </c>
      <c r="F531" s="10" t="str">
        <f t="shared" si="42"/>
        <v>Dec</v>
      </c>
      <c r="G531" s="9">
        <f t="shared" si="43"/>
        <v>12</v>
      </c>
      <c r="H531" s="9">
        <f t="shared" si="40"/>
        <v>7</v>
      </c>
      <c r="I531" s="9" t="s">
        <v>43</v>
      </c>
      <c r="J531" s="9" t="s">
        <v>3900</v>
      </c>
      <c r="K531" s="9" t="s">
        <v>3901</v>
      </c>
      <c r="L531" s="9" t="s">
        <v>87</v>
      </c>
      <c r="M531" s="9" t="s">
        <v>23</v>
      </c>
      <c r="N531" s="9" t="s">
        <v>2692</v>
      </c>
      <c r="O531" s="9" t="s">
        <v>575</v>
      </c>
      <c r="P531" s="9">
        <v>38109</v>
      </c>
      <c r="Q531" s="9" t="s">
        <v>110</v>
      </c>
      <c r="R531" s="9" t="s">
        <v>3902</v>
      </c>
      <c r="S531" s="9" t="s">
        <v>66</v>
      </c>
      <c r="T531" s="9" t="s">
        <v>280</v>
      </c>
      <c r="U531" s="9" t="s">
        <v>3903</v>
      </c>
      <c r="V531" s="11">
        <v>55.936</v>
      </c>
      <c r="W531" s="9" t="str">
        <f t="shared" si="44"/>
        <v>Slow Delivery</v>
      </c>
    </row>
    <row r="532" spans="1:23" x14ac:dyDescent="0.25">
      <c r="A532" s="9">
        <v>6735</v>
      </c>
      <c r="B532" s="10" t="s">
        <v>3920</v>
      </c>
      <c r="C532" s="10">
        <v>42724</v>
      </c>
      <c r="D532" s="10">
        <v>42729</v>
      </c>
      <c r="E532" s="9">
        <f t="shared" si="41"/>
        <v>2016</v>
      </c>
      <c r="F532" s="10" t="str">
        <f t="shared" si="42"/>
        <v>Dec</v>
      </c>
      <c r="G532" s="9">
        <f t="shared" si="43"/>
        <v>12</v>
      </c>
      <c r="H532" s="9">
        <f t="shared" si="40"/>
        <v>5</v>
      </c>
      <c r="I532" s="9" t="s">
        <v>43</v>
      </c>
      <c r="J532" s="9" t="s">
        <v>3921</v>
      </c>
      <c r="K532" s="9" t="s">
        <v>3922</v>
      </c>
      <c r="L532" s="9" t="s">
        <v>46</v>
      </c>
      <c r="M532" s="9" t="s">
        <v>23</v>
      </c>
      <c r="N532" s="9" t="s">
        <v>1502</v>
      </c>
      <c r="O532" s="9" t="s">
        <v>130</v>
      </c>
      <c r="P532" s="9">
        <v>33142</v>
      </c>
      <c r="Q532" s="9" t="s">
        <v>110</v>
      </c>
      <c r="R532" s="9" t="s">
        <v>3923</v>
      </c>
      <c r="S532" s="9" t="s">
        <v>66</v>
      </c>
      <c r="T532" s="9" t="s">
        <v>82</v>
      </c>
      <c r="U532" s="9" t="s">
        <v>3924</v>
      </c>
      <c r="V532" s="11">
        <v>11.696</v>
      </c>
      <c r="W532" s="9" t="str">
        <f t="shared" si="44"/>
        <v>Slow Delivery</v>
      </c>
    </row>
    <row r="533" spans="1:23" x14ac:dyDescent="0.25">
      <c r="A533" s="9">
        <v>4173</v>
      </c>
      <c r="B533" s="10" t="s">
        <v>2698</v>
      </c>
      <c r="C533" s="10">
        <v>42917</v>
      </c>
      <c r="D533" s="10">
        <v>42917</v>
      </c>
      <c r="E533" s="9">
        <f t="shared" si="41"/>
        <v>2017</v>
      </c>
      <c r="F533" s="10" t="str">
        <f t="shared" si="42"/>
        <v>Jul</v>
      </c>
      <c r="G533" s="9">
        <f t="shared" si="43"/>
        <v>7</v>
      </c>
      <c r="H533" s="9">
        <f t="shared" si="40"/>
        <v>0</v>
      </c>
      <c r="I533" s="9" t="s">
        <v>302</v>
      </c>
      <c r="J533" s="9" t="s">
        <v>2699</v>
      </c>
      <c r="K533" s="9" t="s">
        <v>2700</v>
      </c>
      <c r="L533" s="9" t="s">
        <v>22</v>
      </c>
      <c r="M533" s="9" t="s">
        <v>23</v>
      </c>
      <c r="N533" s="9" t="s">
        <v>1003</v>
      </c>
      <c r="O533" s="9" t="s">
        <v>1004</v>
      </c>
      <c r="P533" s="9">
        <v>29203</v>
      </c>
      <c r="Q533" s="9" t="s">
        <v>110</v>
      </c>
      <c r="R533" s="9" t="s">
        <v>2308</v>
      </c>
      <c r="S533" s="9" t="s">
        <v>66</v>
      </c>
      <c r="T533" s="9" t="s">
        <v>103</v>
      </c>
      <c r="U533" s="9" t="s">
        <v>2309</v>
      </c>
      <c r="V533" s="11">
        <v>14.2</v>
      </c>
      <c r="W533" s="9" t="str">
        <f t="shared" si="44"/>
        <v>Fast Delivery</v>
      </c>
    </row>
    <row r="534" spans="1:23" x14ac:dyDescent="0.25">
      <c r="A534" s="9">
        <v>2667</v>
      </c>
      <c r="B534" s="10" t="s">
        <v>2725</v>
      </c>
      <c r="C534" s="10">
        <v>43009</v>
      </c>
      <c r="D534" s="10">
        <v>43009</v>
      </c>
      <c r="E534" s="9">
        <f t="shared" si="41"/>
        <v>2017</v>
      </c>
      <c r="F534" s="10" t="str">
        <f t="shared" si="42"/>
        <v>Oct</v>
      </c>
      <c r="G534" s="9">
        <f t="shared" si="43"/>
        <v>10</v>
      </c>
      <c r="H534" s="9">
        <f t="shared" si="40"/>
        <v>0</v>
      </c>
      <c r="I534" s="9" t="s">
        <v>302</v>
      </c>
      <c r="J534" s="9" t="s">
        <v>2726</v>
      </c>
      <c r="K534" s="9" t="s">
        <v>2727</v>
      </c>
      <c r="L534" s="9" t="s">
        <v>22</v>
      </c>
      <c r="M534" s="9" t="s">
        <v>23</v>
      </c>
      <c r="N534" s="9" t="s">
        <v>2704</v>
      </c>
      <c r="O534" s="9" t="s">
        <v>64</v>
      </c>
      <c r="P534" s="9">
        <v>79109</v>
      </c>
      <c r="Q534" s="9" t="s">
        <v>26</v>
      </c>
      <c r="R534" s="9" t="s">
        <v>2728</v>
      </c>
      <c r="S534" s="9" t="s">
        <v>28</v>
      </c>
      <c r="T534" s="9" t="s">
        <v>29</v>
      </c>
      <c r="U534" s="9" t="s">
        <v>2729</v>
      </c>
      <c r="V534" s="11">
        <v>79.512</v>
      </c>
      <c r="W534" s="9" t="str">
        <f t="shared" si="44"/>
        <v>Fast Delivery</v>
      </c>
    </row>
    <row r="535" spans="1:23" x14ac:dyDescent="0.25">
      <c r="A535" s="9">
        <v>6970</v>
      </c>
      <c r="B535" s="10" t="s">
        <v>3169</v>
      </c>
      <c r="C535" s="10">
        <v>42745</v>
      </c>
      <c r="D535" s="10">
        <v>42748</v>
      </c>
      <c r="E535" s="9">
        <f t="shared" si="41"/>
        <v>2017</v>
      </c>
      <c r="F535" s="10" t="str">
        <f t="shared" si="42"/>
        <v>Jan</v>
      </c>
      <c r="G535" s="9">
        <f t="shared" si="43"/>
        <v>1</v>
      </c>
      <c r="H535" s="9">
        <f t="shared" si="40"/>
        <v>3</v>
      </c>
      <c r="I535" s="9" t="s">
        <v>32</v>
      </c>
      <c r="J535" s="9" t="s">
        <v>3170</v>
      </c>
      <c r="K535" s="9" t="s">
        <v>3171</v>
      </c>
      <c r="L535" s="9" t="s">
        <v>22</v>
      </c>
      <c r="M535" s="9" t="s">
        <v>23</v>
      </c>
      <c r="N535" s="9" t="s">
        <v>3172</v>
      </c>
      <c r="O535" s="9" t="s">
        <v>36</v>
      </c>
      <c r="P535" s="9">
        <v>98632</v>
      </c>
      <c r="Q535" s="9" t="s">
        <v>37</v>
      </c>
      <c r="R535" s="9" t="s">
        <v>1476</v>
      </c>
      <c r="S535" s="9" t="s">
        <v>39</v>
      </c>
      <c r="T535" s="9" t="s">
        <v>112</v>
      </c>
      <c r="U535" s="9" t="s">
        <v>1477</v>
      </c>
      <c r="V535" s="11">
        <v>24.85</v>
      </c>
      <c r="W535" s="9" t="str">
        <f t="shared" si="44"/>
        <v>Fast Delivery</v>
      </c>
    </row>
    <row r="536" spans="1:23" x14ac:dyDescent="0.25">
      <c r="A536" s="9">
        <v>2471</v>
      </c>
      <c r="B536" s="10" t="s">
        <v>3943</v>
      </c>
      <c r="C536" s="10">
        <v>42757</v>
      </c>
      <c r="D536" s="10">
        <v>42763</v>
      </c>
      <c r="E536" s="9">
        <f t="shared" si="41"/>
        <v>2017</v>
      </c>
      <c r="F536" s="10" t="str">
        <f t="shared" si="42"/>
        <v>Jan</v>
      </c>
      <c r="G536" s="9">
        <f t="shared" si="43"/>
        <v>1</v>
      </c>
      <c r="H536" s="9">
        <f t="shared" si="40"/>
        <v>6</v>
      </c>
      <c r="I536" s="9" t="s">
        <v>43</v>
      </c>
      <c r="J536" s="9" t="s">
        <v>3944</v>
      </c>
      <c r="K536" s="9" t="s">
        <v>3945</v>
      </c>
      <c r="L536" s="9" t="s">
        <v>22</v>
      </c>
      <c r="M536" s="9" t="s">
        <v>23</v>
      </c>
      <c r="N536" s="9" t="s">
        <v>369</v>
      </c>
      <c r="O536" s="9" t="s">
        <v>137</v>
      </c>
      <c r="P536" s="9">
        <v>28314</v>
      </c>
      <c r="Q536" s="9" t="s">
        <v>110</v>
      </c>
      <c r="R536" s="9" t="s">
        <v>3946</v>
      </c>
      <c r="S536" s="9" t="s">
        <v>39</v>
      </c>
      <c r="T536" s="9" t="s">
        <v>112</v>
      </c>
      <c r="U536" s="9" t="s">
        <v>3947</v>
      </c>
      <c r="V536" s="11">
        <v>14.272</v>
      </c>
      <c r="W536" s="9" t="str">
        <f t="shared" si="44"/>
        <v>Slow Delivery</v>
      </c>
    </row>
    <row r="537" spans="1:23" x14ac:dyDescent="0.25">
      <c r="A537" s="9">
        <v>3237</v>
      </c>
      <c r="B537" s="10" t="s">
        <v>2757</v>
      </c>
      <c r="C537" s="10">
        <v>42857</v>
      </c>
      <c r="D537" s="10">
        <v>42857</v>
      </c>
      <c r="E537" s="9">
        <f t="shared" si="41"/>
        <v>2017</v>
      </c>
      <c r="F537" s="10" t="str">
        <f t="shared" si="42"/>
        <v>May</v>
      </c>
      <c r="G537" s="9">
        <f t="shared" si="43"/>
        <v>5</v>
      </c>
      <c r="H537" s="9">
        <f t="shared" si="40"/>
        <v>0</v>
      </c>
      <c r="I537" s="9" t="s">
        <v>302</v>
      </c>
      <c r="J537" s="9" t="s">
        <v>2758</v>
      </c>
      <c r="K537" s="9" t="s">
        <v>2759</v>
      </c>
      <c r="L537" s="9" t="s">
        <v>22</v>
      </c>
      <c r="M537" s="9" t="s">
        <v>23</v>
      </c>
      <c r="N537" s="9" t="s">
        <v>47</v>
      </c>
      <c r="O537" s="9" t="s">
        <v>48</v>
      </c>
      <c r="P537" s="9">
        <v>10024</v>
      </c>
      <c r="Q537" s="9" t="s">
        <v>49</v>
      </c>
      <c r="R537" s="9" t="s">
        <v>2760</v>
      </c>
      <c r="S537" s="9" t="s">
        <v>66</v>
      </c>
      <c r="T537" s="9" t="s">
        <v>74</v>
      </c>
      <c r="U537" s="9" t="s">
        <v>2761</v>
      </c>
      <c r="V537" s="11">
        <v>44.94</v>
      </c>
      <c r="W537" s="9" t="str">
        <f t="shared" si="44"/>
        <v>Fast Delivery</v>
      </c>
    </row>
    <row r="538" spans="1:23" x14ac:dyDescent="0.25">
      <c r="A538" s="9">
        <v>1068</v>
      </c>
      <c r="B538" s="10" t="s">
        <v>2722</v>
      </c>
      <c r="C538" s="10">
        <v>43009</v>
      </c>
      <c r="D538" s="10">
        <v>43010</v>
      </c>
      <c r="E538" s="9">
        <f t="shared" si="41"/>
        <v>2017</v>
      </c>
      <c r="F538" s="10" t="str">
        <f t="shared" si="42"/>
        <v>Oct</v>
      </c>
      <c r="G538" s="9">
        <f t="shared" si="43"/>
        <v>10</v>
      </c>
      <c r="H538" s="9">
        <f t="shared" si="40"/>
        <v>1</v>
      </c>
      <c r="I538" s="9" t="s">
        <v>19</v>
      </c>
      <c r="J538" s="9" t="s">
        <v>2723</v>
      </c>
      <c r="K538" s="9" t="s">
        <v>2724</v>
      </c>
      <c r="L538" s="9" t="s">
        <v>22</v>
      </c>
      <c r="M538" s="9" t="s">
        <v>23</v>
      </c>
      <c r="N538" s="9" t="s">
        <v>143</v>
      </c>
      <c r="O538" s="9" t="s">
        <v>80</v>
      </c>
      <c r="P538" s="9">
        <v>94122</v>
      </c>
      <c r="Q538" s="9" t="s">
        <v>37</v>
      </c>
      <c r="R538" s="9" t="s">
        <v>785</v>
      </c>
      <c r="S538" s="9" t="s">
        <v>39</v>
      </c>
      <c r="T538" s="9" t="s">
        <v>40</v>
      </c>
      <c r="U538" s="9" t="s">
        <v>786</v>
      </c>
      <c r="V538" s="11">
        <v>194.84800000000001</v>
      </c>
      <c r="W538" s="9" t="str">
        <f t="shared" si="44"/>
        <v>Fast Delivery</v>
      </c>
    </row>
    <row r="539" spans="1:23" x14ac:dyDescent="0.25">
      <c r="A539" s="9">
        <v>8842</v>
      </c>
      <c r="B539" s="10" t="s">
        <v>3130</v>
      </c>
      <c r="C539" s="10">
        <v>42775</v>
      </c>
      <c r="D539" s="10">
        <v>42779</v>
      </c>
      <c r="E539" s="9">
        <f t="shared" si="41"/>
        <v>2017</v>
      </c>
      <c r="F539" s="10" t="str">
        <f t="shared" si="42"/>
        <v>Feb</v>
      </c>
      <c r="G539" s="9">
        <f t="shared" si="43"/>
        <v>2</v>
      </c>
      <c r="H539" s="9">
        <f t="shared" si="40"/>
        <v>4</v>
      </c>
      <c r="I539" s="9" t="s">
        <v>43</v>
      </c>
      <c r="J539" s="9" t="s">
        <v>3131</v>
      </c>
      <c r="K539" s="9" t="s">
        <v>3132</v>
      </c>
      <c r="L539" s="9" t="s">
        <v>87</v>
      </c>
      <c r="M539" s="9" t="s">
        <v>23</v>
      </c>
      <c r="N539" s="9" t="s">
        <v>143</v>
      </c>
      <c r="O539" s="9" t="s">
        <v>80</v>
      </c>
      <c r="P539" s="9">
        <v>94110</v>
      </c>
      <c r="Q539" s="9" t="s">
        <v>37</v>
      </c>
      <c r="R539" s="9" t="s">
        <v>419</v>
      </c>
      <c r="S539" s="9" t="s">
        <v>28</v>
      </c>
      <c r="T539" s="9" t="s">
        <v>29</v>
      </c>
      <c r="U539" s="9" t="s">
        <v>420</v>
      </c>
      <c r="V539" s="11">
        <v>89.97</v>
      </c>
      <c r="W539" s="9" t="str">
        <f t="shared" si="44"/>
        <v>Slow Delivery</v>
      </c>
    </row>
    <row r="540" spans="1:23" x14ac:dyDescent="0.25">
      <c r="A540" s="9">
        <v>1809</v>
      </c>
      <c r="B540" s="10" t="s">
        <v>3200</v>
      </c>
      <c r="C540" s="10">
        <v>42777</v>
      </c>
      <c r="D540" s="10">
        <v>42779</v>
      </c>
      <c r="E540" s="9">
        <f t="shared" si="41"/>
        <v>2017</v>
      </c>
      <c r="F540" s="10" t="str">
        <f t="shared" si="42"/>
        <v>Feb</v>
      </c>
      <c r="G540" s="9">
        <f t="shared" si="43"/>
        <v>2</v>
      </c>
      <c r="H540" s="9">
        <f t="shared" si="40"/>
        <v>2</v>
      </c>
      <c r="I540" s="9" t="s">
        <v>19</v>
      </c>
      <c r="J540" s="9" t="s">
        <v>3201</v>
      </c>
      <c r="K540" s="9" t="s">
        <v>3202</v>
      </c>
      <c r="L540" s="9" t="s">
        <v>87</v>
      </c>
      <c r="M540" s="9" t="s">
        <v>23</v>
      </c>
      <c r="N540" s="9" t="s">
        <v>1115</v>
      </c>
      <c r="O540" s="9" t="s">
        <v>599</v>
      </c>
      <c r="P540" s="9">
        <v>74133</v>
      </c>
      <c r="Q540" s="9" t="s">
        <v>26</v>
      </c>
      <c r="R540" s="9" t="s">
        <v>3203</v>
      </c>
      <c r="S540" s="9" t="s">
        <v>28</v>
      </c>
      <c r="T540" s="9" t="s">
        <v>51</v>
      </c>
      <c r="U540" s="9" t="s">
        <v>3204</v>
      </c>
      <c r="V540" s="11">
        <v>69.930000000000007</v>
      </c>
      <c r="W540" s="9" t="str">
        <f t="shared" si="44"/>
        <v>Fast Delivery</v>
      </c>
    </row>
    <row r="541" spans="1:23" x14ac:dyDescent="0.25">
      <c r="A541" s="9">
        <v>4748</v>
      </c>
      <c r="B541" s="10" t="s">
        <v>2823</v>
      </c>
      <c r="C541" s="10">
        <v>42797</v>
      </c>
      <c r="D541" s="10">
        <v>42797</v>
      </c>
      <c r="E541" s="9">
        <f t="shared" si="41"/>
        <v>2017</v>
      </c>
      <c r="F541" s="10" t="str">
        <f t="shared" si="42"/>
        <v>Mar</v>
      </c>
      <c r="G541" s="9">
        <f t="shared" si="43"/>
        <v>3</v>
      </c>
      <c r="H541" s="9">
        <f t="shared" si="40"/>
        <v>0</v>
      </c>
      <c r="I541" s="9" t="s">
        <v>302</v>
      </c>
      <c r="J541" s="9" t="s">
        <v>2824</v>
      </c>
      <c r="K541" s="9" t="s">
        <v>2825</v>
      </c>
      <c r="L541" s="9" t="s">
        <v>87</v>
      </c>
      <c r="M541" s="9" t="s">
        <v>23</v>
      </c>
      <c r="N541" s="9" t="s">
        <v>143</v>
      </c>
      <c r="O541" s="9" t="s">
        <v>80</v>
      </c>
      <c r="P541" s="9">
        <v>94110</v>
      </c>
      <c r="Q541" s="9" t="s">
        <v>37</v>
      </c>
      <c r="R541" s="9" t="s">
        <v>2826</v>
      </c>
      <c r="S541" s="9" t="s">
        <v>66</v>
      </c>
      <c r="T541" s="9" t="s">
        <v>564</v>
      </c>
      <c r="U541" s="9" t="s">
        <v>2827</v>
      </c>
      <c r="V541" s="11">
        <v>25.35</v>
      </c>
      <c r="W541" s="9" t="str">
        <f t="shared" si="44"/>
        <v>Fast Delivery</v>
      </c>
    </row>
    <row r="542" spans="1:23" x14ac:dyDescent="0.25">
      <c r="A542" s="9">
        <v>448</v>
      </c>
      <c r="B542" s="10" t="s">
        <v>2670</v>
      </c>
      <c r="C542" s="10">
        <v>42826</v>
      </c>
      <c r="D542" s="10">
        <v>42828</v>
      </c>
      <c r="E542" s="9">
        <f t="shared" si="41"/>
        <v>2017</v>
      </c>
      <c r="F542" s="10" t="str">
        <f t="shared" si="42"/>
        <v>Apr</v>
      </c>
      <c r="G542" s="9">
        <f t="shared" si="43"/>
        <v>4</v>
      </c>
      <c r="H542" s="9">
        <f t="shared" si="40"/>
        <v>2</v>
      </c>
      <c r="I542" s="9" t="s">
        <v>32</v>
      </c>
      <c r="J542" s="9" t="s">
        <v>2671</v>
      </c>
      <c r="K542" s="9" t="s">
        <v>2672</v>
      </c>
      <c r="L542" s="9" t="s">
        <v>22</v>
      </c>
      <c r="M542" s="9" t="s">
        <v>23</v>
      </c>
      <c r="N542" s="9" t="s">
        <v>2673</v>
      </c>
      <c r="O542" s="9" t="s">
        <v>48</v>
      </c>
      <c r="P542" s="9">
        <v>13021</v>
      </c>
      <c r="Q542" s="9" t="s">
        <v>49</v>
      </c>
      <c r="R542" s="9" t="s">
        <v>751</v>
      </c>
      <c r="S542" s="9" t="s">
        <v>66</v>
      </c>
      <c r="T542" s="9" t="s">
        <v>158</v>
      </c>
      <c r="U542" s="9" t="s">
        <v>752</v>
      </c>
      <c r="V542" s="11">
        <v>59.52</v>
      </c>
      <c r="W542" s="9" t="str">
        <f t="shared" si="44"/>
        <v>Fast Delivery</v>
      </c>
    </row>
    <row r="543" spans="1:23" x14ac:dyDescent="0.25">
      <c r="A543" s="9">
        <v>350</v>
      </c>
      <c r="B543" s="10" t="s">
        <v>2706</v>
      </c>
      <c r="C543" s="10">
        <v>42979</v>
      </c>
      <c r="D543" s="10">
        <v>42981</v>
      </c>
      <c r="E543" s="9">
        <f t="shared" si="41"/>
        <v>2017</v>
      </c>
      <c r="F543" s="10" t="str">
        <f t="shared" si="42"/>
        <v>Sep</v>
      </c>
      <c r="G543" s="9">
        <f t="shared" si="43"/>
        <v>9</v>
      </c>
      <c r="H543" s="9">
        <f t="shared" si="40"/>
        <v>2</v>
      </c>
      <c r="I543" s="9" t="s">
        <v>19</v>
      </c>
      <c r="J543" s="9" t="s">
        <v>2707</v>
      </c>
      <c r="K543" s="9" t="s">
        <v>2708</v>
      </c>
      <c r="L543" s="9" t="s">
        <v>46</v>
      </c>
      <c r="M543" s="9" t="s">
        <v>23</v>
      </c>
      <c r="N543" s="9" t="s">
        <v>47</v>
      </c>
      <c r="O543" s="9" t="s">
        <v>48</v>
      </c>
      <c r="P543" s="9">
        <v>10009</v>
      </c>
      <c r="Q543" s="9" t="s">
        <v>49</v>
      </c>
      <c r="R543" s="9" t="s">
        <v>2709</v>
      </c>
      <c r="S543" s="9" t="s">
        <v>28</v>
      </c>
      <c r="T543" s="9" t="s">
        <v>29</v>
      </c>
      <c r="U543" s="9" t="s">
        <v>2710</v>
      </c>
      <c r="V543" s="11">
        <v>6.79</v>
      </c>
      <c r="W543" s="9" t="str">
        <f t="shared" si="44"/>
        <v>Fast Delivery</v>
      </c>
    </row>
    <row r="544" spans="1:23" x14ac:dyDescent="0.25">
      <c r="A544" s="9">
        <v>7482</v>
      </c>
      <c r="B544" s="10" t="s">
        <v>2716</v>
      </c>
      <c r="C544" s="10">
        <v>42979</v>
      </c>
      <c r="D544" s="10">
        <v>42981</v>
      </c>
      <c r="E544" s="9">
        <f t="shared" si="41"/>
        <v>2017</v>
      </c>
      <c r="F544" s="10" t="str">
        <f t="shared" si="42"/>
        <v>Sep</v>
      </c>
      <c r="G544" s="9">
        <f t="shared" si="43"/>
        <v>9</v>
      </c>
      <c r="H544" s="9">
        <f t="shared" si="40"/>
        <v>2</v>
      </c>
      <c r="I544" s="9" t="s">
        <v>32</v>
      </c>
      <c r="J544" s="9" t="s">
        <v>2717</v>
      </c>
      <c r="K544" s="9" t="s">
        <v>2718</v>
      </c>
      <c r="L544" s="9" t="s">
        <v>46</v>
      </c>
      <c r="M544" s="9" t="s">
        <v>23</v>
      </c>
      <c r="N544" s="9" t="s">
        <v>2719</v>
      </c>
      <c r="O544" s="9" t="s">
        <v>80</v>
      </c>
      <c r="P544" s="9">
        <v>92646</v>
      </c>
      <c r="Q544" s="9" t="s">
        <v>37</v>
      </c>
      <c r="R544" s="9" t="s">
        <v>2720</v>
      </c>
      <c r="S544" s="9" t="s">
        <v>66</v>
      </c>
      <c r="T544" s="9" t="s">
        <v>280</v>
      </c>
      <c r="U544" s="9" t="s">
        <v>2721</v>
      </c>
      <c r="V544" s="11">
        <v>12.78</v>
      </c>
      <c r="W544" s="9" t="str">
        <f t="shared" si="44"/>
        <v>Fast Delivery</v>
      </c>
    </row>
    <row r="545" spans="1:23" x14ac:dyDescent="0.25">
      <c r="A545" s="9">
        <v>4513</v>
      </c>
      <c r="B545" s="10" t="s">
        <v>2791</v>
      </c>
      <c r="C545" s="10">
        <v>43010</v>
      </c>
      <c r="D545" s="10">
        <v>43011</v>
      </c>
      <c r="E545" s="9">
        <f t="shared" si="41"/>
        <v>2017</v>
      </c>
      <c r="F545" s="10" t="str">
        <f t="shared" si="42"/>
        <v>Oct</v>
      </c>
      <c r="G545" s="9">
        <f t="shared" si="43"/>
        <v>10</v>
      </c>
      <c r="H545" s="9">
        <f t="shared" si="40"/>
        <v>1</v>
      </c>
      <c r="I545" s="9" t="s">
        <v>19</v>
      </c>
      <c r="J545" s="9" t="s">
        <v>2792</v>
      </c>
      <c r="K545" s="9" t="s">
        <v>2793</v>
      </c>
      <c r="L545" s="9" t="s">
        <v>22</v>
      </c>
      <c r="M545" s="9" t="s">
        <v>23</v>
      </c>
      <c r="N545" s="9" t="s">
        <v>2568</v>
      </c>
      <c r="O545" s="9" t="s">
        <v>382</v>
      </c>
      <c r="P545" s="9">
        <v>85023</v>
      </c>
      <c r="Q545" s="9" t="s">
        <v>37</v>
      </c>
      <c r="R545" s="9" t="s">
        <v>2794</v>
      </c>
      <c r="S545" s="9" t="s">
        <v>66</v>
      </c>
      <c r="T545" s="9" t="s">
        <v>103</v>
      </c>
      <c r="U545" s="9" t="s">
        <v>2795</v>
      </c>
      <c r="V545" s="11">
        <v>54.792000000000002</v>
      </c>
      <c r="W545" s="9" t="str">
        <f t="shared" si="44"/>
        <v>Fast Delivery</v>
      </c>
    </row>
    <row r="546" spans="1:23" x14ac:dyDescent="0.25">
      <c r="A546" s="9">
        <v>8112</v>
      </c>
      <c r="B546" s="10" t="s">
        <v>2742</v>
      </c>
      <c r="C546" s="10">
        <v>43070</v>
      </c>
      <c r="D546" s="10">
        <v>43072</v>
      </c>
      <c r="E546" s="9">
        <f t="shared" si="41"/>
        <v>2017</v>
      </c>
      <c r="F546" s="10" t="str">
        <f t="shared" si="42"/>
        <v>Dec</v>
      </c>
      <c r="G546" s="9">
        <f t="shared" si="43"/>
        <v>12</v>
      </c>
      <c r="H546" s="9">
        <f t="shared" si="40"/>
        <v>2</v>
      </c>
      <c r="I546" s="9" t="s">
        <v>32</v>
      </c>
      <c r="J546" s="9" t="s">
        <v>2743</v>
      </c>
      <c r="K546" s="9" t="s">
        <v>2744</v>
      </c>
      <c r="L546" s="9" t="s">
        <v>22</v>
      </c>
      <c r="M546" s="9" t="s">
        <v>23</v>
      </c>
      <c r="N546" s="9" t="s">
        <v>2745</v>
      </c>
      <c r="O546" s="9" t="s">
        <v>64</v>
      </c>
      <c r="P546" s="9">
        <v>76903</v>
      </c>
      <c r="Q546" s="9" t="s">
        <v>26</v>
      </c>
      <c r="R546" s="9" t="s">
        <v>1191</v>
      </c>
      <c r="S546" s="9" t="s">
        <v>39</v>
      </c>
      <c r="T546" s="9" t="s">
        <v>40</v>
      </c>
      <c r="U546" s="9" t="s">
        <v>1192</v>
      </c>
      <c r="V546" s="11">
        <v>248.43</v>
      </c>
      <c r="W546" s="9" t="str">
        <f t="shared" si="44"/>
        <v>Fast Delivery</v>
      </c>
    </row>
    <row r="547" spans="1:23" x14ac:dyDescent="0.25">
      <c r="A547" s="9">
        <v>1047</v>
      </c>
      <c r="B547" s="10" t="s">
        <v>3091</v>
      </c>
      <c r="C547" s="10">
        <v>42802</v>
      </c>
      <c r="D547" s="10">
        <v>42807</v>
      </c>
      <c r="E547" s="9">
        <f t="shared" si="41"/>
        <v>2017</v>
      </c>
      <c r="F547" s="10" t="str">
        <f t="shared" si="42"/>
        <v>Mar</v>
      </c>
      <c r="G547" s="9">
        <f t="shared" si="43"/>
        <v>3</v>
      </c>
      <c r="H547" s="9">
        <f t="shared" si="40"/>
        <v>5</v>
      </c>
      <c r="I547" s="9" t="s">
        <v>43</v>
      </c>
      <c r="J547" s="9" t="s">
        <v>3092</v>
      </c>
      <c r="K547" s="9" t="s">
        <v>3093</v>
      </c>
      <c r="L547" s="9" t="s">
        <v>22</v>
      </c>
      <c r="M547" s="9" t="s">
        <v>23</v>
      </c>
      <c r="N547" s="9" t="s">
        <v>1502</v>
      </c>
      <c r="O547" s="9" t="s">
        <v>130</v>
      </c>
      <c r="P547" s="9">
        <v>33142</v>
      </c>
      <c r="Q547" s="9" t="s">
        <v>110</v>
      </c>
      <c r="R547" s="9" t="s">
        <v>1350</v>
      </c>
      <c r="S547" s="9" t="s">
        <v>28</v>
      </c>
      <c r="T547" s="9" t="s">
        <v>51</v>
      </c>
      <c r="U547" s="9" t="s">
        <v>1351</v>
      </c>
      <c r="V547" s="11">
        <v>1363.96</v>
      </c>
      <c r="W547" s="9" t="str">
        <f t="shared" si="44"/>
        <v>Slow Delivery</v>
      </c>
    </row>
    <row r="548" spans="1:23" x14ac:dyDescent="0.25">
      <c r="A548" s="9">
        <v>8100</v>
      </c>
      <c r="B548" s="10" t="s">
        <v>3178</v>
      </c>
      <c r="C548" s="10">
        <v>42804</v>
      </c>
      <c r="D548" s="10">
        <v>42807</v>
      </c>
      <c r="E548" s="9">
        <f t="shared" si="41"/>
        <v>2017</v>
      </c>
      <c r="F548" s="10" t="str">
        <f t="shared" si="42"/>
        <v>Mar</v>
      </c>
      <c r="G548" s="9">
        <f t="shared" si="43"/>
        <v>3</v>
      </c>
      <c r="H548" s="9">
        <f t="shared" si="40"/>
        <v>3</v>
      </c>
      <c r="I548" s="9" t="s">
        <v>19</v>
      </c>
      <c r="J548" s="9" t="s">
        <v>3179</v>
      </c>
      <c r="K548" s="9" t="s">
        <v>3180</v>
      </c>
      <c r="L548" s="9" t="s">
        <v>46</v>
      </c>
      <c r="M548" s="9" t="s">
        <v>23</v>
      </c>
      <c r="N548" s="9" t="s">
        <v>213</v>
      </c>
      <c r="O548" s="9" t="s">
        <v>80</v>
      </c>
      <c r="P548" s="9">
        <v>90045</v>
      </c>
      <c r="Q548" s="9" t="s">
        <v>37</v>
      </c>
      <c r="R548" s="9" t="s">
        <v>2574</v>
      </c>
      <c r="S548" s="9" t="s">
        <v>28</v>
      </c>
      <c r="T548" s="9" t="s">
        <v>29</v>
      </c>
      <c r="U548" s="9" t="s">
        <v>2575</v>
      </c>
      <c r="V548" s="11">
        <v>26.85</v>
      </c>
      <c r="W548" s="9" t="str">
        <f t="shared" si="44"/>
        <v>Fast Delivery</v>
      </c>
    </row>
    <row r="549" spans="1:23" x14ac:dyDescent="0.25">
      <c r="A549" s="9">
        <v>9412</v>
      </c>
      <c r="B549" s="10" t="s">
        <v>3181</v>
      </c>
      <c r="C549" s="10">
        <v>42804</v>
      </c>
      <c r="D549" s="10">
        <v>42808</v>
      </c>
      <c r="E549" s="9">
        <f t="shared" si="41"/>
        <v>2017</v>
      </c>
      <c r="F549" s="10" t="str">
        <f t="shared" si="42"/>
        <v>Mar</v>
      </c>
      <c r="G549" s="9">
        <f t="shared" si="43"/>
        <v>3</v>
      </c>
      <c r="H549" s="9">
        <f t="shared" si="40"/>
        <v>4</v>
      </c>
      <c r="I549" s="9" t="s">
        <v>32</v>
      </c>
      <c r="J549" s="9" t="s">
        <v>3182</v>
      </c>
      <c r="K549" s="9" t="s">
        <v>3183</v>
      </c>
      <c r="L549" s="9" t="s">
        <v>87</v>
      </c>
      <c r="M549" s="9" t="s">
        <v>23</v>
      </c>
      <c r="N549" s="9" t="s">
        <v>518</v>
      </c>
      <c r="O549" s="9" t="s">
        <v>382</v>
      </c>
      <c r="P549" s="9">
        <v>85301</v>
      </c>
      <c r="Q549" s="9" t="s">
        <v>37</v>
      </c>
      <c r="R549" s="9" t="s">
        <v>3184</v>
      </c>
      <c r="S549" s="9" t="s">
        <v>66</v>
      </c>
      <c r="T549" s="9" t="s">
        <v>74</v>
      </c>
      <c r="U549" s="9" t="s">
        <v>3185</v>
      </c>
      <c r="V549" s="11">
        <v>104.696</v>
      </c>
      <c r="W549" s="9" t="str">
        <f t="shared" si="44"/>
        <v>Slow Delivery</v>
      </c>
    </row>
    <row r="550" spans="1:23" x14ac:dyDescent="0.25">
      <c r="A550" s="9">
        <v>1693</v>
      </c>
      <c r="B550" s="10" t="s">
        <v>3747</v>
      </c>
      <c r="C550" s="10">
        <v>42808</v>
      </c>
      <c r="D550" s="10">
        <v>42813</v>
      </c>
      <c r="E550" s="9">
        <f t="shared" si="41"/>
        <v>2017</v>
      </c>
      <c r="F550" s="10" t="str">
        <f t="shared" si="42"/>
        <v>Mar</v>
      </c>
      <c r="G550" s="9">
        <f t="shared" si="43"/>
        <v>3</v>
      </c>
      <c r="H550" s="9">
        <f t="shared" si="40"/>
        <v>5</v>
      </c>
      <c r="I550" s="9" t="s">
        <v>43</v>
      </c>
      <c r="J550" s="9" t="s">
        <v>3748</v>
      </c>
      <c r="K550" s="9" t="s">
        <v>3749</v>
      </c>
      <c r="L550" s="9" t="s">
        <v>22</v>
      </c>
      <c r="M550" s="9" t="s">
        <v>23</v>
      </c>
      <c r="N550" s="9" t="s">
        <v>249</v>
      </c>
      <c r="O550" s="9" t="s">
        <v>250</v>
      </c>
      <c r="P550" s="9">
        <v>43229</v>
      </c>
      <c r="Q550" s="9" t="s">
        <v>49</v>
      </c>
      <c r="R550" s="9" t="s">
        <v>632</v>
      </c>
      <c r="S550" s="9" t="s">
        <v>39</v>
      </c>
      <c r="T550" s="9" t="s">
        <v>112</v>
      </c>
      <c r="U550" s="9" t="s">
        <v>633</v>
      </c>
      <c r="V550" s="11">
        <v>21.88</v>
      </c>
      <c r="W550" s="9" t="str">
        <f t="shared" si="44"/>
        <v>Slow Delivery</v>
      </c>
    </row>
    <row r="551" spans="1:23" x14ac:dyDescent="0.25">
      <c r="A551" s="9">
        <v>2664</v>
      </c>
      <c r="B551" s="10" t="s">
        <v>2689</v>
      </c>
      <c r="C551" s="10">
        <v>42856</v>
      </c>
      <c r="D551" s="10">
        <v>42859</v>
      </c>
      <c r="E551" s="9">
        <f t="shared" si="41"/>
        <v>2017</v>
      </c>
      <c r="F551" s="10" t="str">
        <f t="shared" si="42"/>
        <v>May</v>
      </c>
      <c r="G551" s="9">
        <f t="shared" si="43"/>
        <v>5</v>
      </c>
      <c r="H551" s="9">
        <f t="shared" si="40"/>
        <v>3</v>
      </c>
      <c r="I551" s="9" t="s">
        <v>19</v>
      </c>
      <c r="J551" s="9" t="s">
        <v>2690</v>
      </c>
      <c r="K551" s="9" t="s">
        <v>2691</v>
      </c>
      <c r="L551" s="9" t="s">
        <v>22</v>
      </c>
      <c r="M551" s="9" t="s">
        <v>23</v>
      </c>
      <c r="N551" s="9" t="s">
        <v>2692</v>
      </c>
      <c r="O551" s="9" t="s">
        <v>575</v>
      </c>
      <c r="P551" s="9">
        <v>38109</v>
      </c>
      <c r="Q551" s="9" t="s">
        <v>110</v>
      </c>
      <c r="R551" s="9" t="s">
        <v>388</v>
      </c>
      <c r="S551" s="9" t="s">
        <v>66</v>
      </c>
      <c r="T551" s="9" t="s">
        <v>82</v>
      </c>
      <c r="U551" s="9" t="s">
        <v>389</v>
      </c>
      <c r="V551" s="11">
        <v>3.984</v>
      </c>
      <c r="W551" s="9" t="str">
        <f t="shared" si="44"/>
        <v>Fast Delivery</v>
      </c>
    </row>
    <row r="552" spans="1:23" x14ac:dyDescent="0.25">
      <c r="A552" s="9">
        <v>5862</v>
      </c>
      <c r="B552" s="10" t="s">
        <v>2693</v>
      </c>
      <c r="C552" s="10">
        <v>42856</v>
      </c>
      <c r="D552" s="10">
        <v>42859</v>
      </c>
      <c r="E552" s="9">
        <f t="shared" si="41"/>
        <v>2017</v>
      </c>
      <c r="F552" s="10" t="str">
        <f t="shared" si="42"/>
        <v>May</v>
      </c>
      <c r="G552" s="9">
        <f t="shared" si="43"/>
        <v>5</v>
      </c>
      <c r="H552" s="9">
        <f t="shared" si="40"/>
        <v>3</v>
      </c>
      <c r="I552" s="9" t="s">
        <v>32</v>
      </c>
      <c r="J552" s="9" t="s">
        <v>2694</v>
      </c>
      <c r="K552" s="9" t="s">
        <v>2695</v>
      </c>
      <c r="L552" s="9" t="s">
        <v>22</v>
      </c>
      <c r="M552" s="9" t="s">
        <v>23</v>
      </c>
      <c r="N552" s="9" t="s">
        <v>108</v>
      </c>
      <c r="O552" s="9" t="s">
        <v>109</v>
      </c>
      <c r="P552" s="9">
        <v>72209</v>
      </c>
      <c r="Q552" s="9" t="s">
        <v>110</v>
      </c>
      <c r="R552" s="9" t="s">
        <v>2696</v>
      </c>
      <c r="S552" s="9" t="s">
        <v>66</v>
      </c>
      <c r="T552" s="9" t="s">
        <v>201</v>
      </c>
      <c r="U552" s="9" t="s">
        <v>2697</v>
      </c>
      <c r="V552" s="11">
        <v>109.92</v>
      </c>
      <c r="W552" s="9" t="str">
        <f t="shared" si="44"/>
        <v>Fast Delivery</v>
      </c>
    </row>
    <row r="553" spans="1:23" x14ac:dyDescent="0.25">
      <c r="A553" s="9">
        <v>2602</v>
      </c>
      <c r="B553" s="10" t="s">
        <v>2894</v>
      </c>
      <c r="C553" s="10">
        <v>42890</v>
      </c>
      <c r="D553" s="10">
        <v>42890</v>
      </c>
      <c r="E553" s="9">
        <f t="shared" si="41"/>
        <v>2017</v>
      </c>
      <c r="F553" s="10" t="str">
        <f t="shared" si="42"/>
        <v>Jun</v>
      </c>
      <c r="G553" s="9">
        <f t="shared" si="43"/>
        <v>6</v>
      </c>
      <c r="H553" s="9">
        <f t="shared" si="40"/>
        <v>0</v>
      </c>
      <c r="I553" s="9" t="s">
        <v>302</v>
      </c>
      <c r="J553" s="9" t="s">
        <v>2895</v>
      </c>
      <c r="K553" s="9" t="s">
        <v>2896</v>
      </c>
      <c r="L553" s="9" t="s">
        <v>22</v>
      </c>
      <c r="M553" s="9" t="s">
        <v>23</v>
      </c>
      <c r="N553" s="9" t="s">
        <v>47</v>
      </c>
      <c r="O553" s="9" t="s">
        <v>48</v>
      </c>
      <c r="P553" s="9">
        <v>10035</v>
      </c>
      <c r="Q553" s="9" t="s">
        <v>49</v>
      </c>
      <c r="R553" s="9" t="s">
        <v>1861</v>
      </c>
      <c r="S553" s="9" t="s">
        <v>66</v>
      </c>
      <c r="T553" s="9" t="s">
        <v>201</v>
      </c>
      <c r="U553" s="9" t="s">
        <v>673</v>
      </c>
      <c r="V553" s="11">
        <v>14.94</v>
      </c>
      <c r="W553" s="9" t="str">
        <f t="shared" si="44"/>
        <v>Fast Delivery</v>
      </c>
    </row>
    <row r="554" spans="1:23" x14ac:dyDescent="0.25">
      <c r="A554" s="9">
        <v>5245</v>
      </c>
      <c r="B554" s="10" t="s">
        <v>2773</v>
      </c>
      <c r="C554" s="10">
        <v>42949</v>
      </c>
      <c r="D554" s="10">
        <v>42951</v>
      </c>
      <c r="E554" s="9">
        <f t="shared" si="41"/>
        <v>2017</v>
      </c>
      <c r="F554" s="10" t="str">
        <f t="shared" si="42"/>
        <v>Aug</v>
      </c>
      <c r="G554" s="9">
        <f t="shared" si="43"/>
        <v>8</v>
      </c>
      <c r="H554" s="9">
        <f t="shared" si="40"/>
        <v>2</v>
      </c>
      <c r="I554" s="9" t="s">
        <v>32</v>
      </c>
      <c r="J554" s="9" t="s">
        <v>2774</v>
      </c>
      <c r="K554" s="9" t="s">
        <v>2775</v>
      </c>
      <c r="L554" s="9" t="s">
        <v>87</v>
      </c>
      <c r="M554" s="9" t="s">
        <v>23</v>
      </c>
      <c r="N554" s="9" t="s">
        <v>213</v>
      </c>
      <c r="O554" s="9" t="s">
        <v>80</v>
      </c>
      <c r="P554" s="9">
        <v>90032</v>
      </c>
      <c r="Q554" s="9" t="s">
        <v>37</v>
      </c>
      <c r="R554" s="9" t="s">
        <v>2776</v>
      </c>
      <c r="S554" s="9" t="s">
        <v>39</v>
      </c>
      <c r="T554" s="9" t="s">
        <v>480</v>
      </c>
      <c r="U554" s="9" t="s">
        <v>2777</v>
      </c>
      <c r="V554" s="11">
        <v>136.464</v>
      </c>
      <c r="W554" s="9" t="str">
        <f t="shared" si="44"/>
        <v>Fast Delivery</v>
      </c>
    </row>
    <row r="555" spans="1:23" x14ac:dyDescent="0.25">
      <c r="A555" s="9">
        <v>963</v>
      </c>
      <c r="B555" s="10" t="s">
        <v>2711</v>
      </c>
      <c r="C555" s="10">
        <v>42979</v>
      </c>
      <c r="D555" s="10">
        <v>42982</v>
      </c>
      <c r="E555" s="9">
        <f t="shared" si="41"/>
        <v>2017</v>
      </c>
      <c r="F555" s="10" t="str">
        <f t="shared" si="42"/>
        <v>Sep</v>
      </c>
      <c r="G555" s="9">
        <f t="shared" si="43"/>
        <v>9</v>
      </c>
      <c r="H555" s="9">
        <f t="shared" si="40"/>
        <v>3</v>
      </c>
      <c r="I555" s="9" t="s">
        <v>19</v>
      </c>
      <c r="J555" s="9" t="s">
        <v>2712</v>
      </c>
      <c r="K555" s="9" t="s">
        <v>2713</v>
      </c>
      <c r="L555" s="9" t="s">
        <v>87</v>
      </c>
      <c r="M555" s="9" t="s">
        <v>23</v>
      </c>
      <c r="N555" s="9" t="s">
        <v>143</v>
      </c>
      <c r="O555" s="9" t="s">
        <v>80</v>
      </c>
      <c r="P555" s="9">
        <v>94110</v>
      </c>
      <c r="Q555" s="9" t="s">
        <v>37</v>
      </c>
      <c r="R555" s="9" t="s">
        <v>2714</v>
      </c>
      <c r="S555" s="9" t="s">
        <v>66</v>
      </c>
      <c r="T555" s="9" t="s">
        <v>280</v>
      </c>
      <c r="U555" s="9" t="s">
        <v>2715</v>
      </c>
      <c r="V555" s="11">
        <v>21.88</v>
      </c>
      <c r="W555" s="9" t="str">
        <f t="shared" si="44"/>
        <v>Fast Delivery</v>
      </c>
    </row>
    <row r="556" spans="1:23" x14ac:dyDescent="0.25">
      <c r="A556" s="9">
        <v>4304</v>
      </c>
      <c r="B556" s="10" t="s">
        <v>2917</v>
      </c>
      <c r="C556" s="10">
        <v>43012</v>
      </c>
      <c r="D556" s="10">
        <v>43012</v>
      </c>
      <c r="E556" s="9">
        <f t="shared" si="41"/>
        <v>2017</v>
      </c>
      <c r="F556" s="10" t="str">
        <f t="shared" si="42"/>
        <v>Oct</v>
      </c>
      <c r="G556" s="9">
        <f t="shared" si="43"/>
        <v>10</v>
      </c>
      <c r="H556" s="9">
        <f t="shared" si="40"/>
        <v>0</v>
      </c>
      <c r="I556" s="9" t="s">
        <v>302</v>
      </c>
      <c r="J556" s="9" t="s">
        <v>2918</v>
      </c>
      <c r="K556" s="9" t="s">
        <v>2919</v>
      </c>
      <c r="L556" s="9" t="s">
        <v>22</v>
      </c>
      <c r="M556" s="9" t="s">
        <v>23</v>
      </c>
      <c r="N556" s="9" t="s">
        <v>2920</v>
      </c>
      <c r="O556" s="9" t="s">
        <v>64</v>
      </c>
      <c r="P556" s="9">
        <v>75056</v>
      </c>
      <c r="Q556" s="9" t="s">
        <v>26</v>
      </c>
      <c r="R556" s="9" t="s">
        <v>2921</v>
      </c>
      <c r="S556" s="9" t="s">
        <v>66</v>
      </c>
      <c r="T556" s="9" t="s">
        <v>280</v>
      </c>
      <c r="U556" s="9" t="s">
        <v>2922</v>
      </c>
      <c r="V556" s="11">
        <v>59.752000000000002</v>
      </c>
      <c r="W556" s="9" t="str">
        <f t="shared" si="44"/>
        <v>Fast Delivery</v>
      </c>
    </row>
    <row r="557" spans="1:23" x14ac:dyDescent="0.25">
      <c r="A557" s="9">
        <v>355</v>
      </c>
      <c r="B557" s="10" t="s">
        <v>3097</v>
      </c>
      <c r="C557" s="10">
        <v>42833</v>
      </c>
      <c r="D557" s="10">
        <v>42838</v>
      </c>
      <c r="E557" s="9">
        <f t="shared" si="41"/>
        <v>2017</v>
      </c>
      <c r="F557" s="10" t="str">
        <f t="shared" si="42"/>
        <v>Apr</v>
      </c>
      <c r="G557" s="9">
        <f t="shared" si="43"/>
        <v>4</v>
      </c>
      <c r="H557" s="9">
        <f t="shared" si="40"/>
        <v>5</v>
      </c>
      <c r="I557" s="9" t="s">
        <v>43</v>
      </c>
      <c r="J557" s="9" t="s">
        <v>3098</v>
      </c>
      <c r="K557" s="9" t="s">
        <v>3099</v>
      </c>
      <c r="L557" s="9" t="s">
        <v>22</v>
      </c>
      <c r="M557" s="9" t="s">
        <v>23</v>
      </c>
      <c r="N557" s="9" t="s">
        <v>47</v>
      </c>
      <c r="O557" s="9" t="s">
        <v>48</v>
      </c>
      <c r="P557" s="9">
        <v>10035</v>
      </c>
      <c r="Q557" s="9" t="s">
        <v>49</v>
      </c>
      <c r="R557" s="9" t="s">
        <v>3100</v>
      </c>
      <c r="S557" s="9" t="s">
        <v>39</v>
      </c>
      <c r="T557" s="9" t="s">
        <v>1218</v>
      </c>
      <c r="U557" s="9" t="s">
        <v>3101</v>
      </c>
      <c r="V557" s="11">
        <v>388.70400000000001</v>
      </c>
      <c r="W557" s="9" t="str">
        <f t="shared" si="44"/>
        <v>Slow Delivery</v>
      </c>
    </row>
    <row r="558" spans="1:23" x14ac:dyDescent="0.25">
      <c r="A558" s="9">
        <v>3054</v>
      </c>
      <c r="B558" s="10" t="s">
        <v>3139</v>
      </c>
      <c r="C558" s="10">
        <v>42834</v>
      </c>
      <c r="D558" s="10">
        <v>42839</v>
      </c>
      <c r="E558" s="9">
        <f t="shared" si="41"/>
        <v>2017</v>
      </c>
      <c r="F558" s="10" t="str">
        <f t="shared" si="42"/>
        <v>Apr</v>
      </c>
      <c r="G558" s="9">
        <f t="shared" si="43"/>
        <v>4</v>
      </c>
      <c r="H558" s="9">
        <f t="shared" si="40"/>
        <v>5</v>
      </c>
      <c r="I558" s="9" t="s">
        <v>32</v>
      </c>
      <c r="J558" s="9" t="s">
        <v>3140</v>
      </c>
      <c r="K558" s="9" t="s">
        <v>3141</v>
      </c>
      <c r="L558" s="9" t="s">
        <v>46</v>
      </c>
      <c r="M558" s="9" t="s">
        <v>23</v>
      </c>
      <c r="N558" s="9" t="s">
        <v>117</v>
      </c>
      <c r="O558" s="9" t="s">
        <v>118</v>
      </c>
      <c r="P558" s="9">
        <v>48227</v>
      </c>
      <c r="Q558" s="9" t="s">
        <v>26</v>
      </c>
      <c r="R558" s="9" t="s">
        <v>3142</v>
      </c>
      <c r="S558" s="9" t="s">
        <v>28</v>
      </c>
      <c r="T558" s="9" t="s">
        <v>51</v>
      </c>
      <c r="U558" s="9" t="s">
        <v>3143</v>
      </c>
      <c r="V558" s="11">
        <v>517.9</v>
      </c>
      <c r="W558" s="9" t="str">
        <f t="shared" si="44"/>
        <v>Slow Delivery</v>
      </c>
    </row>
    <row r="559" spans="1:23" x14ac:dyDescent="0.25">
      <c r="A559" s="9">
        <v>7361</v>
      </c>
      <c r="B559" s="10" t="s">
        <v>3234</v>
      </c>
      <c r="C559" s="10">
        <v>42837</v>
      </c>
      <c r="D559" s="10">
        <v>42839</v>
      </c>
      <c r="E559" s="9">
        <f t="shared" si="41"/>
        <v>2017</v>
      </c>
      <c r="F559" s="10" t="str">
        <f t="shared" si="42"/>
        <v>Apr</v>
      </c>
      <c r="G559" s="9">
        <f t="shared" si="43"/>
        <v>4</v>
      </c>
      <c r="H559" s="9">
        <f t="shared" si="40"/>
        <v>2</v>
      </c>
      <c r="I559" s="9" t="s">
        <v>19</v>
      </c>
      <c r="J559" s="9" t="s">
        <v>3235</v>
      </c>
      <c r="K559" s="9" t="s">
        <v>3236</v>
      </c>
      <c r="L559" s="9" t="s">
        <v>22</v>
      </c>
      <c r="M559" s="9" t="s">
        <v>23</v>
      </c>
      <c r="N559" s="9" t="s">
        <v>213</v>
      </c>
      <c r="O559" s="9" t="s">
        <v>80</v>
      </c>
      <c r="P559" s="9">
        <v>90036</v>
      </c>
      <c r="Q559" s="9" t="s">
        <v>37</v>
      </c>
      <c r="R559" s="9" t="s">
        <v>3237</v>
      </c>
      <c r="S559" s="9" t="s">
        <v>66</v>
      </c>
      <c r="T559" s="9" t="s">
        <v>201</v>
      </c>
      <c r="U559" s="9" t="s">
        <v>3238</v>
      </c>
      <c r="V559" s="11">
        <v>19.440000000000001</v>
      </c>
      <c r="W559" s="9" t="str">
        <f t="shared" si="44"/>
        <v>Fast Delivery</v>
      </c>
    </row>
    <row r="560" spans="1:23" x14ac:dyDescent="0.25">
      <c r="A560" s="9">
        <v>5643</v>
      </c>
      <c r="B560" s="10" t="s">
        <v>2679</v>
      </c>
      <c r="C560" s="10">
        <v>42826</v>
      </c>
      <c r="D560" s="10">
        <v>42830</v>
      </c>
      <c r="E560" s="9">
        <f t="shared" si="41"/>
        <v>2017</v>
      </c>
      <c r="F560" s="10" t="str">
        <f t="shared" si="42"/>
        <v>Apr</v>
      </c>
      <c r="G560" s="9">
        <f t="shared" si="43"/>
        <v>4</v>
      </c>
      <c r="H560" s="9">
        <f t="shared" si="40"/>
        <v>4</v>
      </c>
      <c r="I560" s="9" t="s">
        <v>32</v>
      </c>
      <c r="J560" s="9" t="s">
        <v>2680</v>
      </c>
      <c r="K560" s="9" t="s">
        <v>2681</v>
      </c>
      <c r="L560" s="9" t="s">
        <v>46</v>
      </c>
      <c r="M560" s="9" t="s">
        <v>23</v>
      </c>
      <c r="N560" s="9" t="s">
        <v>249</v>
      </c>
      <c r="O560" s="9" t="s">
        <v>286</v>
      </c>
      <c r="P560" s="9">
        <v>31907</v>
      </c>
      <c r="Q560" s="9" t="s">
        <v>110</v>
      </c>
      <c r="R560" s="9" t="s">
        <v>2682</v>
      </c>
      <c r="S560" s="9" t="s">
        <v>39</v>
      </c>
      <c r="T560" s="9" t="s">
        <v>112</v>
      </c>
      <c r="U560" s="9" t="s">
        <v>2683</v>
      </c>
      <c r="V560" s="11">
        <v>7.04</v>
      </c>
      <c r="W560" s="9" t="str">
        <f t="shared" si="44"/>
        <v>Slow Delivery</v>
      </c>
    </row>
    <row r="561" spans="1:23" x14ac:dyDescent="0.25">
      <c r="A561" s="9">
        <v>9559</v>
      </c>
      <c r="B561" s="10" t="s">
        <v>2833</v>
      </c>
      <c r="C561" s="10">
        <v>42858</v>
      </c>
      <c r="D561" s="10">
        <v>42860</v>
      </c>
      <c r="E561" s="9">
        <f t="shared" si="41"/>
        <v>2017</v>
      </c>
      <c r="F561" s="10" t="str">
        <f t="shared" si="42"/>
        <v>May</v>
      </c>
      <c r="G561" s="9">
        <f t="shared" si="43"/>
        <v>5</v>
      </c>
      <c r="H561" s="9">
        <f t="shared" si="40"/>
        <v>2</v>
      </c>
      <c r="I561" s="9" t="s">
        <v>19</v>
      </c>
      <c r="J561" s="9" t="s">
        <v>2834</v>
      </c>
      <c r="K561" s="9" t="s">
        <v>2835</v>
      </c>
      <c r="L561" s="9" t="s">
        <v>22</v>
      </c>
      <c r="M561" s="9" t="s">
        <v>23</v>
      </c>
      <c r="N561" s="9" t="s">
        <v>1814</v>
      </c>
      <c r="O561" s="9" t="s">
        <v>250</v>
      </c>
      <c r="P561" s="9">
        <v>43055</v>
      </c>
      <c r="Q561" s="9" t="s">
        <v>49</v>
      </c>
      <c r="R561" s="9" t="s">
        <v>2728</v>
      </c>
      <c r="S561" s="9" t="s">
        <v>28</v>
      </c>
      <c r="T561" s="9" t="s">
        <v>29</v>
      </c>
      <c r="U561" s="9" t="s">
        <v>2729</v>
      </c>
      <c r="V561" s="11">
        <v>132.52000000000001</v>
      </c>
      <c r="W561" s="9" t="str">
        <f t="shared" si="44"/>
        <v>Fast Delivery</v>
      </c>
    </row>
    <row r="562" spans="1:23" x14ac:dyDescent="0.25">
      <c r="A562" s="9">
        <v>7102</v>
      </c>
      <c r="B562" s="10" t="s">
        <v>2701</v>
      </c>
      <c r="C562" s="10">
        <v>42948</v>
      </c>
      <c r="D562" s="10">
        <v>42952</v>
      </c>
      <c r="E562" s="9">
        <f t="shared" si="41"/>
        <v>2017</v>
      </c>
      <c r="F562" s="10" t="str">
        <f t="shared" si="42"/>
        <v>Aug</v>
      </c>
      <c r="G562" s="9">
        <f t="shared" si="43"/>
        <v>8</v>
      </c>
      <c r="H562" s="9">
        <f t="shared" si="40"/>
        <v>4</v>
      </c>
      <c r="I562" s="9" t="s">
        <v>32</v>
      </c>
      <c r="J562" s="9" t="s">
        <v>2702</v>
      </c>
      <c r="K562" s="9" t="s">
        <v>2703</v>
      </c>
      <c r="L562" s="9" t="s">
        <v>87</v>
      </c>
      <c r="M562" s="9" t="s">
        <v>23</v>
      </c>
      <c r="N562" s="9" t="s">
        <v>2704</v>
      </c>
      <c r="O562" s="9" t="s">
        <v>64</v>
      </c>
      <c r="P562" s="9">
        <v>79109</v>
      </c>
      <c r="Q562" s="9" t="s">
        <v>26</v>
      </c>
      <c r="R562" s="9" t="s">
        <v>2705</v>
      </c>
      <c r="S562" s="9" t="s">
        <v>66</v>
      </c>
      <c r="T562" s="9" t="s">
        <v>201</v>
      </c>
      <c r="U562" s="9" t="s">
        <v>673</v>
      </c>
      <c r="V562" s="11">
        <v>19.648</v>
      </c>
      <c r="W562" s="9" t="str">
        <f t="shared" si="44"/>
        <v>Slow Delivery</v>
      </c>
    </row>
    <row r="563" spans="1:23" x14ac:dyDescent="0.25">
      <c r="A563" s="9">
        <v>6158</v>
      </c>
      <c r="B563" s="10" t="s">
        <v>2841</v>
      </c>
      <c r="C563" s="10">
        <v>42950</v>
      </c>
      <c r="D563" s="10">
        <v>42952</v>
      </c>
      <c r="E563" s="9">
        <f t="shared" si="41"/>
        <v>2017</v>
      </c>
      <c r="F563" s="10" t="str">
        <f t="shared" si="42"/>
        <v>Aug</v>
      </c>
      <c r="G563" s="9">
        <f t="shared" si="43"/>
        <v>8</v>
      </c>
      <c r="H563" s="9">
        <f t="shared" si="40"/>
        <v>2</v>
      </c>
      <c r="I563" s="9" t="s">
        <v>32</v>
      </c>
      <c r="J563" s="9" t="s">
        <v>2842</v>
      </c>
      <c r="K563" s="9" t="s">
        <v>2843</v>
      </c>
      <c r="L563" s="9" t="s">
        <v>22</v>
      </c>
      <c r="M563" s="9" t="s">
        <v>23</v>
      </c>
      <c r="N563" s="9" t="s">
        <v>1115</v>
      </c>
      <c r="O563" s="9" t="s">
        <v>599</v>
      </c>
      <c r="P563" s="9">
        <v>74133</v>
      </c>
      <c r="Q563" s="9" t="s">
        <v>26</v>
      </c>
      <c r="R563" s="9" t="s">
        <v>2844</v>
      </c>
      <c r="S563" s="9" t="s">
        <v>66</v>
      </c>
      <c r="T563" s="9" t="s">
        <v>280</v>
      </c>
      <c r="U563" s="9" t="s">
        <v>2845</v>
      </c>
      <c r="V563" s="11">
        <v>81.540000000000006</v>
      </c>
      <c r="W563" s="9" t="str">
        <f t="shared" si="44"/>
        <v>Fast Delivery</v>
      </c>
    </row>
    <row r="564" spans="1:23" x14ac:dyDescent="0.25">
      <c r="A564" s="9">
        <v>2688</v>
      </c>
      <c r="B564" s="10" t="s">
        <v>2902</v>
      </c>
      <c r="C564" s="10">
        <v>42951</v>
      </c>
      <c r="D564" s="10">
        <v>42952</v>
      </c>
      <c r="E564" s="9">
        <f t="shared" si="41"/>
        <v>2017</v>
      </c>
      <c r="F564" s="10" t="str">
        <f t="shared" si="42"/>
        <v>Aug</v>
      </c>
      <c r="G564" s="9">
        <f t="shared" si="43"/>
        <v>8</v>
      </c>
      <c r="H564" s="9">
        <f t="shared" si="40"/>
        <v>1</v>
      </c>
      <c r="I564" s="9" t="s">
        <v>19</v>
      </c>
      <c r="J564" s="9" t="s">
        <v>2903</v>
      </c>
      <c r="K564" s="9" t="s">
        <v>2904</v>
      </c>
      <c r="L564" s="9" t="s">
        <v>22</v>
      </c>
      <c r="M564" s="9" t="s">
        <v>23</v>
      </c>
      <c r="N564" s="9" t="s">
        <v>1093</v>
      </c>
      <c r="O564" s="9" t="s">
        <v>57</v>
      </c>
      <c r="P564" s="9">
        <v>61604</v>
      </c>
      <c r="Q564" s="9" t="s">
        <v>26</v>
      </c>
      <c r="R564" s="9" t="s">
        <v>1871</v>
      </c>
      <c r="S564" s="9" t="s">
        <v>66</v>
      </c>
      <c r="T564" s="9" t="s">
        <v>103</v>
      </c>
      <c r="U564" s="9" t="s">
        <v>1872</v>
      </c>
      <c r="V564" s="11">
        <v>3.98</v>
      </c>
      <c r="W564" s="9" t="str">
        <f t="shared" si="44"/>
        <v>Fast Delivery</v>
      </c>
    </row>
    <row r="565" spans="1:23" x14ac:dyDescent="0.25">
      <c r="A565" s="9">
        <v>1178</v>
      </c>
      <c r="B565" s="10" t="s">
        <v>2734</v>
      </c>
      <c r="C565" s="10">
        <v>43070</v>
      </c>
      <c r="D565" s="10">
        <v>43074</v>
      </c>
      <c r="E565" s="9">
        <f t="shared" si="41"/>
        <v>2017</v>
      </c>
      <c r="F565" s="10" t="str">
        <f t="shared" si="42"/>
        <v>Dec</v>
      </c>
      <c r="G565" s="9">
        <f t="shared" si="43"/>
        <v>12</v>
      </c>
      <c r="H565" s="9">
        <f t="shared" si="40"/>
        <v>4</v>
      </c>
      <c r="I565" s="9" t="s">
        <v>43</v>
      </c>
      <c r="J565" s="9" t="s">
        <v>2735</v>
      </c>
      <c r="K565" s="9" t="s">
        <v>2736</v>
      </c>
      <c r="L565" s="9" t="s">
        <v>22</v>
      </c>
      <c r="M565" s="9" t="s">
        <v>23</v>
      </c>
      <c r="N565" s="9" t="s">
        <v>1906</v>
      </c>
      <c r="O565" s="9" t="s">
        <v>441</v>
      </c>
      <c r="P565" s="9">
        <v>20852</v>
      </c>
      <c r="Q565" s="9" t="s">
        <v>49</v>
      </c>
      <c r="R565" s="9" t="s">
        <v>2176</v>
      </c>
      <c r="S565" s="9" t="s">
        <v>39</v>
      </c>
      <c r="T565" s="9" t="s">
        <v>40</v>
      </c>
      <c r="U565" s="9" t="s">
        <v>2177</v>
      </c>
      <c r="V565" s="11">
        <v>172.5</v>
      </c>
      <c r="W565" s="9" t="str">
        <f t="shared" si="44"/>
        <v>Slow Delivery</v>
      </c>
    </row>
    <row r="566" spans="1:23" x14ac:dyDescent="0.25">
      <c r="A566" s="9">
        <v>3471</v>
      </c>
      <c r="B566" s="10" t="s">
        <v>2737</v>
      </c>
      <c r="C566" s="10">
        <v>43070</v>
      </c>
      <c r="D566" s="10">
        <v>43074</v>
      </c>
      <c r="E566" s="9">
        <f t="shared" si="41"/>
        <v>2017</v>
      </c>
      <c r="F566" s="10" t="str">
        <f t="shared" si="42"/>
        <v>Dec</v>
      </c>
      <c r="G566" s="9">
        <f t="shared" si="43"/>
        <v>12</v>
      </c>
      <c r="H566" s="9">
        <f t="shared" si="40"/>
        <v>4</v>
      </c>
      <c r="I566" s="9" t="s">
        <v>43</v>
      </c>
      <c r="J566" s="9" t="s">
        <v>2738</v>
      </c>
      <c r="K566" s="9" t="s">
        <v>2739</v>
      </c>
      <c r="L566" s="9" t="s">
        <v>22</v>
      </c>
      <c r="M566" s="9" t="s">
        <v>23</v>
      </c>
      <c r="N566" s="9" t="s">
        <v>143</v>
      </c>
      <c r="O566" s="9" t="s">
        <v>80</v>
      </c>
      <c r="P566" s="9">
        <v>94122</v>
      </c>
      <c r="Q566" s="9" t="s">
        <v>37</v>
      </c>
      <c r="R566" s="9" t="s">
        <v>2740</v>
      </c>
      <c r="S566" s="9" t="s">
        <v>39</v>
      </c>
      <c r="T566" s="9" t="s">
        <v>112</v>
      </c>
      <c r="U566" s="9" t="s">
        <v>2741</v>
      </c>
      <c r="V566" s="11">
        <v>16.739999999999998</v>
      </c>
      <c r="W566" s="9" t="str">
        <f t="shared" si="44"/>
        <v>Slow Delivery</v>
      </c>
    </row>
    <row r="567" spans="1:23" x14ac:dyDescent="0.25">
      <c r="A567" s="9">
        <v>1590</v>
      </c>
      <c r="B567" s="10" t="s">
        <v>3239</v>
      </c>
      <c r="C567" s="10">
        <v>42867</v>
      </c>
      <c r="D567" s="10">
        <v>42871</v>
      </c>
      <c r="E567" s="9">
        <f t="shared" si="41"/>
        <v>2017</v>
      </c>
      <c r="F567" s="10" t="str">
        <f t="shared" si="42"/>
        <v>May</v>
      </c>
      <c r="G567" s="9">
        <f t="shared" si="43"/>
        <v>5</v>
      </c>
      <c r="H567" s="9">
        <f t="shared" si="40"/>
        <v>4</v>
      </c>
      <c r="I567" s="9" t="s">
        <v>43</v>
      </c>
      <c r="J567" s="9" t="s">
        <v>3240</v>
      </c>
      <c r="K567" s="9" t="s">
        <v>3241</v>
      </c>
      <c r="L567" s="9" t="s">
        <v>87</v>
      </c>
      <c r="M567" s="9" t="s">
        <v>23</v>
      </c>
      <c r="N567" s="9" t="s">
        <v>297</v>
      </c>
      <c r="O567" s="9" t="s">
        <v>298</v>
      </c>
      <c r="P567" s="9">
        <v>23464</v>
      </c>
      <c r="Q567" s="9" t="s">
        <v>110</v>
      </c>
      <c r="R567" s="9" t="s">
        <v>3242</v>
      </c>
      <c r="S567" s="9" t="s">
        <v>66</v>
      </c>
      <c r="T567" s="9" t="s">
        <v>158</v>
      </c>
      <c r="U567" s="9" t="s">
        <v>3243</v>
      </c>
      <c r="V567" s="11">
        <v>10.96</v>
      </c>
      <c r="W567" s="9" t="str">
        <f t="shared" si="44"/>
        <v>Slow Delivery</v>
      </c>
    </row>
    <row r="568" spans="1:23" x14ac:dyDescent="0.25">
      <c r="A568" s="9">
        <v>9496</v>
      </c>
      <c r="B568" s="10" t="s">
        <v>3244</v>
      </c>
      <c r="C568" s="10">
        <v>42867</v>
      </c>
      <c r="D568" s="10">
        <v>42871</v>
      </c>
      <c r="E568" s="9">
        <f t="shared" si="41"/>
        <v>2017</v>
      </c>
      <c r="F568" s="10" t="str">
        <f t="shared" si="42"/>
        <v>May</v>
      </c>
      <c r="G568" s="9">
        <f t="shared" si="43"/>
        <v>5</v>
      </c>
      <c r="H568" s="9">
        <f t="shared" si="40"/>
        <v>4</v>
      </c>
      <c r="I568" s="9" t="s">
        <v>43</v>
      </c>
      <c r="J568" s="9" t="s">
        <v>3245</v>
      </c>
      <c r="K568" s="9" t="s">
        <v>3246</v>
      </c>
      <c r="L568" s="9" t="s">
        <v>22</v>
      </c>
      <c r="M568" s="9" t="s">
        <v>23</v>
      </c>
      <c r="N568" s="9" t="s">
        <v>3247</v>
      </c>
      <c r="O568" s="9" t="s">
        <v>80</v>
      </c>
      <c r="P568" s="9">
        <v>92691</v>
      </c>
      <c r="Q568" s="9" t="s">
        <v>37</v>
      </c>
      <c r="R568" s="9" t="s">
        <v>3248</v>
      </c>
      <c r="S568" s="9" t="s">
        <v>28</v>
      </c>
      <c r="T568" s="9" t="s">
        <v>29</v>
      </c>
      <c r="U568" s="9" t="s">
        <v>3249</v>
      </c>
      <c r="V568" s="11">
        <v>120</v>
      </c>
      <c r="W568" s="9" t="str">
        <f t="shared" si="44"/>
        <v>Slow Delivery</v>
      </c>
    </row>
    <row r="569" spans="1:23" x14ac:dyDescent="0.25">
      <c r="A569" s="9">
        <v>1336</v>
      </c>
      <c r="B569" s="10" t="s">
        <v>3826</v>
      </c>
      <c r="C569" s="10">
        <v>42871</v>
      </c>
      <c r="D569" s="10">
        <v>42878</v>
      </c>
      <c r="E569" s="9">
        <f t="shared" si="41"/>
        <v>2017</v>
      </c>
      <c r="F569" s="10" t="str">
        <f t="shared" si="42"/>
        <v>May</v>
      </c>
      <c r="G569" s="9">
        <f t="shared" si="43"/>
        <v>5</v>
      </c>
      <c r="H569" s="9">
        <f t="shared" si="40"/>
        <v>7</v>
      </c>
      <c r="I569" s="9" t="s">
        <v>43</v>
      </c>
      <c r="J569" s="9" t="s">
        <v>3827</v>
      </c>
      <c r="K569" s="9" t="s">
        <v>3828</v>
      </c>
      <c r="L569" s="9" t="s">
        <v>22</v>
      </c>
      <c r="M569" s="9" t="s">
        <v>23</v>
      </c>
      <c r="N569" s="9" t="s">
        <v>655</v>
      </c>
      <c r="O569" s="9" t="s">
        <v>656</v>
      </c>
      <c r="P569" s="9">
        <v>6457</v>
      </c>
      <c r="Q569" s="9" t="s">
        <v>49</v>
      </c>
      <c r="R569" s="9" t="s">
        <v>3829</v>
      </c>
      <c r="S569" s="9" t="s">
        <v>66</v>
      </c>
      <c r="T569" s="9" t="s">
        <v>74</v>
      </c>
      <c r="U569" s="9" t="s">
        <v>3830</v>
      </c>
      <c r="V569" s="11">
        <v>552.55999999999995</v>
      </c>
      <c r="W569" s="9" t="str">
        <f t="shared" si="44"/>
        <v>Slow Delivery</v>
      </c>
    </row>
    <row r="570" spans="1:23" x14ac:dyDescent="0.25">
      <c r="A570" s="9">
        <v>3756</v>
      </c>
      <c r="B570" s="10" t="s">
        <v>2817</v>
      </c>
      <c r="C570" s="10">
        <v>42797</v>
      </c>
      <c r="D570" s="10">
        <v>42800</v>
      </c>
      <c r="E570" s="9">
        <f t="shared" si="41"/>
        <v>2017</v>
      </c>
      <c r="F570" s="10" t="str">
        <f t="shared" si="42"/>
        <v>Mar</v>
      </c>
      <c r="G570" s="9">
        <f t="shared" si="43"/>
        <v>3</v>
      </c>
      <c r="H570" s="9">
        <f t="shared" si="40"/>
        <v>3</v>
      </c>
      <c r="I570" s="9" t="s">
        <v>19</v>
      </c>
      <c r="J570" s="9" t="s">
        <v>2818</v>
      </c>
      <c r="K570" s="9" t="s">
        <v>2819</v>
      </c>
      <c r="L570" s="9" t="s">
        <v>87</v>
      </c>
      <c r="M570" s="9" t="s">
        <v>23</v>
      </c>
      <c r="N570" s="9" t="s">
        <v>2820</v>
      </c>
      <c r="O570" s="9" t="s">
        <v>64</v>
      </c>
      <c r="P570" s="9">
        <v>79762</v>
      </c>
      <c r="Q570" s="9" t="s">
        <v>26</v>
      </c>
      <c r="R570" s="9" t="s">
        <v>2821</v>
      </c>
      <c r="S570" s="9" t="s">
        <v>66</v>
      </c>
      <c r="T570" s="9" t="s">
        <v>201</v>
      </c>
      <c r="U570" s="9" t="s">
        <v>2822</v>
      </c>
      <c r="V570" s="11">
        <v>42.783999999999999</v>
      </c>
      <c r="W570" s="9" t="str">
        <f t="shared" si="44"/>
        <v>Fast Delivery</v>
      </c>
    </row>
    <row r="571" spans="1:23" x14ac:dyDescent="0.25">
      <c r="A571" s="9">
        <v>3967</v>
      </c>
      <c r="B571" s="10" t="s">
        <v>2674</v>
      </c>
      <c r="C571" s="10">
        <v>42826</v>
      </c>
      <c r="D571" s="10">
        <v>42831</v>
      </c>
      <c r="E571" s="9">
        <f t="shared" si="41"/>
        <v>2017</v>
      </c>
      <c r="F571" s="10" t="str">
        <f t="shared" si="42"/>
        <v>Apr</v>
      </c>
      <c r="G571" s="9">
        <f t="shared" si="43"/>
        <v>4</v>
      </c>
      <c r="H571" s="9">
        <f t="shared" si="40"/>
        <v>5</v>
      </c>
      <c r="I571" s="9" t="s">
        <v>43</v>
      </c>
      <c r="J571" s="9" t="s">
        <v>2675</v>
      </c>
      <c r="K571" s="9" t="s">
        <v>2676</v>
      </c>
      <c r="L571" s="9" t="s">
        <v>22</v>
      </c>
      <c r="M571" s="9" t="s">
        <v>23</v>
      </c>
      <c r="N571" s="9" t="s">
        <v>47</v>
      </c>
      <c r="O571" s="9" t="s">
        <v>48</v>
      </c>
      <c r="P571" s="9">
        <v>10024</v>
      </c>
      <c r="Q571" s="9" t="s">
        <v>49</v>
      </c>
      <c r="R571" s="9" t="s">
        <v>2677</v>
      </c>
      <c r="S571" s="9" t="s">
        <v>66</v>
      </c>
      <c r="T571" s="9" t="s">
        <v>158</v>
      </c>
      <c r="U571" s="9" t="s">
        <v>2678</v>
      </c>
      <c r="V571" s="11">
        <v>88.04</v>
      </c>
      <c r="W571" s="9" t="str">
        <f t="shared" si="44"/>
        <v>Slow Delivery</v>
      </c>
    </row>
    <row r="572" spans="1:23" x14ac:dyDescent="0.25">
      <c r="A572" s="9">
        <v>7115</v>
      </c>
      <c r="B572" s="10" t="s">
        <v>2959</v>
      </c>
      <c r="C572" s="10">
        <v>42860</v>
      </c>
      <c r="D572" s="10">
        <v>42861</v>
      </c>
      <c r="E572" s="9">
        <f t="shared" si="41"/>
        <v>2017</v>
      </c>
      <c r="F572" s="10" t="str">
        <f t="shared" si="42"/>
        <v>May</v>
      </c>
      <c r="G572" s="9">
        <f t="shared" si="43"/>
        <v>5</v>
      </c>
      <c r="H572" s="9">
        <f t="shared" si="40"/>
        <v>1</v>
      </c>
      <c r="I572" s="9" t="s">
        <v>19</v>
      </c>
      <c r="J572" s="9" t="s">
        <v>2960</v>
      </c>
      <c r="K572" s="9" t="s">
        <v>2961</v>
      </c>
      <c r="L572" s="9" t="s">
        <v>87</v>
      </c>
      <c r="M572" s="9" t="s">
        <v>23</v>
      </c>
      <c r="N572" s="9" t="s">
        <v>928</v>
      </c>
      <c r="O572" s="9" t="s">
        <v>174</v>
      </c>
      <c r="P572" s="9">
        <v>89015</v>
      </c>
      <c r="Q572" s="9" t="s">
        <v>37</v>
      </c>
      <c r="R572" s="9" t="s">
        <v>2962</v>
      </c>
      <c r="S572" s="9" t="s">
        <v>39</v>
      </c>
      <c r="T572" s="9" t="s">
        <v>480</v>
      </c>
      <c r="U572" s="9" t="s">
        <v>2963</v>
      </c>
      <c r="V572" s="11">
        <v>1685.88</v>
      </c>
      <c r="W572" s="9" t="str">
        <f t="shared" si="44"/>
        <v>Fast Delivery</v>
      </c>
    </row>
    <row r="573" spans="1:23" x14ac:dyDescent="0.25">
      <c r="A573" s="9">
        <v>3565</v>
      </c>
      <c r="B573" s="10" t="s">
        <v>2836</v>
      </c>
      <c r="C573" s="10">
        <v>42919</v>
      </c>
      <c r="D573" s="10">
        <v>42922</v>
      </c>
      <c r="E573" s="9">
        <f t="shared" si="41"/>
        <v>2017</v>
      </c>
      <c r="F573" s="10" t="str">
        <f t="shared" si="42"/>
        <v>Jul</v>
      </c>
      <c r="G573" s="9">
        <f t="shared" si="43"/>
        <v>7</v>
      </c>
      <c r="H573" s="9">
        <f t="shared" si="40"/>
        <v>3</v>
      </c>
      <c r="I573" s="9" t="s">
        <v>19</v>
      </c>
      <c r="J573" s="9" t="s">
        <v>2837</v>
      </c>
      <c r="K573" s="9" t="s">
        <v>2838</v>
      </c>
      <c r="L573" s="9" t="s">
        <v>22</v>
      </c>
      <c r="M573" s="9" t="s">
        <v>23</v>
      </c>
      <c r="N573" s="9" t="s">
        <v>213</v>
      </c>
      <c r="O573" s="9" t="s">
        <v>80</v>
      </c>
      <c r="P573" s="9">
        <v>90049</v>
      </c>
      <c r="Q573" s="9" t="s">
        <v>37</v>
      </c>
      <c r="R573" s="9" t="s">
        <v>2839</v>
      </c>
      <c r="S573" s="9" t="s">
        <v>66</v>
      </c>
      <c r="T573" s="9" t="s">
        <v>201</v>
      </c>
      <c r="U573" s="9" t="s">
        <v>2840</v>
      </c>
      <c r="V573" s="11">
        <v>12.96</v>
      </c>
      <c r="W573" s="9" t="str">
        <f t="shared" si="44"/>
        <v>Fast Delivery</v>
      </c>
    </row>
    <row r="574" spans="1:23" x14ac:dyDescent="0.25">
      <c r="A574" s="9">
        <v>4086</v>
      </c>
      <c r="B574" s="10" t="s">
        <v>2905</v>
      </c>
      <c r="C574" s="10">
        <v>42951</v>
      </c>
      <c r="D574" s="10">
        <v>42953</v>
      </c>
      <c r="E574" s="9">
        <f t="shared" si="41"/>
        <v>2017</v>
      </c>
      <c r="F574" s="10" t="str">
        <f t="shared" si="42"/>
        <v>Aug</v>
      </c>
      <c r="G574" s="9">
        <f t="shared" si="43"/>
        <v>8</v>
      </c>
      <c r="H574" s="9">
        <f t="shared" si="40"/>
        <v>2</v>
      </c>
      <c r="I574" s="9" t="s">
        <v>32</v>
      </c>
      <c r="J574" s="9" t="s">
        <v>2906</v>
      </c>
      <c r="K574" s="9" t="s">
        <v>2907</v>
      </c>
      <c r="L574" s="9" t="s">
        <v>87</v>
      </c>
      <c r="M574" s="9" t="s">
        <v>23</v>
      </c>
      <c r="N574" s="9" t="s">
        <v>2908</v>
      </c>
      <c r="O574" s="9" t="s">
        <v>80</v>
      </c>
      <c r="P574" s="9">
        <v>95823</v>
      </c>
      <c r="Q574" s="9" t="s">
        <v>37</v>
      </c>
      <c r="R574" s="9" t="s">
        <v>2909</v>
      </c>
      <c r="S574" s="9" t="s">
        <v>28</v>
      </c>
      <c r="T574" s="9" t="s">
        <v>51</v>
      </c>
      <c r="U574" s="9" t="s">
        <v>2910</v>
      </c>
      <c r="V574" s="11">
        <v>302.38400000000001</v>
      </c>
      <c r="W574" s="9" t="str">
        <f t="shared" si="44"/>
        <v>Fast Delivery</v>
      </c>
    </row>
    <row r="575" spans="1:23" x14ac:dyDescent="0.25">
      <c r="A575" s="9">
        <v>7078</v>
      </c>
      <c r="B575" s="10" t="s">
        <v>2778</v>
      </c>
      <c r="C575" s="10">
        <v>42980</v>
      </c>
      <c r="D575" s="10">
        <v>42984</v>
      </c>
      <c r="E575" s="9">
        <f t="shared" si="41"/>
        <v>2017</v>
      </c>
      <c r="F575" s="10" t="str">
        <f t="shared" si="42"/>
        <v>Sep</v>
      </c>
      <c r="G575" s="9">
        <f t="shared" si="43"/>
        <v>9</v>
      </c>
      <c r="H575" s="9">
        <f t="shared" si="40"/>
        <v>4</v>
      </c>
      <c r="I575" s="9" t="s">
        <v>43</v>
      </c>
      <c r="J575" s="9" t="s">
        <v>2779</v>
      </c>
      <c r="K575" s="9" t="s">
        <v>2780</v>
      </c>
      <c r="L575" s="9" t="s">
        <v>22</v>
      </c>
      <c r="M575" s="9" t="s">
        <v>23</v>
      </c>
      <c r="N575" s="9" t="s">
        <v>136</v>
      </c>
      <c r="O575" s="9" t="s">
        <v>137</v>
      </c>
      <c r="P575" s="9">
        <v>28205</v>
      </c>
      <c r="Q575" s="9" t="s">
        <v>110</v>
      </c>
      <c r="R575" s="9" t="s">
        <v>2781</v>
      </c>
      <c r="S575" s="9" t="s">
        <v>66</v>
      </c>
      <c r="T575" s="9" t="s">
        <v>103</v>
      </c>
      <c r="U575" s="9" t="s">
        <v>2782</v>
      </c>
      <c r="V575" s="11">
        <v>22.911000000000001</v>
      </c>
      <c r="W575" s="9" t="str">
        <f t="shared" si="44"/>
        <v>Slow Delivery</v>
      </c>
    </row>
    <row r="576" spans="1:23" x14ac:dyDescent="0.25">
      <c r="A576" s="9">
        <v>7192</v>
      </c>
      <c r="B576" s="10" t="s">
        <v>2730</v>
      </c>
      <c r="C576" s="10">
        <v>43009</v>
      </c>
      <c r="D576" s="10">
        <v>43014</v>
      </c>
      <c r="E576" s="9">
        <f t="shared" si="41"/>
        <v>2017</v>
      </c>
      <c r="F576" s="10" t="str">
        <f t="shared" si="42"/>
        <v>Oct</v>
      </c>
      <c r="G576" s="9">
        <f t="shared" si="43"/>
        <v>10</v>
      </c>
      <c r="H576" s="9">
        <f t="shared" si="40"/>
        <v>5</v>
      </c>
      <c r="I576" s="9" t="s">
        <v>32</v>
      </c>
      <c r="J576" s="9" t="s">
        <v>2731</v>
      </c>
      <c r="K576" s="9" t="s">
        <v>2732</v>
      </c>
      <c r="L576" s="9" t="s">
        <v>22</v>
      </c>
      <c r="M576" s="9" t="s">
        <v>23</v>
      </c>
      <c r="N576" s="9" t="s">
        <v>2733</v>
      </c>
      <c r="O576" s="9" t="s">
        <v>130</v>
      </c>
      <c r="P576" s="9">
        <v>33012</v>
      </c>
      <c r="Q576" s="9" t="s">
        <v>110</v>
      </c>
      <c r="R576" s="9" t="s">
        <v>637</v>
      </c>
      <c r="S576" s="9" t="s">
        <v>66</v>
      </c>
      <c r="T576" s="9" t="s">
        <v>103</v>
      </c>
      <c r="U576" s="9" t="s">
        <v>638</v>
      </c>
      <c r="V576" s="11">
        <v>5.3879999999999999</v>
      </c>
      <c r="W576" s="9" t="str">
        <f t="shared" si="44"/>
        <v>Slow Delivery</v>
      </c>
    </row>
    <row r="577" spans="1:23" x14ac:dyDescent="0.25">
      <c r="A577" s="9">
        <v>2993</v>
      </c>
      <c r="B577" s="10" t="s">
        <v>2788</v>
      </c>
      <c r="C577" s="10">
        <v>43010</v>
      </c>
      <c r="D577" s="10">
        <v>43014</v>
      </c>
      <c r="E577" s="9">
        <f t="shared" si="41"/>
        <v>2017</v>
      </c>
      <c r="F577" s="10" t="str">
        <f t="shared" si="42"/>
        <v>Oct</v>
      </c>
      <c r="G577" s="9">
        <f t="shared" si="43"/>
        <v>10</v>
      </c>
      <c r="H577" s="9">
        <f t="shared" si="40"/>
        <v>4</v>
      </c>
      <c r="I577" s="9" t="s">
        <v>43</v>
      </c>
      <c r="J577" s="9" t="s">
        <v>2789</v>
      </c>
      <c r="K577" s="9" t="s">
        <v>2790</v>
      </c>
      <c r="L577" s="9" t="s">
        <v>87</v>
      </c>
      <c r="M577" s="9" t="s">
        <v>23</v>
      </c>
      <c r="N577" s="9" t="s">
        <v>47</v>
      </c>
      <c r="O577" s="9" t="s">
        <v>48</v>
      </c>
      <c r="P577" s="9">
        <v>10024</v>
      </c>
      <c r="Q577" s="9" t="s">
        <v>49</v>
      </c>
      <c r="R577" s="9" t="s">
        <v>1439</v>
      </c>
      <c r="S577" s="9" t="s">
        <v>66</v>
      </c>
      <c r="T577" s="9" t="s">
        <v>221</v>
      </c>
      <c r="U577" s="9" t="s">
        <v>1440</v>
      </c>
      <c r="V577" s="11">
        <v>61.44</v>
      </c>
      <c r="W577" s="9" t="str">
        <f t="shared" si="44"/>
        <v>Slow Delivery</v>
      </c>
    </row>
    <row r="578" spans="1:23" x14ac:dyDescent="0.25">
      <c r="A578" s="9">
        <v>2474</v>
      </c>
      <c r="B578" s="10" t="s">
        <v>2851</v>
      </c>
      <c r="C578" s="10">
        <v>43042</v>
      </c>
      <c r="D578" s="10">
        <v>43045</v>
      </c>
      <c r="E578" s="9">
        <f t="shared" si="41"/>
        <v>2017</v>
      </c>
      <c r="F578" s="10" t="str">
        <f t="shared" si="42"/>
        <v>Nov</v>
      </c>
      <c r="G578" s="9">
        <f t="shared" si="43"/>
        <v>11</v>
      </c>
      <c r="H578" s="9">
        <f t="shared" ref="H578:H641" si="45">D578-C578</f>
        <v>3</v>
      </c>
      <c r="I578" s="9" t="s">
        <v>19</v>
      </c>
      <c r="J578" s="9" t="s">
        <v>2852</v>
      </c>
      <c r="K578" s="9" t="s">
        <v>2853</v>
      </c>
      <c r="L578" s="9" t="s">
        <v>22</v>
      </c>
      <c r="M578" s="9" t="s">
        <v>23</v>
      </c>
      <c r="N578" s="9" t="s">
        <v>213</v>
      </c>
      <c r="O578" s="9" t="s">
        <v>80</v>
      </c>
      <c r="P578" s="9">
        <v>90032</v>
      </c>
      <c r="Q578" s="9" t="s">
        <v>37</v>
      </c>
      <c r="R578" s="9" t="s">
        <v>2854</v>
      </c>
      <c r="S578" s="9" t="s">
        <v>39</v>
      </c>
      <c r="T578" s="9" t="s">
        <v>40</v>
      </c>
      <c r="U578" s="9" t="s">
        <v>2855</v>
      </c>
      <c r="V578" s="11">
        <v>217.584</v>
      </c>
      <c r="W578" s="9" t="str">
        <f t="shared" si="44"/>
        <v>Fast Delivery</v>
      </c>
    </row>
    <row r="579" spans="1:23" x14ac:dyDescent="0.25">
      <c r="A579" s="9">
        <v>7783</v>
      </c>
      <c r="B579" s="10" t="s">
        <v>2933</v>
      </c>
      <c r="C579" s="10">
        <v>43043</v>
      </c>
      <c r="D579" s="10">
        <v>43045</v>
      </c>
      <c r="E579" s="9">
        <f t="shared" ref="E579:E642" si="46">YEAR(C579)</f>
        <v>2017</v>
      </c>
      <c r="F579" s="10" t="str">
        <f t="shared" ref="F579:F642" si="47">TEXT(C579,"mmm")</f>
        <v>Nov</v>
      </c>
      <c r="G579" s="9">
        <f t="shared" ref="G579:G642" si="48">MONTH(C579)</f>
        <v>11</v>
      </c>
      <c r="H579" s="9">
        <f t="shared" si="45"/>
        <v>2</v>
      </c>
      <c r="I579" s="9" t="s">
        <v>32</v>
      </c>
      <c r="J579" s="9" t="s">
        <v>2934</v>
      </c>
      <c r="K579" s="9" t="s">
        <v>2935</v>
      </c>
      <c r="L579" s="9" t="s">
        <v>87</v>
      </c>
      <c r="M579" s="9" t="s">
        <v>23</v>
      </c>
      <c r="N579" s="9" t="s">
        <v>136</v>
      </c>
      <c r="O579" s="9" t="s">
        <v>137</v>
      </c>
      <c r="P579" s="9">
        <v>28205</v>
      </c>
      <c r="Q579" s="9" t="s">
        <v>110</v>
      </c>
      <c r="R579" s="9" t="s">
        <v>2936</v>
      </c>
      <c r="S579" s="9" t="s">
        <v>66</v>
      </c>
      <c r="T579" s="9" t="s">
        <v>74</v>
      </c>
      <c r="U579" s="9" t="s">
        <v>2937</v>
      </c>
      <c r="V579" s="11">
        <v>45.247999999999998</v>
      </c>
      <c r="W579" s="9" t="str">
        <f t="shared" ref="W579:W642" si="49">IF(H579&lt;=3,"Fast Delivery","Slow Delivery")</f>
        <v>Fast Delivery</v>
      </c>
    </row>
    <row r="580" spans="1:23" x14ac:dyDescent="0.25">
      <c r="A580" s="9">
        <v>2758</v>
      </c>
      <c r="B580" s="10" t="s">
        <v>3210</v>
      </c>
      <c r="C580" s="10">
        <v>42897</v>
      </c>
      <c r="D580" s="10">
        <v>42899</v>
      </c>
      <c r="E580" s="9">
        <f t="shared" si="46"/>
        <v>2017</v>
      </c>
      <c r="F580" s="10" t="str">
        <f t="shared" si="47"/>
        <v>Jun</v>
      </c>
      <c r="G580" s="9">
        <f t="shared" si="48"/>
        <v>6</v>
      </c>
      <c r="H580" s="9">
        <f t="shared" si="45"/>
        <v>2</v>
      </c>
      <c r="I580" s="9" t="s">
        <v>32</v>
      </c>
      <c r="J580" s="9" t="s">
        <v>3211</v>
      </c>
      <c r="K580" s="9" t="s">
        <v>3212</v>
      </c>
      <c r="L580" s="9" t="s">
        <v>22</v>
      </c>
      <c r="M580" s="9" t="s">
        <v>23</v>
      </c>
      <c r="N580" s="9" t="s">
        <v>47</v>
      </c>
      <c r="O580" s="9" t="s">
        <v>48</v>
      </c>
      <c r="P580" s="9">
        <v>10035</v>
      </c>
      <c r="Q580" s="9" t="s">
        <v>49</v>
      </c>
      <c r="R580" s="9" t="s">
        <v>3213</v>
      </c>
      <c r="S580" s="9" t="s">
        <v>28</v>
      </c>
      <c r="T580" s="9" t="s">
        <v>29</v>
      </c>
      <c r="U580" s="9" t="s">
        <v>3214</v>
      </c>
      <c r="V580" s="11">
        <v>239.97</v>
      </c>
      <c r="W580" s="9" t="str">
        <f t="shared" si="49"/>
        <v>Fast Delivery</v>
      </c>
    </row>
    <row r="581" spans="1:23" x14ac:dyDescent="0.25">
      <c r="A581" s="9">
        <v>557</v>
      </c>
      <c r="B581" s="10" t="s">
        <v>3186</v>
      </c>
      <c r="C581" s="10">
        <v>42896</v>
      </c>
      <c r="D581" s="10">
        <v>42901</v>
      </c>
      <c r="E581" s="9">
        <f t="shared" si="46"/>
        <v>2017</v>
      </c>
      <c r="F581" s="10" t="str">
        <f t="shared" si="47"/>
        <v>Jun</v>
      </c>
      <c r="G581" s="9">
        <f t="shared" si="48"/>
        <v>6</v>
      </c>
      <c r="H581" s="9">
        <f t="shared" si="45"/>
        <v>5</v>
      </c>
      <c r="I581" s="9" t="s">
        <v>43</v>
      </c>
      <c r="J581" s="9" t="s">
        <v>3187</v>
      </c>
      <c r="K581" s="9" t="s">
        <v>3188</v>
      </c>
      <c r="L581" s="9" t="s">
        <v>22</v>
      </c>
      <c r="M581" s="9" t="s">
        <v>23</v>
      </c>
      <c r="N581" s="9" t="s">
        <v>213</v>
      </c>
      <c r="O581" s="9" t="s">
        <v>80</v>
      </c>
      <c r="P581" s="9">
        <v>90045</v>
      </c>
      <c r="Q581" s="9" t="s">
        <v>37</v>
      </c>
      <c r="R581" s="9" t="s">
        <v>3189</v>
      </c>
      <c r="S581" s="9" t="s">
        <v>66</v>
      </c>
      <c r="T581" s="9" t="s">
        <v>82</v>
      </c>
      <c r="U581" s="9" t="s">
        <v>3190</v>
      </c>
      <c r="V581" s="11">
        <v>20.7</v>
      </c>
      <c r="W581" s="9" t="str">
        <f t="shared" si="49"/>
        <v>Slow Delivery</v>
      </c>
    </row>
    <row r="582" spans="1:23" x14ac:dyDescent="0.25">
      <c r="A582" s="9">
        <v>80</v>
      </c>
      <c r="B582" s="10" t="s">
        <v>3253</v>
      </c>
      <c r="C582" s="10">
        <v>42898</v>
      </c>
      <c r="D582" s="10">
        <v>42901</v>
      </c>
      <c r="E582" s="9">
        <f t="shared" si="46"/>
        <v>2017</v>
      </c>
      <c r="F582" s="10" t="str">
        <f t="shared" si="47"/>
        <v>Jun</v>
      </c>
      <c r="G582" s="9">
        <f t="shared" si="48"/>
        <v>6</v>
      </c>
      <c r="H582" s="9">
        <f t="shared" si="45"/>
        <v>3</v>
      </c>
      <c r="I582" s="9" t="s">
        <v>19</v>
      </c>
      <c r="J582" s="9" t="s">
        <v>3254</v>
      </c>
      <c r="K582" s="9" t="s">
        <v>3255</v>
      </c>
      <c r="L582" s="9" t="s">
        <v>87</v>
      </c>
      <c r="M582" s="9" t="s">
        <v>23</v>
      </c>
      <c r="N582" s="9" t="s">
        <v>767</v>
      </c>
      <c r="O582" s="9" t="s">
        <v>1075</v>
      </c>
      <c r="P582" s="9">
        <v>35601</v>
      </c>
      <c r="Q582" s="9" t="s">
        <v>110</v>
      </c>
      <c r="R582" s="9" t="s">
        <v>3256</v>
      </c>
      <c r="S582" s="9" t="s">
        <v>66</v>
      </c>
      <c r="T582" s="9" t="s">
        <v>221</v>
      </c>
      <c r="U582" s="9" t="s">
        <v>3257</v>
      </c>
      <c r="V582" s="11">
        <v>208.16</v>
      </c>
      <c r="W582" s="9" t="str">
        <f t="shared" si="49"/>
        <v>Fast Delivery</v>
      </c>
    </row>
    <row r="583" spans="1:23" x14ac:dyDescent="0.25">
      <c r="A583" s="9">
        <v>3</v>
      </c>
      <c r="B583" s="10" t="s">
        <v>3250</v>
      </c>
      <c r="C583" s="10">
        <v>42898</v>
      </c>
      <c r="D583" s="10">
        <v>42902</v>
      </c>
      <c r="E583" s="9">
        <f t="shared" si="46"/>
        <v>2017</v>
      </c>
      <c r="F583" s="10" t="str">
        <f t="shared" si="47"/>
        <v>Jun</v>
      </c>
      <c r="G583" s="9">
        <f t="shared" si="48"/>
        <v>6</v>
      </c>
      <c r="H583" s="9">
        <f t="shared" si="45"/>
        <v>4</v>
      </c>
      <c r="I583" s="9" t="s">
        <v>32</v>
      </c>
      <c r="J583" s="9" t="s">
        <v>3251</v>
      </c>
      <c r="K583" s="9" t="s">
        <v>3252</v>
      </c>
      <c r="L583" s="9" t="s">
        <v>87</v>
      </c>
      <c r="M583" s="9" t="s">
        <v>23</v>
      </c>
      <c r="N583" s="9" t="s">
        <v>213</v>
      </c>
      <c r="O583" s="9" t="s">
        <v>80</v>
      </c>
      <c r="P583" s="9">
        <v>90036</v>
      </c>
      <c r="Q583" s="9" t="s">
        <v>37</v>
      </c>
      <c r="R583" s="9" t="s">
        <v>138</v>
      </c>
      <c r="S583" s="9" t="s">
        <v>66</v>
      </c>
      <c r="T583" s="9" t="s">
        <v>82</v>
      </c>
      <c r="U583" s="9" t="s">
        <v>139</v>
      </c>
      <c r="V583" s="11">
        <v>14.62</v>
      </c>
      <c r="W583" s="9" t="str">
        <f t="shared" si="49"/>
        <v>Slow Delivery</v>
      </c>
    </row>
    <row r="584" spans="1:23" x14ac:dyDescent="0.25">
      <c r="A584" s="9">
        <v>2903</v>
      </c>
      <c r="B584" s="10" t="s">
        <v>3258</v>
      </c>
      <c r="C584" s="10">
        <v>42898</v>
      </c>
      <c r="D584" s="10">
        <v>42903</v>
      </c>
      <c r="E584" s="9">
        <f t="shared" si="46"/>
        <v>2017</v>
      </c>
      <c r="F584" s="10" t="str">
        <f t="shared" si="47"/>
        <v>Jun</v>
      </c>
      <c r="G584" s="9">
        <f t="shared" si="48"/>
        <v>6</v>
      </c>
      <c r="H584" s="9">
        <f t="shared" si="45"/>
        <v>5</v>
      </c>
      <c r="I584" s="9" t="s">
        <v>43</v>
      </c>
      <c r="J584" s="9" t="s">
        <v>3259</v>
      </c>
      <c r="K584" s="9" t="s">
        <v>3260</v>
      </c>
      <c r="L584" s="9" t="s">
        <v>22</v>
      </c>
      <c r="M584" s="9" t="s">
        <v>23</v>
      </c>
      <c r="N584" s="9" t="s">
        <v>199</v>
      </c>
      <c r="O584" s="9" t="s">
        <v>57</v>
      </c>
      <c r="P584" s="9">
        <v>60610</v>
      </c>
      <c r="Q584" s="9" t="s">
        <v>26</v>
      </c>
      <c r="R584" s="9" t="s">
        <v>2859</v>
      </c>
      <c r="S584" s="9" t="s">
        <v>66</v>
      </c>
      <c r="T584" s="9" t="s">
        <v>201</v>
      </c>
      <c r="U584" s="9" t="s">
        <v>2860</v>
      </c>
      <c r="V584" s="11">
        <v>23.12</v>
      </c>
      <c r="W584" s="9" t="str">
        <f t="shared" si="49"/>
        <v>Slow Delivery</v>
      </c>
    </row>
    <row r="585" spans="1:23" x14ac:dyDescent="0.25">
      <c r="A585" s="9">
        <v>6050</v>
      </c>
      <c r="B585" s="10" t="s">
        <v>3794</v>
      </c>
      <c r="C585" s="10">
        <v>42901</v>
      </c>
      <c r="D585" s="10">
        <v>42904</v>
      </c>
      <c r="E585" s="9">
        <f t="shared" si="46"/>
        <v>2017</v>
      </c>
      <c r="F585" s="10" t="str">
        <f t="shared" si="47"/>
        <v>Jun</v>
      </c>
      <c r="G585" s="9">
        <f t="shared" si="48"/>
        <v>6</v>
      </c>
      <c r="H585" s="9">
        <f t="shared" si="45"/>
        <v>3</v>
      </c>
      <c r="I585" s="9" t="s">
        <v>19</v>
      </c>
      <c r="J585" s="9" t="s">
        <v>3795</v>
      </c>
      <c r="K585" s="9" t="s">
        <v>3796</v>
      </c>
      <c r="L585" s="9" t="s">
        <v>22</v>
      </c>
      <c r="M585" s="9" t="s">
        <v>23</v>
      </c>
      <c r="N585" s="9" t="s">
        <v>72</v>
      </c>
      <c r="O585" s="9" t="s">
        <v>64</v>
      </c>
      <c r="P585" s="9">
        <v>77036</v>
      </c>
      <c r="Q585" s="9" t="s">
        <v>26</v>
      </c>
      <c r="R585" s="9" t="s">
        <v>3797</v>
      </c>
      <c r="S585" s="9" t="s">
        <v>66</v>
      </c>
      <c r="T585" s="9" t="s">
        <v>201</v>
      </c>
      <c r="U585" s="9" t="s">
        <v>3798</v>
      </c>
      <c r="V585" s="11">
        <v>173.488</v>
      </c>
      <c r="W585" s="9" t="str">
        <f t="shared" si="49"/>
        <v>Fast Delivery</v>
      </c>
    </row>
    <row r="586" spans="1:23" x14ac:dyDescent="0.25">
      <c r="A586" s="9">
        <v>7880</v>
      </c>
      <c r="B586" s="10" t="s">
        <v>3755</v>
      </c>
      <c r="C586" s="10">
        <v>42900</v>
      </c>
      <c r="D586" s="10">
        <v>42907</v>
      </c>
      <c r="E586" s="9">
        <f t="shared" si="46"/>
        <v>2017</v>
      </c>
      <c r="F586" s="10" t="str">
        <f t="shared" si="47"/>
        <v>Jun</v>
      </c>
      <c r="G586" s="9">
        <f t="shared" si="48"/>
        <v>6</v>
      </c>
      <c r="H586" s="9">
        <f t="shared" si="45"/>
        <v>7</v>
      </c>
      <c r="I586" s="9" t="s">
        <v>43</v>
      </c>
      <c r="J586" s="9" t="s">
        <v>3756</v>
      </c>
      <c r="K586" s="9" t="s">
        <v>3757</v>
      </c>
      <c r="L586" s="9" t="s">
        <v>87</v>
      </c>
      <c r="M586" s="9" t="s">
        <v>23</v>
      </c>
      <c r="N586" s="9" t="s">
        <v>149</v>
      </c>
      <c r="O586" s="9" t="s">
        <v>150</v>
      </c>
      <c r="P586" s="9">
        <v>19140</v>
      </c>
      <c r="Q586" s="9" t="s">
        <v>49</v>
      </c>
      <c r="R586" s="9" t="s">
        <v>2962</v>
      </c>
      <c r="S586" s="9" t="s">
        <v>39</v>
      </c>
      <c r="T586" s="9" t="s">
        <v>480</v>
      </c>
      <c r="U586" s="9" t="s">
        <v>2963</v>
      </c>
      <c r="V586" s="11">
        <v>337.17599999999999</v>
      </c>
      <c r="W586" s="9" t="str">
        <f t="shared" si="49"/>
        <v>Slow Delivery</v>
      </c>
    </row>
    <row r="587" spans="1:23" x14ac:dyDescent="0.25">
      <c r="A587" s="9">
        <v>6506</v>
      </c>
      <c r="B587" s="10" t="s">
        <v>3965</v>
      </c>
      <c r="C587" s="10">
        <v>42912</v>
      </c>
      <c r="D587" s="10">
        <v>42916</v>
      </c>
      <c r="E587" s="9">
        <f t="shared" si="46"/>
        <v>2017</v>
      </c>
      <c r="F587" s="10" t="str">
        <f t="shared" si="47"/>
        <v>Jun</v>
      </c>
      <c r="G587" s="9">
        <f t="shared" si="48"/>
        <v>6</v>
      </c>
      <c r="H587" s="9">
        <f t="shared" si="45"/>
        <v>4</v>
      </c>
      <c r="I587" s="9" t="s">
        <v>43</v>
      </c>
      <c r="J587" s="9" t="s">
        <v>3966</v>
      </c>
      <c r="K587" s="9" t="s">
        <v>3967</v>
      </c>
      <c r="L587" s="9" t="s">
        <v>87</v>
      </c>
      <c r="M587" s="9" t="s">
        <v>23</v>
      </c>
      <c r="N587" s="9" t="s">
        <v>199</v>
      </c>
      <c r="O587" s="9" t="s">
        <v>57</v>
      </c>
      <c r="P587" s="9">
        <v>60653</v>
      </c>
      <c r="Q587" s="9" t="s">
        <v>26</v>
      </c>
      <c r="R587" s="9" t="s">
        <v>3968</v>
      </c>
      <c r="S587" s="9" t="s">
        <v>66</v>
      </c>
      <c r="T587" s="9" t="s">
        <v>158</v>
      </c>
      <c r="U587" s="9" t="s">
        <v>3969</v>
      </c>
      <c r="V587" s="11">
        <v>5.3040000000000003</v>
      </c>
      <c r="W587" s="9" t="str">
        <f t="shared" si="49"/>
        <v>Slow Delivery</v>
      </c>
    </row>
    <row r="588" spans="1:23" x14ac:dyDescent="0.25">
      <c r="A588" s="9">
        <v>4919</v>
      </c>
      <c r="B588" s="10" t="s">
        <v>2746</v>
      </c>
      <c r="C588" s="10">
        <v>42737</v>
      </c>
      <c r="D588" s="10">
        <v>42742</v>
      </c>
      <c r="E588" s="9">
        <f t="shared" si="46"/>
        <v>2017</v>
      </c>
      <c r="F588" s="10" t="str">
        <f t="shared" si="47"/>
        <v>Jan</v>
      </c>
      <c r="G588" s="9">
        <f t="shared" si="48"/>
        <v>1</v>
      </c>
      <c r="H588" s="9">
        <f t="shared" si="45"/>
        <v>5</v>
      </c>
      <c r="I588" s="9" t="s">
        <v>43</v>
      </c>
      <c r="J588" s="9" t="s">
        <v>2747</v>
      </c>
      <c r="K588" s="9" t="s">
        <v>2748</v>
      </c>
      <c r="L588" s="9" t="s">
        <v>87</v>
      </c>
      <c r="M588" s="9" t="s">
        <v>23</v>
      </c>
      <c r="N588" s="9" t="s">
        <v>2749</v>
      </c>
      <c r="O588" s="9" t="s">
        <v>441</v>
      </c>
      <c r="P588" s="9">
        <v>20877</v>
      </c>
      <c r="Q588" s="9" t="s">
        <v>49</v>
      </c>
      <c r="R588" s="9" t="s">
        <v>2750</v>
      </c>
      <c r="S588" s="9" t="s">
        <v>39</v>
      </c>
      <c r="T588" s="9" t="s">
        <v>1218</v>
      </c>
      <c r="U588" s="9" t="s">
        <v>2751</v>
      </c>
      <c r="V588" s="11">
        <v>173.94</v>
      </c>
      <c r="W588" s="9" t="str">
        <f t="shared" si="49"/>
        <v>Slow Delivery</v>
      </c>
    </row>
    <row r="589" spans="1:23" x14ac:dyDescent="0.25">
      <c r="A589" s="9">
        <v>863</v>
      </c>
      <c r="B589" s="10" t="s">
        <v>2948</v>
      </c>
      <c r="C589" s="10">
        <v>42740</v>
      </c>
      <c r="D589" s="10">
        <v>42742</v>
      </c>
      <c r="E589" s="9">
        <f t="shared" si="46"/>
        <v>2017</v>
      </c>
      <c r="F589" s="10" t="str">
        <f t="shared" si="47"/>
        <v>Jan</v>
      </c>
      <c r="G589" s="9">
        <f t="shared" si="48"/>
        <v>1</v>
      </c>
      <c r="H589" s="9">
        <f t="shared" si="45"/>
        <v>2</v>
      </c>
      <c r="I589" s="9" t="s">
        <v>32</v>
      </c>
      <c r="J589" s="9" t="s">
        <v>2949</v>
      </c>
      <c r="K589" s="9" t="s">
        <v>2950</v>
      </c>
      <c r="L589" s="9" t="s">
        <v>87</v>
      </c>
      <c r="M589" s="9" t="s">
        <v>23</v>
      </c>
      <c r="N589" s="9" t="s">
        <v>243</v>
      </c>
      <c r="O589" s="9" t="s">
        <v>130</v>
      </c>
      <c r="P589" s="9">
        <v>32216</v>
      </c>
      <c r="Q589" s="9" t="s">
        <v>110</v>
      </c>
      <c r="R589" s="9" t="s">
        <v>2951</v>
      </c>
      <c r="S589" s="9" t="s">
        <v>28</v>
      </c>
      <c r="T589" s="9" t="s">
        <v>29</v>
      </c>
      <c r="U589" s="9" t="s">
        <v>2952</v>
      </c>
      <c r="V589" s="11">
        <v>191.47200000000001</v>
      </c>
      <c r="W589" s="9" t="str">
        <f t="shared" si="49"/>
        <v>Fast Delivery</v>
      </c>
    </row>
    <row r="590" spans="1:23" x14ac:dyDescent="0.25">
      <c r="A590" s="9">
        <v>1729</v>
      </c>
      <c r="B590" s="10" t="s">
        <v>3035</v>
      </c>
      <c r="C590" s="10">
        <v>42773</v>
      </c>
      <c r="D590" s="10">
        <v>42773</v>
      </c>
      <c r="E590" s="9">
        <f t="shared" si="46"/>
        <v>2017</v>
      </c>
      <c r="F590" s="10" t="str">
        <f t="shared" si="47"/>
        <v>Feb</v>
      </c>
      <c r="G590" s="9">
        <f t="shared" si="48"/>
        <v>2</v>
      </c>
      <c r="H590" s="9">
        <f t="shared" si="45"/>
        <v>0</v>
      </c>
      <c r="I590" s="9" t="s">
        <v>302</v>
      </c>
      <c r="J590" s="9" t="s">
        <v>3036</v>
      </c>
      <c r="K590" s="9" t="s">
        <v>3037</v>
      </c>
      <c r="L590" s="9" t="s">
        <v>22</v>
      </c>
      <c r="M590" s="9" t="s">
        <v>23</v>
      </c>
      <c r="N590" s="9" t="s">
        <v>335</v>
      </c>
      <c r="O590" s="9" t="s">
        <v>298</v>
      </c>
      <c r="P590" s="9">
        <v>22153</v>
      </c>
      <c r="Q590" s="9" t="s">
        <v>110</v>
      </c>
      <c r="R590" s="9" t="s">
        <v>3038</v>
      </c>
      <c r="S590" s="9" t="s">
        <v>28</v>
      </c>
      <c r="T590" s="9" t="s">
        <v>29</v>
      </c>
      <c r="U590" s="9" t="s">
        <v>3039</v>
      </c>
      <c r="V590" s="11">
        <v>100</v>
      </c>
      <c r="W590" s="9" t="str">
        <f t="shared" si="49"/>
        <v>Fast Delivery</v>
      </c>
    </row>
    <row r="591" spans="1:23" x14ac:dyDescent="0.25">
      <c r="A591" s="9">
        <v>8523</v>
      </c>
      <c r="B591" s="10" t="s">
        <v>2684</v>
      </c>
      <c r="C591" s="10">
        <v>42826</v>
      </c>
      <c r="D591" s="10">
        <v>42832</v>
      </c>
      <c r="E591" s="9">
        <f t="shared" si="46"/>
        <v>2017</v>
      </c>
      <c r="F591" s="10" t="str">
        <f t="shared" si="47"/>
        <v>Apr</v>
      </c>
      <c r="G591" s="9">
        <f t="shared" si="48"/>
        <v>4</v>
      </c>
      <c r="H591" s="9">
        <f t="shared" si="45"/>
        <v>6</v>
      </c>
      <c r="I591" s="9" t="s">
        <v>43</v>
      </c>
      <c r="J591" s="9" t="s">
        <v>2685</v>
      </c>
      <c r="K591" s="9" t="s">
        <v>2686</v>
      </c>
      <c r="L591" s="9" t="s">
        <v>87</v>
      </c>
      <c r="M591" s="9" t="s">
        <v>23</v>
      </c>
      <c r="N591" s="9" t="s">
        <v>1632</v>
      </c>
      <c r="O591" s="9" t="s">
        <v>25</v>
      </c>
      <c r="P591" s="9">
        <v>53209</v>
      </c>
      <c r="Q591" s="9" t="s">
        <v>26</v>
      </c>
      <c r="R591" s="9" t="s">
        <v>2687</v>
      </c>
      <c r="S591" s="9" t="s">
        <v>28</v>
      </c>
      <c r="T591" s="9" t="s">
        <v>51</v>
      </c>
      <c r="U591" s="9" t="s">
        <v>2688</v>
      </c>
      <c r="V591" s="11">
        <v>12.99</v>
      </c>
      <c r="W591" s="9" t="str">
        <f t="shared" si="49"/>
        <v>Slow Delivery</v>
      </c>
    </row>
    <row r="592" spans="1:23" x14ac:dyDescent="0.25">
      <c r="A592" s="9">
        <v>1278</v>
      </c>
      <c r="B592" s="10" t="s">
        <v>2752</v>
      </c>
      <c r="C592" s="10">
        <v>42857</v>
      </c>
      <c r="D592" s="10">
        <v>42862</v>
      </c>
      <c r="E592" s="9">
        <f t="shared" si="46"/>
        <v>2017</v>
      </c>
      <c r="F592" s="10" t="str">
        <f t="shared" si="47"/>
        <v>May</v>
      </c>
      <c r="G592" s="9">
        <f t="shared" si="48"/>
        <v>5</v>
      </c>
      <c r="H592" s="9">
        <f t="shared" si="45"/>
        <v>5</v>
      </c>
      <c r="I592" s="9" t="s">
        <v>43</v>
      </c>
      <c r="J592" s="9" t="s">
        <v>2753</v>
      </c>
      <c r="K592" s="9" t="s">
        <v>2754</v>
      </c>
      <c r="L592" s="9" t="s">
        <v>22</v>
      </c>
      <c r="M592" s="9" t="s">
        <v>23</v>
      </c>
      <c r="N592" s="9" t="s">
        <v>72</v>
      </c>
      <c r="O592" s="9" t="s">
        <v>64</v>
      </c>
      <c r="P592" s="9">
        <v>77070</v>
      </c>
      <c r="Q592" s="9" t="s">
        <v>26</v>
      </c>
      <c r="R592" s="9" t="s">
        <v>2755</v>
      </c>
      <c r="S592" s="9" t="s">
        <v>66</v>
      </c>
      <c r="T592" s="9" t="s">
        <v>158</v>
      </c>
      <c r="U592" s="9" t="s">
        <v>2756</v>
      </c>
      <c r="V592" s="11">
        <v>86.352000000000004</v>
      </c>
      <c r="W592" s="9" t="str">
        <f t="shared" si="49"/>
        <v>Slow Delivery</v>
      </c>
    </row>
    <row r="593" spans="1:23" x14ac:dyDescent="0.25">
      <c r="A593" s="9">
        <v>8679</v>
      </c>
      <c r="B593" s="10" t="s">
        <v>2783</v>
      </c>
      <c r="C593" s="10">
        <v>42980</v>
      </c>
      <c r="D593" s="10">
        <v>42985</v>
      </c>
      <c r="E593" s="9">
        <f t="shared" si="46"/>
        <v>2017</v>
      </c>
      <c r="F593" s="10" t="str">
        <f t="shared" si="47"/>
        <v>Sep</v>
      </c>
      <c r="G593" s="9">
        <f t="shared" si="48"/>
        <v>9</v>
      </c>
      <c r="H593" s="9">
        <f t="shared" si="45"/>
        <v>5</v>
      </c>
      <c r="I593" s="9" t="s">
        <v>32</v>
      </c>
      <c r="J593" s="9" t="s">
        <v>2784</v>
      </c>
      <c r="K593" s="9" t="s">
        <v>2785</v>
      </c>
      <c r="L593" s="9" t="s">
        <v>46</v>
      </c>
      <c r="M593" s="9" t="s">
        <v>23</v>
      </c>
      <c r="N593" s="9" t="s">
        <v>72</v>
      </c>
      <c r="O593" s="9" t="s">
        <v>64</v>
      </c>
      <c r="P593" s="9">
        <v>77070</v>
      </c>
      <c r="Q593" s="9" t="s">
        <v>26</v>
      </c>
      <c r="R593" s="9" t="s">
        <v>2786</v>
      </c>
      <c r="S593" s="9" t="s">
        <v>66</v>
      </c>
      <c r="T593" s="9" t="s">
        <v>103</v>
      </c>
      <c r="U593" s="9" t="s">
        <v>2787</v>
      </c>
      <c r="V593" s="11">
        <v>8.6080000000000005</v>
      </c>
      <c r="W593" s="9" t="str">
        <f t="shared" si="49"/>
        <v>Slow Delivery</v>
      </c>
    </row>
    <row r="594" spans="1:23" x14ac:dyDescent="0.25">
      <c r="A594" s="9">
        <v>7563</v>
      </c>
      <c r="B594" s="10" t="s">
        <v>2846</v>
      </c>
      <c r="C594" s="10">
        <v>42981</v>
      </c>
      <c r="D594" s="10">
        <v>42985</v>
      </c>
      <c r="E594" s="9">
        <f t="shared" si="46"/>
        <v>2017</v>
      </c>
      <c r="F594" s="10" t="str">
        <f t="shared" si="47"/>
        <v>Sep</v>
      </c>
      <c r="G594" s="9">
        <f t="shared" si="48"/>
        <v>9</v>
      </c>
      <c r="H594" s="9">
        <f t="shared" si="45"/>
        <v>4</v>
      </c>
      <c r="I594" s="9" t="s">
        <v>43</v>
      </c>
      <c r="J594" s="9" t="s">
        <v>2847</v>
      </c>
      <c r="K594" s="9" t="s">
        <v>2848</v>
      </c>
      <c r="L594" s="9" t="s">
        <v>22</v>
      </c>
      <c r="M594" s="9" t="s">
        <v>23</v>
      </c>
      <c r="N594" s="9" t="s">
        <v>199</v>
      </c>
      <c r="O594" s="9" t="s">
        <v>57</v>
      </c>
      <c r="P594" s="9">
        <v>60610</v>
      </c>
      <c r="Q594" s="9" t="s">
        <v>26</v>
      </c>
      <c r="R594" s="9" t="s">
        <v>2849</v>
      </c>
      <c r="S594" s="9" t="s">
        <v>39</v>
      </c>
      <c r="T594" s="9" t="s">
        <v>1218</v>
      </c>
      <c r="U594" s="9" t="s">
        <v>2850</v>
      </c>
      <c r="V594" s="11">
        <v>198.744</v>
      </c>
      <c r="W594" s="9" t="str">
        <f t="shared" si="49"/>
        <v>Slow Delivery</v>
      </c>
    </row>
    <row r="595" spans="1:23" x14ac:dyDescent="0.25">
      <c r="A595" s="9">
        <v>9142</v>
      </c>
      <c r="B595" s="10" t="s">
        <v>2982</v>
      </c>
      <c r="C595" s="10">
        <v>42983</v>
      </c>
      <c r="D595" s="10">
        <v>42985</v>
      </c>
      <c r="E595" s="9">
        <f t="shared" si="46"/>
        <v>2017</v>
      </c>
      <c r="F595" s="10" t="str">
        <f t="shared" si="47"/>
        <v>Sep</v>
      </c>
      <c r="G595" s="9">
        <f t="shared" si="48"/>
        <v>9</v>
      </c>
      <c r="H595" s="9">
        <f t="shared" si="45"/>
        <v>2</v>
      </c>
      <c r="I595" s="9" t="s">
        <v>19</v>
      </c>
      <c r="J595" s="9" t="s">
        <v>2983</v>
      </c>
      <c r="K595" s="9" t="s">
        <v>2984</v>
      </c>
      <c r="L595" s="9" t="s">
        <v>87</v>
      </c>
      <c r="M595" s="9" t="s">
        <v>23</v>
      </c>
      <c r="N595" s="9" t="s">
        <v>47</v>
      </c>
      <c r="O595" s="9" t="s">
        <v>48</v>
      </c>
      <c r="P595" s="9">
        <v>10011</v>
      </c>
      <c r="Q595" s="9" t="s">
        <v>49</v>
      </c>
      <c r="R595" s="9" t="s">
        <v>2985</v>
      </c>
      <c r="S595" s="9" t="s">
        <v>28</v>
      </c>
      <c r="T595" s="9" t="s">
        <v>51</v>
      </c>
      <c r="U595" s="9" t="s">
        <v>2986</v>
      </c>
      <c r="V595" s="11">
        <v>43.6</v>
      </c>
      <c r="W595" s="9" t="str">
        <f t="shared" si="49"/>
        <v>Fast Delivery</v>
      </c>
    </row>
    <row r="596" spans="1:23" x14ac:dyDescent="0.25">
      <c r="A596" s="9">
        <v>6696</v>
      </c>
      <c r="B596" s="10" t="s">
        <v>2801</v>
      </c>
      <c r="C596" s="10">
        <v>43071</v>
      </c>
      <c r="D596" s="10">
        <v>43076</v>
      </c>
      <c r="E596" s="9">
        <f t="shared" si="46"/>
        <v>2017</v>
      </c>
      <c r="F596" s="10" t="str">
        <f t="shared" si="47"/>
        <v>Dec</v>
      </c>
      <c r="G596" s="9">
        <f t="shared" si="48"/>
        <v>12</v>
      </c>
      <c r="H596" s="9">
        <f t="shared" si="45"/>
        <v>5</v>
      </c>
      <c r="I596" s="9" t="s">
        <v>43</v>
      </c>
      <c r="J596" s="9" t="s">
        <v>2802</v>
      </c>
      <c r="K596" s="9" t="s">
        <v>2803</v>
      </c>
      <c r="L596" s="9" t="s">
        <v>22</v>
      </c>
      <c r="M596" s="9" t="s">
        <v>23</v>
      </c>
      <c r="N596" s="9" t="s">
        <v>47</v>
      </c>
      <c r="O596" s="9" t="s">
        <v>48</v>
      </c>
      <c r="P596" s="9">
        <v>10024</v>
      </c>
      <c r="Q596" s="9" t="s">
        <v>49</v>
      </c>
      <c r="R596" s="9" t="s">
        <v>2804</v>
      </c>
      <c r="S596" s="9" t="s">
        <v>66</v>
      </c>
      <c r="T596" s="9" t="s">
        <v>103</v>
      </c>
      <c r="U596" s="9" t="s">
        <v>2805</v>
      </c>
      <c r="V596" s="11">
        <v>415.17599999999999</v>
      </c>
      <c r="W596" s="9" t="str">
        <f t="shared" si="49"/>
        <v>Slow Delivery</v>
      </c>
    </row>
    <row r="597" spans="1:23" x14ac:dyDescent="0.25">
      <c r="A597" s="9">
        <v>4185</v>
      </c>
      <c r="B597" s="10" t="s">
        <v>2997</v>
      </c>
      <c r="C597" s="10">
        <v>43074</v>
      </c>
      <c r="D597" s="10">
        <v>43076</v>
      </c>
      <c r="E597" s="9">
        <f t="shared" si="46"/>
        <v>2017</v>
      </c>
      <c r="F597" s="10" t="str">
        <f t="shared" si="47"/>
        <v>Dec</v>
      </c>
      <c r="G597" s="9">
        <f t="shared" si="48"/>
        <v>12</v>
      </c>
      <c r="H597" s="9">
        <f t="shared" si="45"/>
        <v>2</v>
      </c>
      <c r="I597" s="9" t="s">
        <v>19</v>
      </c>
      <c r="J597" s="9" t="s">
        <v>2998</v>
      </c>
      <c r="K597" s="9" t="s">
        <v>2999</v>
      </c>
      <c r="L597" s="9" t="s">
        <v>87</v>
      </c>
      <c r="M597" s="9" t="s">
        <v>23</v>
      </c>
      <c r="N597" s="9" t="s">
        <v>1758</v>
      </c>
      <c r="O597" s="9" t="s">
        <v>89</v>
      </c>
      <c r="P597" s="9">
        <v>2038</v>
      </c>
      <c r="Q597" s="9" t="s">
        <v>49</v>
      </c>
      <c r="R597" s="9" t="s">
        <v>3000</v>
      </c>
      <c r="S597" s="9" t="s">
        <v>39</v>
      </c>
      <c r="T597" s="9" t="s">
        <v>1218</v>
      </c>
      <c r="U597" s="9" t="s">
        <v>3001</v>
      </c>
      <c r="V597" s="11">
        <v>81.94</v>
      </c>
      <c r="W597" s="9" t="str">
        <f t="shared" si="49"/>
        <v>Fast Delivery</v>
      </c>
    </row>
    <row r="598" spans="1:23" x14ac:dyDescent="0.25">
      <c r="A598" s="9">
        <v>5060</v>
      </c>
      <c r="B598" s="10" t="s">
        <v>3006</v>
      </c>
      <c r="C598" s="10">
        <v>43074</v>
      </c>
      <c r="D598" s="10">
        <v>43076</v>
      </c>
      <c r="E598" s="9">
        <f t="shared" si="46"/>
        <v>2017</v>
      </c>
      <c r="F598" s="10" t="str">
        <f t="shared" si="47"/>
        <v>Dec</v>
      </c>
      <c r="G598" s="9">
        <f t="shared" si="48"/>
        <v>12</v>
      </c>
      <c r="H598" s="9">
        <f t="shared" si="45"/>
        <v>2</v>
      </c>
      <c r="I598" s="9" t="s">
        <v>32</v>
      </c>
      <c r="J598" s="9" t="s">
        <v>3007</v>
      </c>
      <c r="K598" s="9" t="s">
        <v>3008</v>
      </c>
      <c r="L598" s="9" t="s">
        <v>22</v>
      </c>
      <c r="M598" s="9" t="s">
        <v>23</v>
      </c>
      <c r="N598" s="9" t="s">
        <v>3009</v>
      </c>
      <c r="O598" s="9" t="s">
        <v>207</v>
      </c>
      <c r="P598" s="9">
        <v>40324</v>
      </c>
      <c r="Q598" s="9" t="s">
        <v>110</v>
      </c>
      <c r="R598" s="9" t="s">
        <v>3010</v>
      </c>
      <c r="S598" s="9" t="s">
        <v>28</v>
      </c>
      <c r="T598" s="9" t="s">
        <v>51</v>
      </c>
      <c r="U598" s="9" t="s">
        <v>3011</v>
      </c>
      <c r="V598" s="11">
        <v>699.98</v>
      </c>
      <c r="W598" s="9" t="str">
        <f t="shared" si="49"/>
        <v>Fast Delivery</v>
      </c>
    </row>
    <row r="599" spans="1:23" x14ac:dyDescent="0.25">
      <c r="A599" s="9">
        <v>6524</v>
      </c>
      <c r="B599" s="10" t="s">
        <v>3055</v>
      </c>
      <c r="C599" s="10">
        <v>42923</v>
      </c>
      <c r="D599" s="10">
        <v>42929</v>
      </c>
      <c r="E599" s="9">
        <f t="shared" si="46"/>
        <v>2017</v>
      </c>
      <c r="F599" s="10" t="str">
        <f t="shared" si="47"/>
        <v>Jul</v>
      </c>
      <c r="G599" s="9">
        <f t="shared" si="48"/>
        <v>7</v>
      </c>
      <c r="H599" s="9">
        <f t="shared" si="45"/>
        <v>6</v>
      </c>
      <c r="I599" s="9" t="s">
        <v>43</v>
      </c>
      <c r="J599" s="9" t="s">
        <v>3056</v>
      </c>
      <c r="K599" s="9" t="s">
        <v>3057</v>
      </c>
      <c r="L599" s="9" t="s">
        <v>46</v>
      </c>
      <c r="M599" s="9" t="s">
        <v>23</v>
      </c>
      <c r="N599" s="9" t="s">
        <v>149</v>
      </c>
      <c r="O599" s="9" t="s">
        <v>150</v>
      </c>
      <c r="P599" s="9">
        <v>19120</v>
      </c>
      <c r="Q599" s="9" t="s">
        <v>49</v>
      </c>
      <c r="R599" s="9" t="s">
        <v>3058</v>
      </c>
      <c r="S599" s="9" t="s">
        <v>66</v>
      </c>
      <c r="T599" s="9" t="s">
        <v>82</v>
      </c>
      <c r="U599" s="9" t="s">
        <v>3059</v>
      </c>
      <c r="V599" s="11">
        <v>10.08</v>
      </c>
      <c r="W599" s="9" t="str">
        <f t="shared" si="49"/>
        <v>Slow Delivery</v>
      </c>
    </row>
    <row r="600" spans="1:23" x14ac:dyDescent="0.25">
      <c r="A600" s="9">
        <v>2154</v>
      </c>
      <c r="B600" s="10" t="s">
        <v>3763</v>
      </c>
      <c r="C600" s="10">
        <v>42930</v>
      </c>
      <c r="D600" s="10">
        <v>42934</v>
      </c>
      <c r="E600" s="9">
        <f t="shared" si="46"/>
        <v>2017</v>
      </c>
      <c r="F600" s="10" t="str">
        <f t="shared" si="47"/>
        <v>Jul</v>
      </c>
      <c r="G600" s="9">
        <f t="shared" si="48"/>
        <v>7</v>
      </c>
      <c r="H600" s="9">
        <f t="shared" si="45"/>
        <v>4</v>
      </c>
      <c r="I600" s="9" t="s">
        <v>43</v>
      </c>
      <c r="J600" s="9" t="s">
        <v>3764</v>
      </c>
      <c r="K600" s="9" t="s">
        <v>3765</v>
      </c>
      <c r="L600" s="9" t="s">
        <v>87</v>
      </c>
      <c r="M600" s="9" t="s">
        <v>23</v>
      </c>
      <c r="N600" s="9" t="s">
        <v>47</v>
      </c>
      <c r="O600" s="9" t="s">
        <v>48</v>
      </c>
      <c r="P600" s="9">
        <v>10009</v>
      </c>
      <c r="Q600" s="9" t="s">
        <v>49</v>
      </c>
      <c r="R600" s="9" t="s">
        <v>3766</v>
      </c>
      <c r="S600" s="9" t="s">
        <v>66</v>
      </c>
      <c r="T600" s="9" t="s">
        <v>103</v>
      </c>
      <c r="U600" s="9" t="s">
        <v>3767</v>
      </c>
      <c r="V600" s="11">
        <v>14.16</v>
      </c>
      <c r="W600" s="9" t="str">
        <f t="shared" si="49"/>
        <v>Slow Delivery</v>
      </c>
    </row>
    <row r="601" spans="1:23" x14ac:dyDescent="0.25">
      <c r="A601" s="9">
        <v>6957</v>
      </c>
      <c r="B601" s="10" t="s">
        <v>3768</v>
      </c>
      <c r="C601" s="10">
        <v>42930</v>
      </c>
      <c r="D601" s="10">
        <v>42935</v>
      </c>
      <c r="E601" s="9">
        <f t="shared" si="46"/>
        <v>2017</v>
      </c>
      <c r="F601" s="10" t="str">
        <f t="shared" si="47"/>
        <v>Jul</v>
      </c>
      <c r="G601" s="9">
        <f t="shared" si="48"/>
        <v>7</v>
      </c>
      <c r="H601" s="9">
        <f t="shared" si="45"/>
        <v>5</v>
      </c>
      <c r="I601" s="9" t="s">
        <v>43</v>
      </c>
      <c r="J601" s="9" t="s">
        <v>3769</v>
      </c>
      <c r="K601" s="9" t="s">
        <v>3770</v>
      </c>
      <c r="L601" s="9" t="s">
        <v>22</v>
      </c>
      <c r="M601" s="9" t="s">
        <v>23</v>
      </c>
      <c r="N601" s="9" t="s">
        <v>249</v>
      </c>
      <c r="O601" s="9" t="s">
        <v>286</v>
      </c>
      <c r="P601" s="9">
        <v>31907</v>
      </c>
      <c r="Q601" s="9" t="s">
        <v>110</v>
      </c>
      <c r="R601" s="9" t="s">
        <v>3771</v>
      </c>
      <c r="S601" s="9" t="s">
        <v>66</v>
      </c>
      <c r="T601" s="9" t="s">
        <v>103</v>
      </c>
      <c r="U601" s="9" t="s">
        <v>3772</v>
      </c>
      <c r="V601" s="11">
        <v>36.4</v>
      </c>
      <c r="W601" s="9" t="str">
        <f t="shared" si="49"/>
        <v>Slow Delivery</v>
      </c>
    </row>
    <row r="602" spans="1:23" x14ac:dyDescent="0.25">
      <c r="A602" s="9">
        <v>7932</v>
      </c>
      <c r="B602" s="10" t="s">
        <v>3799</v>
      </c>
      <c r="C602" s="10">
        <v>42931</v>
      </c>
      <c r="D602" s="10">
        <v>42936</v>
      </c>
      <c r="E602" s="9">
        <f t="shared" si="46"/>
        <v>2017</v>
      </c>
      <c r="F602" s="10" t="str">
        <f t="shared" si="47"/>
        <v>Jul</v>
      </c>
      <c r="G602" s="9">
        <f t="shared" si="48"/>
        <v>7</v>
      </c>
      <c r="H602" s="9">
        <f t="shared" si="45"/>
        <v>5</v>
      </c>
      <c r="I602" s="9" t="s">
        <v>43</v>
      </c>
      <c r="J602" s="9" t="s">
        <v>3800</v>
      </c>
      <c r="K602" s="9" t="s">
        <v>3801</v>
      </c>
      <c r="L602" s="9" t="s">
        <v>87</v>
      </c>
      <c r="M602" s="9" t="s">
        <v>23</v>
      </c>
      <c r="N602" s="9" t="s">
        <v>187</v>
      </c>
      <c r="O602" s="9" t="s">
        <v>188</v>
      </c>
      <c r="P602" s="9">
        <v>97206</v>
      </c>
      <c r="Q602" s="9" t="s">
        <v>37</v>
      </c>
      <c r="R602" s="9" t="s">
        <v>3802</v>
      </c>
      <c r="S602" s="9" t="s">
        <v>39</v>
      </c>
      <c r="T602" s="9" t="s">
        <v>40</v>
      </c>
      <c r="U602" s="9" t="s">
        <v>3803</v>
      </c>
      <c r="V602" s="11">
        <v>230.28</v>
      </c>
      <c r="W602" s="9" t="str">
        <f t="shared" si="49"/>
        <v>Slow Delivery</v>
      </c>
    </row>
    <row r="603" spans="1:23" x14ac:dyDescent="0.25">
      <c r="A603" s="9">
        <v>8604</v>
      </c>
      <c r="B603" s="10" t="s">
        <v>2806</v>
      </c>
      <c r="C603" s="10">
        <v>42738</v>
      </c>
      <c r="D603" s="10">
        <v>42743</v>
      </c>
      <c r="E603" s="9">
        <f t="shared" si="46"/>
        <v>2017</v>
      </c>
      <c r="F603" s="10" t="str">
        <f t="shared" si="47"/>
        <v>Jan</v>
      </c>
      <c r="G603" s="9">
        <f t="shared" si="48"/>
        <v>1</v>
      </c>
      <c r="H603" s="9">
        <f t="shared" si="45"/>
        <v>5</v>
      </c>
      <c r="I603" s="9" t="s">
        <v>43</v>
      </c>
      <c r="J603" s="9" t="s">
        <v>2807</v>
      </c>
      <c r="K603" s="9" t="s">
        <v>2808</v>
      </c>
      <c r="L603" s="9" t="s">
        <v>87</v>
      </c>
      <c r="M603" s="9" t="s">
        <v>23</v>
      </c>
      <c r="N603" s="9" t="s">
        <v>784</v>
      </c>
      <c r="O603" s="9" t="s">
        <v>64</v>
      </c>
      <c r="P603" s="9">
        <v>78207</v>
      </c>
      <c r="Q603" s="9" t="s">
        <v>26</v>
      </c>
      <c r="R603" s="9" t="s">
        <v>2809</v>
      </c>
      <c r="S603" s="9" t="s">
        <v>28</v>
      </c>
      <c r="T603" s="9" t="s">
        <v>29</v>
      </c>
      <c r="U603" s="9" t="s">
        <v>2810</v>
      </c>
      <c r="V603" s="11">
        <v>30.08</v>
      </c>
      <c r="W603" s="9" t="str">
        <f t="shared" si="49"/>
        <v>Slow Delivery</v>
      </c>
    </row>
    <row r="604" spans="1:23" x14ac:dyDescent="0.25">
      <c r="A604" s="9">
        <v>9494</v>
      </c>
      <c r="B604" s="10" t="s">
        <v>2811</v>
      </c>
      <c r="C604" s="10">
        <v>42738</v>
      </c>
      <c r="D604" s="10">
        <v>42743</v>
      </c>
      <c r="E604" s="9">
        <f t="shared" si="46"/>
        <v>2017</v>
      </c>
      <c r="F604" s="10" t="str">
        <f t="shared" si="47"/>
        <v>Jan</v>
      </c>
      <c r="G604" s="9">
        <f t="shared" si="48"/>
        <v>1</v>
      </c>
      <c r="H604" s="9">
        <f t="shared" si="45"/>
        <v>5</v>
      </c>
      <c r="I604" s="9" t="s">
        <v>43</v>
      </c>
      <c r="J604" s="9" t="s">
        <v>2812</v>
      </c>
      <c r="K604" s="9" t="s">
        <v>2813</v>
      </c>
      <c r="L604" s="9" t="s">
        <v>87</v>
      </c>
      <c r="M604" s="9" t="s">
        <v>23</v>
      </c>
      <c r="N604" s="9" t="s">
        <v>2814</v>
      </c>
      <c r="O604" s="9" t="s">
        <v>599</v>
      </c>
      <c r="P604" s="9">
        <v>74012</v>
      </c>
      <c r="Q604" s="9" t="s">
        <v>26</v>
      </c>
      <c r="R604" s="9" t="s">
        <v>2815</v>
      </c>
      <c r="S604" s="9" t="s">
        <v>39</v>
      </c>
      <c r="T604" s="9" t="s">
        <v>480</v>
      </c>
      <c r="U604" s="9" t="s">
        <v>2816</v>
      </c>
      <c r="V604" s="11">
        <v>1592.85</v>
      </c>
      <c r="W604" s="9" t="str">
        <f t="shared" si="49"/>
        <v>Slow Delivery</v>
      </c>
    </row>
    <row r="605" spans="1:23" x14ac:dyDescent="0.25">
      <c r="A605" s="9">
        <v>5868</v>
      </c>
      <c r="B605" s="10" t="s">
        <v>2874</v>
      </c>
      <c r="C605" s="10">
        <v>42739</v>
      </c>
      <c r="D605" s="10">
        <v>42743</v>
      </c>
      <c r="E605" s="9">
        <f t="shared" si="46"/>
        <v>2017</v>
      </c>
      <c r="F605" s="10" t="str">
        <f t="shared" si="47"/>
        <v>Jan</v>
      </c>
      <c r="G605" s="9">
        <f t="shared" si="48"/>
        <v>1</v>
      </c>
      <c r="H605" s="9">
        <f t="shared" si="45"/>
        <v>4</v>
      </c>
      <c r="I605" s="9" t="s">
        <v>43</v>
      </c>
      <c r="J605" s="9" t="s">
        <v>2875</v>
      </c>
      <c r="K605" s="9" t="s">
        <v>2876</v>
      </c>
      <c r="L605" s="9" t="s">
        <v>87</v>
      </c>
      <c r="M605" s="9" t="s">
        <v>23</v>
      </c>
      <c r="N605" s="9" t="s">
        <v>149</v>
      </c>
      <c r="O605" s="9" t="s">
        <v>150</v>
      </c>
      <c r="P605" s="9">
        <v>19143</v>
      </c>
      <c r="Q605" s="9" t="s">
        <v>49</v>
      </c>
      <c r="R605" s="9" t="s">
        <v>1300</v>
      </c>
      <c r="S605" s="9" t="s">
        <v>66</v>
      </c>
      <c r="T605" s="9" t="s">
        <v>158</v>
      </c>
      <c r="U605" s="9" t="s">
        <v>1301</v>
      </c>
      <c r="V605" s="11">
        <v>4.6719999999999997</v>
      </c>
      <c r="W605" s="9" t="str">
        <f t="shared" si="49"/>
        <v>Slow Delivery</v>
      </c>
    </row>
    <row r="606" spans="1:23" x14ac:dyDescent="0.25">
      <c r="A606" s="9">
        <v>6043</v>
      </c>
      <c r="B606" s="10" t="s">
        <v>2877</v>
      </c>
      <c r="C606" s="10">
        <v>42770</v>
      </c>
      <c r="D606" s="10">
        <v>42774</v>
      </c>
      <c r="E606" s="9">
        <f t="shared" si="46"/>
        <v>2017</v>
      </c>
      <c r="F606" s="10" t="str">
        <f t="shared" si="47"/>
        <v>Feb</v>
      </c>
      <c r="G606" s="9">
        <f t="shared" si="48"/>
        <v>2</v>
      </c>
      <c r="H606" s="9">
        <f t="shared" si="45"/>
        <v>4</v>
      </c>
      <c r="I606" s="9" t="s">
        <v>43</v>
      </c>
      <c r="J606" s="9" t="s">
        <v>2878</v>
      </c>
      <c r="K606" s="9" t="s">
        <v>2879</v>
      </c>
      <c r="L606" s="9" t="s">
        <v>22</v>
      </c>
      <c r="M606" s="9" t="s">
        <v>23</v>
      </c>
      <c r="N606" s="9" t="s">
        <v>2880</v>
      </c>
      <c r="O606" s="9" t="s">
        <v>382</v>
      </c>
      <c r="P606" s="9">
        <v>85635</v>
      </c>
      <c r="Q606" s="9" t="s">
        <v>37</v>
      </c>
      <c r="R606" s="9" t="s">
        <v>2881</v>
      </c>
      <c r="S606" s="9" t="s">
        <v>39</v>
      </c>
      <c r="T606" s="9" t="s">
        <v>112</v>
      </c>
      <c r="U606" s="9" t="s">
        <v>2882</v>
      </c>
      <c r="V606" s="11">
        <v>14.368</v>
      </c>
      <c r="W606" s="9" t="str">
        <f t="shared" si="49"/>
        <v>Slow Delivery</v>
      </c>
    </row>
    <row r="607" spans="1:23" x14ac:dyDescent="0.25">
      <c r="A607" s="9">
        <v>3265</v>
      </c>
      <c r="B607" s="10" t="s">
        <v>2888</v>
      </c>
      <c r="C607" s="10">
        <v>42798</v>
      </c>
      <c r="D607" s="10">
        <v>42802</v>
      </c>
      <c r="E607" s="9">
        <f t="shared" si="46"/>
        <v>2017</v>
      </c>
      <c r="F607" s="10" t="str">
        <f t="shared" si="47"/>
        <v>Mar</v>
      </c>
      <c r="G607" s="9">
        <f t="shared" si="48"/>
        <v>3</v>
      </c>
      <c r="H607" s="9">
        <f t="shared" si="45"/>
        <v>4</v>
      </c>
      <c r="I607" s="9" t="s">
        <v>32</v>
      </c>
      <c r="J607" s="9" t="s">
        <v>2889</v>
      </c>
      <c r="K607" s="9" t="s">
        <v>2890</v>
      </c>
      <c r="L607" s="9" t="s">
        <v>87</v>
      </c>
      <c r="M607" s="9" t="s">
        <v>23</v>
      </c>
      <c r="N607" s="9" t="s">
        <v>1502</v>
      </c>
      <c r="O607" s="9" t="s">
        <v>130</v>
      </c>
      <c r="P607" s="9">
        <v>33180</v>
      </c>
      <c r="Q607" s="9" t="s">
        <v>110</v>
      </c>
      <c r="R607" s="9" t="s">
        <v>627</v>
      </c>
      <c r="S607" s="9" t="s">
        <v>66</v>
      </c>
      <c r="T607" s="9" t="s">
        <v>82</v>
      </c>
      <c r="U607" s="9" t="s">
        <v>628</v>
      </c>
      <c r="V607" s="11">
        <v>10.08</v>
      </c>
      <c r="W607" s="9" t="str">
        <f t="shared" si="49"/>
        <v>Slow Delivery</v>
      </c>
    </row>
    <row r="608" spans="1:23" x14ac:dyDescent="0.25">
      <c r="A608" s="9">
        <v>5316</v>
      </c>
      <c r="B608" s="10" t="s">
        <v>2762</v>
      </c>
      <c r="C608" s="10">
        <v>42857</v>
      </c>
      <c r="D608" s="10">
        <v>42863</v>
      </c>
      <c r="E608" s="9">
        <f t="shared" si="46"/>
        <v>2017</v>
      </c>
      <c r="F608" s="10" t="str">
        <f t="shared" si="47"/>
        <v>May</v>
      </c>
      <c r="G608" s="9">
        <f t="shared" si="48"/>
        <v>5</v>
      </c>
      <c r="H608" s="9">
        <f t="shared" si="45"/>
        <v>6</v>
      </c>
      <c r="I608" s="9" t="s">
        <v>43</v>
      </c>
      <c r="J608" s="9" t="s">
        <v>2763</v>
      </c>
      <c r="K608" s="9" t="s">
        <v>2764</v>
      </c>
      <c r="L608" s="9" t="s">
        <v>22</v>
      </c>
      <c r="M608" s="9" t="s">
        <v>23</v>
      </c>
      <c r="N608" s="9" t="s">
        <v>2765</v>
      </c>
      <c r="O608" s="9" t="s">
        <v>137</v>
      </c>
      <c r="P608" s="9">
        <v>27405</v>
      </c>
      <c r="Q608" s="9" t="s">
        <v>110</v>
      </c>
      <c r="R608" s="9" t="s">
        <v>2766</v>
      </c>
      <c r="S608" s="9" t="s">
        <v>39</v>
      </c>
      <c r="T608" s="9" t="s">
        <v>40</v>
      </c>
      <c r="U608" s="9" t="s">
        <v>2767</v>
      </c>
      <c r="V608" s="11">
        <v>187.05600000000001</v>
      </c>
      <c r="W608" s="9" t="str">
        <f t="shared" si="49"/>
        <v>Slow Delivery</v>
      </c>
    </row>
    <row r="609" spans="1:23" x14ac:dyDescent="0.25">
      <c r="A609" s="9">
        <v>8337</v>
      </c>
      <c r="B609" s="10" t="s">
        <v>2768</v>
      </c>
      <c r="C609" s="10">
        <v>42918</v>
      </c>
      <c r="D609" s="10">
        <v>42924</v>
      </c>
      <c r="E609" s="9">
        <f t="shared" si="46"/>
        <v>2017</v>
      </c>
      <c r="F609" s="10" t="str">
        <f t="shared" si="47"/>
        <v>Jul</v>
      </c>
      <c r="G609" s="9">
        <f t="shared" si="48"/>
        <v>7</v>
      </c>
      <c r="H609" s="9">
        <f t="shared" si="45"/>
        <v>6</v>
      </c>
      <c r="I609" s="9" t="s">
        <v>43</v>
      </c>
      <c r="J609" s="9" t="s">
        <v>2769</v>
      </c>
      <c r="K609" s="9" t="s">
        <v>2770</v>
      </c>
      <c r="L609" s="9" t="s">
        <v>22</v>
      </c>
      <c r="M609" s="9" t="s">
        <v>23</v>
      </c>
      <c r="N609" s="9" t="s">
        <v>790</v>
      </c>
      <c r="O609" s="9" t="s">
        <v>298</v>
      </c>
      <c r="P609" s="9">
        <v>22204</v>
      </c>
      <c r="Q609" s="9" t="s">
        <v>110</v>
      </c>
      <c r="R609" s="9" t="s">
        <v>2771</v>
      </c>
      <c r="S609" s="9" t="s">
        <v>66</v>
      </c>
      <c r="T609" s="9" t="s">
        <v>158</v>
      </c>
      <c r="U609" s="9" t="s">
        <v>2772</v>
      </c>
      <c r="V609" s="11">
        <v>7.7</v>
      </c>
      <c r="W609" s="9" t="str">
        <f t="shared" si="49"/>
        <v>Slow Delivery</v>
      </c>
    </row>
    <row r="610" spans="1:23" x14ac:dyDescent="0.25">
      <c r="A610" s="9">
        <v>1764</v>
      </c>
      <c r="B610" s="10" t="s">
        <v>2897</v>
      </c>
      <c r="C610" s="10">
        <v>42951</v>
      </c>
      <c r="D610" s="10">
        <v>42955</v>
      </c>
      <c r="E610" s="9">
        <f t="shared" si="46"/>
        <v>2017</v>
      </c>
      <c r="F610" s="10" t="str">
        <f t="shared" si="47"/>
        <v>Aug</v>
      </c>
      <c r="G610" s="9">
        <f t="shared" si="48"/>
        <v>8</v>
      </c>
      <c r="H610" s="9">
        <f t="shared" si="45"/>
        <v>4</v>
      </c>
      <c r="I610" s="9" t="s">
        <v>43</v>
      </c>
      <c r="J610" s="9" t="s">
        <v>2898</v>
      </c>
      <c r="K610" s="9" t="s">
        <v>2899</v>
      </c>
      <c r="L610" s="9" t="s">
        <v>46</v>
      </c>
      <c r="M610" s="9" t="s">
        <v>23</v>
      </c>
      <c r="N610" s="9" t="s">
        <v>2200</v>
      </c>
      <c r="O610" s="9" t="s">
        <v>298</v>
      </c>
      <c r="P610" s="9">
        <v>23434</v>
      </c>
      <c r="Q610" s="9" t="s">
        <v>110</v>
      </c>
      <c r="R610" s="9" t="s">
        <v>2900</v>
      </c>
      <c r="S610" s="9" t="s">
        <v>66</v>
      </c>
      <c r="T610" s="9" t="s">
        <v>564</v>
      </c>
      <c r="U610" s="9" t="s">
        <v>2901</v>
      </c>
      <c r="V610" s="11">
        <v>35.06</v>
      </c>
      <c r="W610" s="9" t="str">
        <f t="shared" si="49"/>
        <v>Slow Delivery</v>
      </c>
    </row>
    <row r="611" spans="1:23" x14ac:dyDescent="0.25">
      <c r="A611" s="9">
        <v>4514</v>
      </c>
      <c r="B611" s="10" t="s">
        <v>3017</v>
      </c>
      <c r="C611" s="10">
        <v>42984</v>
      </c>
      <c r="D611" s="10">
        <v>42986</v>
      </c>
      <c r="E611" s="9">
        <f t="shared" si="46"/>
        <v>2017</v>
      </c>
      <c r="F611" s="10" t="str">
        <f t="shared" si="47"/>
        <v>Sep</v>
      </c>
      <c r="G611" s="9">
        <f t="shared" si="48"/>
        <v>9</v>
      </c>
      <c r="H611" s="9">
        <f t="shared" si="45"/>
        <v>2</v>
      </c>
      <c r="I611" s="9" t="s">
        <v>19</v>
      </c>
      <c r="J611" s="9" t="s">
        <v>3018</v>
      </c>
      <c r="K611" s="9" t="s">
        <v>3019</v>
      </c>
      <c r="L611" s="9" t="s">
        <v>22</v>
      </c>
      <c r="M611" s="9" t="s">
        <v>23</v>
      </c>
      <c r="N611" s="9" t="s">
        <v>72</v>
      </c>
      <c r="O611" s="9" t="s">
        <v>64</v>
      </c>
      <c r="P611" s="9">
        <v>77070</v>
      </c>
      <c r="Q611" s="9" t="s">
        <v>26</v>
      </c>
      <c r="R611" s="9" t="s">
        <v>2069</v>
      </c>
      <c r="S611" s="9" t="s">
        <v>66</v>
      </c>
      <c r="T611" s="9" t="s">
        <v>74</v>
      </c>
      <c r="U611" s="9" t="s">
        <v>2070</v>
      </c>
      <c r="V611" s="11">
        <v>10.784000000000001</v>
      </c>
      <c r="W611" s="9" t="str">
        <f t="shared" si="49"/>
        <v>Fast Delivery</v>
      </c>
    </row>
    <row r="612" spans="1:23" x14ac:dyDescent="0.25">
      <c r="A612" s="9">
        <v>703</v>
      </c>
      <c r="B612" s="10" t="s">
        <v>2923</v>
      </c>
      <c r="C612" s="10">
        <v>43043</v>
      </c>
      <c r="D612" s="10">
        <v>43047</v>
      </c>
      <c r="E612" s="9">
        <f t="shared" si="46"/>
        <v>2017</v>
      </c>
      <c r="F612" s="10" t="str">
        <f t="shared" si="47"/>
        <v>Nov</v>
      </c>
      <c r="G612" s="9">
        <f t="shared" si="48"/>
        <v>11</v>
      </c>
      <c r="H612" s="9">
        <f t="shared" si="45"/>
        <v>4</v>
      </c>
      <c r="I612" s="9" t="s">
        <v>32</v>
      </c>
      <c r="J612" s="9" t="s">
        <v>2924</v>
      </c>
      <c r="K612" s="9" t="s">
        <v>2925</v>
      </c>
      <c r="L612" s="9" t="s">
        <v>87</v>
      </c>
      <c r="M612" s="9" t="s">
        <v>23</v>
      </c>
      <c r="N612" s="9" t="s">
        <v>35</v>
      </c>
      <c r="O612" s="9" t="s">
        <v>36</v>
      </c>
      <c r="P612" s="9">
        <v>98103</v>
      </c>
      <c r="Q612" s="9" t="s">
        <v>37</v>
      </c>
      <c r="R612" s="9" t="s">
        <v>2926</v>
      </c>
      <c r="S612" s="9" t="s">
        <v>39</v>
      </c>
      <c r="T612" s="9" t="s">
        <v>112</v>
      </c>
      <c r="U612" s="9" t="s">
        <v>2927</v>
      </c>
      <c r="V612" s="11">
        <v>209.88</v>
      </c>
      <c r="W612" s="9" t="str">
        <f t="shared" si="49"/>
        <v>Slow Delivery</v>
      </c>
    </row>
    <row r="613" spans="1:23" x14ac:dyDescent="0.25">
      <c r="A613" s="9">
        <v>1480</v>
      </c>
      <c r="B613" s="10" t="s">
        <v>2796</v>
      </c>
      <c r="C613" s="10">
        <v>43071</v>
      </c>
      <c r="D613" s="10">
        <v>43077</v>
      </c>
      <c r="E613" s="9">
        <f t="shared" si="46"/>
        <v>2017</v>
      </c>
      <c r="F613" s="10" t="str">
        <f t="shared" si="47"/>
        <v>Dec</v>
      </c>
      <c r="G613" s="9">
        <f t="shared" si="48"/>
        <v>12</v>
      </c>
      <c r="H613" s="9">
        <f t="shared" si="45"/>
        <v>6</v>
      </c>
      <c r="I613" s="9" t="s">
        <v>43</v>
      </c>
      <c r="J613" s="9" t="s">
        <v>2797</v>
      </c>
      <c r="K613" s="9" t="s">
        <v>2798</v>
      </c>
      <c r="L613" s="9" t="s">
        <v>22</v>
      </c>
      <c r="M613" s="9" t="s">
        <v>23</v>
      </c>
      <c r="N613" s="9" t="s">
        <v>143</v>
      </c>
      <c r="O613" s="9" t="s">
        <v>80</v>
      </c>
      <c r="P613" s="9">
        <v>94122</v>
      </c>
      <c r="Q613" s="9" t="s">
        <v>37</v>
      </c>
      <c r="R613" s="9" t="s">
        <v>2799</v>
      </c>
      <c r="S613" s="9" t="s">
        <v>66</v>
      </c>
      <c r="T613" s="9" t="s">
        <v>201</v>
      </c>
      <c r="U613" s="9" t="s">
        <v>2800</v>
      </c>
      <c r="V613" s="11">
        <v>25.92</v>
      </c>
      <c r="W613" s="9" t="str">
        <f t="shared" si="49"/>
        <v>Slow Delivery</v>
      </c>
    </row>
    <row r="614" spans="1:23" x14ac:dyDescent="0.25">
      <c r="A614" s="9">
        <v>4198</v>
      </c>
      <c r="B614" s="10" t="s">
        <v>2861</v>
      </c>
      <c r="C614" s="10">
        <v>43072</v>
      </c>
      <c r="D614" s="10">
        <v>43077</v>
      </c>
      <c r="E614" s="9">
        <f t="shared" si="46"/>
        <v>2017</v>
      </c>
      <c r="F614" s="10" t="str">
        <f t="shared" si="47"/>
        <v>Dec</v>
      </c>
      <c r="G614" s="9">
        <f t="shared" si="48"/>
        <v>12</v>
      </c>
      <c r="H614" s="9">
        <f t="shared" si="45"/>
        <v>5</v>
      </c>
      <c r="I614" s="9" t="s">
        <v>43</v>
      </c>
      <c r="J614" s="9" t="s">
        <v>2862</v>
      </c>
      <c r="K614" s="9" t="s">
        <v>2863</v>
      </c>
      <c r="L614" s="9" t="s">
        <v>22</v>
      </c>
      <c r="M614" s="9" t="s">
        <v>23</v>
      </c>
      <c r="N614" s="9" t="s">
        <v>149</v>
      </c>
      <c r="O614" s="9" t="s">
        <v>150</v>
      </c>
      <c r="P614" s="9">
        <v>19134</v>
      </c>
      <c r="Q614" s="9" t="s">
        <v>49</v>
      </c>
      <c r="R614" s="9" t="s">
        <v>2446</v>
      </c>
      <c r="S614" s="9" t="s">
        <v>66</v>
      </c>
      <c r="T614" s="9" t="s">
        <v>221</v>
      </c>
      <c r="U614" s="9" t="s">
        <v>2447</v>
      </c>
      <c r="V614" s="11">
        <v>394.81599999999997</v>
      </c>
      <c r="W614" s="9" t="str">
        <f t="shared" si="49"/>
        <v>Slow Delivery</v>
      </c>
    </row>
    <row r="615" spans="1:23" x14ac:dyDescent="0.25">
      <c r="A615" s="9">
        <v>1534</v>
      </c>
      <c r="B615" s="10" t="s">
        <v>2938</v>
      </c>
      <c r="C615" s="10">
        <v>43073</v>
      </c>
      <c r="D615" s="10">
        <v>43077</v>
      </c>
      <c r="E615" s="9">
        <f t="shared" si="46"/>
        <v>2017</v>
      </c>
      <c r="F615" s="10" t="str">
        <f t="shared" si="47"/>
        <v>Dec</v>
      </c>
      <c r="G615" s="9">
        <f t="shared" si="48"/>
        <v>12</v>
      </c>
      <c r="H615" s="9">
        <f t="shared" si="45"/>
        <v>4</v>
      </c>
      <c r="I615" s="9" t="s">
        <v>43</v>
      </c>
      <c r="J615" s="9" t="s">
        <v>2939</v>
      </c>
      <c r="K615" s="9" t="s">
        <v>2940</v>
      </c>
      <c r="L615" s="9" t="s">
        <v>87</v>
      </c>
      <c r="M615" s="9" t="s">
        <v>23</v>
      </c>
      <c r="N615" s="9" t="s">
        <v>47</v>
      </c>
      <c r="O615" s="9" t="s">
        <v>48</v>
      </c>
      <c r="P615" s="9">
        <v>10035</v>
      </c>
      <c r="Q615" s="9" t="s">
        <v>49</v>
      </c>
      <c r="R615" s="9" t="s">
        <v>2941</v>
      </c>
      <c r="S615" s="9" t="s">
        <v>66</v>
      </c>
      <c r="T615" s="9" t="s">
        <v>74</v>
      </c>
      <c r="U615" s="9" t="s">
        <v>2942</v>
      </c>
      <c r="V615" s="11">
        <v>212.88</v>
      </c>
      <c r="W615" s="9" t="str">
        <f t="shared" si="49"/>
        <v>Slow Delivery</v>
      </c>
    </row>
    <row r="616" spans="1:23" x14ac:dyDescent="0.25">
      <c r="A616" s="9">
        <v>5777</v>
      </c>
      <c r="B616" s="10" t="s">
        <v>2943</v>
      </c>
      <c r="C616" s="10">
        <v>43073</v>
      </c>
      <c r="D616" s="10">
        <v>43077</v>
      </c>
      <c r="E616" s="9">
        <f t="shared" si="46"/>
        <v>2017</v>
      </c>
      <c r="F616" s="10" t="str">
        <f t="shared" si="47"/>
        <v>Dec</v>
      </c>
      <c r="G616" s="9">
        <f t="shared" si="48"/>
        <v>12</v>
      </c>
      <c r="H616" s="9">
        <f t="shared" si="45"/>
        <v>4</v>
      </c>
      <c r="I616" s="9" t="s">
        <v>43</v>
      </c>
      <c r="J616" s="9" t="s">
        <v>2944</v>
      </c>
      <c r="K616" s="9" t="s">
        <v>2945</v>
      </c>
      <c r="L616" s="9" t="s">
        <v>22</v>
      </c>
      <c r="M616" s="9" t="s">
        <v>23</v>
      </c>
      <c r="N616" s="9" t="s">
        <v>2673</v>
      </c>
      <c r="O616" s="9" t="s">
        <v>48</v>
      </c>
      <c r="P616" s="9">
        <v>13021</v>
      </c>
      <c r="Q616" s="9" t="s">
        <v>49</v>
      </c>
      <c r="R616" s="9" t="s">
        <v>2946</v>
      </c>
      <c r="S616" s="9" t="s">
        <v>66</v>
      </c>
      <c r="T616" s="9" t="s">
        <v>103</v>
      </c>
      <c r="U616" s="9" t="s">
        <v>2947</v>
      </c>
      <c r="V616" s="11">
        <v>15.528</v>
      </c>
      <c r="W616" s="9" t="str">
        <f t="shared" si="49"/>
        <v>Slow Delivery</v>
      </c>
    </row>
    <row r="617" spans="1:23" x14ac:dyDescent="0.25">
      <c r="A617" s="9">
        <v>8306</v>
      </c>
      <c r="B617" s="10" t="s">
        <v>3215</v>
      </c>
      <c r="C617" s="10">
        <v>42958</v>
      </c>
      <c r="D617" s="10">
        <v>42963</v>
      </c>
      <c r="E617" s="9">
        <f t="shared" si="46"/>
        <v>2017</v>
      </c>
      <c r="F617" s="10" t="str">
        <f t="shared" si="47"/>
        <v>Aug</v>
      </c>
      <c r="G617" s="9">
        <f t="shared" si="48"/>
        <v>8</v>
      </c>
      <c r="H617" s="9">
        <f t="shared" si="45"/>
        <v>5</v>
      </c>
      <c r="I617" s="9" t="s">
        <v>43</v>
      </c>
      <c r="J617" s="9" t="s">
        <v>3216</v>
      </c>
      <c r="K617" s="9" t="s">
        <v>3217</v>
      </c>
      <c r="L617" s="9" t="s">
        <v>46</v>
      </c>
      <c r="M617" s="9" t="s">
        <v>23</v>
      </c>
      <c r="N617" s="9" t="s">
        <v>1115</v>
      </c>
      <c r="O617" s="9" t="s">
        <v>599</v>
      </c>
      <c r="P617" s="9">
        <v>74133</v>
      </c>
      <c r="Q617" s="9" t="s">
        <v>26</v>
      </c>
      <c r="R617" s="9" t="s">
        <v>1907</v>
      </c>
      <c r="S617" s="9" t="s">
        <v>66</v>
      </c>
      <c r="T617" s="9" t="s">
        <v>201</v>
      </c>
      <c r="U617" s="9" t="s">
        <v>1908</v>
      </c>
      <c r="V617" s="11">
        <v>32.4</v>
      </c>
      <c r="W617" s="9" t="str">
        <f t="shared" si="49"/>
        <v>Slow Delivery</v>
      </c>
    </row>
    <row r="618" spans="1:23" x14ac:dyDescent="0.25">
      <c r="A618" s="9">
        <v>6134</v>
      </c>
      <c r="B618" s="10" t="s">
        <v>3831</v>
      </c>
      <c r="C618" s="10">
        <v>42963</v>
      </c>
      <c r="D618" s="10">
        <v>42966</v>
      </c>
      <c r="E618" s="9">
        <f t="shared" si="46"/>
        <v>2017</v>
      </c>
      <c r="F618" s="10" t="str">
        <f t="shared" si="47"/>
        <v>Aug</v>
      </c>
      <c r="G618" s="9">
        <f t="shared" si="48"/>
        <v>8</v>
      </c>
      <c r="H618" s="9">
        <f t="shared" si="45"/>
        <v>3</v>
      </c>
      <c r="I618" s="9" t="s">
        <v>19</v>
      </c>
      <c r="J618" s="9" t="s">
        <v>3832</v>
      </c>
      <c r="K618" s="9" t="s">
        <v>3833</v>
      </c>
      <c r="L618" s="9" t="s">
        <v>87</v>
      </c>
      <c r="M618" s="9" t="s">
        <v>23</v>
      </c>
      <c r="N618" s="9" t="s">
        <v>213</v>
      </c>
      <c r="O618" s="9" t="s">
        <v>80</v>
      </c>
      <c r="P618" s="9">
        <v>90045</v>
      </c>
      <c r="Q618" s="9" t="s">
        <v>37</v>
      </c>
      <c r="R618" s="9" t="s">
        <v>3834</v>
      </c>
      <c r="S618" s="9" t="s">
        <v>39</v>
      </c>
      <c r="T618" s="9" t="s">
        <v>480</v>
      </c>
      <c r="U618" s="9" t="s">
        <v>3835</v>
      </c>
      <c r="V618" s="11">
        <v>161.28</v>
      </c>
      <c r="W618" s="9" t="str">
        <f t="shared" si="49"/>
        <v>Fast Delivery</v>
      </c>
    </row>
    <row r="619" spans="1:23" x14ac:dyDescent="0.25">
      <c r="A619" s="9">
        <v>2898</v>
      </c>
      <c r="B619" s="10" t="s">
        <v>2869</v>
      </c>
      <c r="C619" s="10">
        <v>42739</v>
      </c>
      <c r="D619" s="10">
        <v>42744</v>
      </c>
      <c r="E619" s="9">
        <f t="shared" si="46"/>
        <v>2017</v>
      </c>
      <c r="F619" s="10" t="str">
        <f t="shared" si="47"/>
        <v>Jan</v>
      </c>
      <c r="G619" s="9">
        <f t="shared" si="48"/>
        <v>1</v>
      </c>
      <c r="H619" s="9">
        <f t="shared" si="45"/>
        <v>5</v>
      </c>
      <c r="I619" s="9" t="s">
        <v>43</v>
      </c>
      <c r="J619" s="9" t="s">
        <v>2870</v>
      </c>
      <c r="K619" s="9" t="s">
        <v>2871</v>
      </c>
      <c r="L619" s="9" t="s">
        <v>87</v>
      </c>
      <c r="M619" s="9" t="s">
        <v>23</v>
      </c>
      <c r="N619" s="9" t="s">
        <v>136</v>
      </c>
      <c r="O619" s="9" t="s">
        <v>137</v>
      </c>
      <c r="P619" s="9">
        <v>28205</v>
      </c>
      <c r="Q619" s="9" t="s">
        <v>110</v>
      </c>
      <c r="R619" s="9" t="s">
        <v>2872</v>
      </c>
      <c r="S619" s="9" t="s">
        <v>28</v>
      </c>
      <c r="T619" s="9" t="s">
        <v>252</v>
      </c>
      <c r="U619" s="9" t="s">
        <v>2873</v>
      </c>
      <c r="V619" s="11">
        <v>959.96799999999996</v>
      </c>
      <c r="W619" s="9" t="str">
        <f t="shared" si="49"/>
        <v>Slow Delivery</v>
      </c>
    </row>
    <row r="620" spans="1:23" x14ac:dyDescent="0.25">
      <c r="A620" s="9">
        <v>2696</v>
      </c>
      <c r="B620" s="10" t="s">
        <v>3040</v>
      </c>
      <c r="C620" s="10">
        <v>42773</v>
      </c>
      <c r="D620" s="10">
        <v>42775</v>
      </c>
      <c r="E620" s="9">
        <f t="shared" si="46"/>
        <v>2017</v>
      </c>
      <c r="F620" s="10" t="str">
        <f t="shared" si="47"/>
        <v>Feb</v>
      </c>
      <c r="G620" s="9">
        <f t="shared" si="48"/>
        <v>2</v>
      </c>
      <c r="H620" s="9">
        <f t="shared" si="45"/>
        <v>2</v>
      </c>
      <c r="I620" s="9" t="s">
        <v>19</v>
      </c>
      <c r="J620" s="9" t="s">
        <v>3041</v>
      </c>
      <c r="K620" s="9" t="s">
        <v>3042</v>
      </c>
      <c r="L620" s="9" t="s">
        <v>22</v>
      </c>
      <c r="M620" s="9" t="s">
        <v>23</v>
      </c>
      <c r="N620" s="9" t="s">
        <v>562</v>
      </c>
      <c r="O620" s="9" t="s">
        <v>250</v>
      </c>
      <c r="P620" s="9">
        <v>43130</v>
      </c>
      <c r="Q620" s="9" t="s">
        <v>49</v>
      </c>
      <c r="R620" s="9" t="s">
        <v>3043</v>
      </c>
      <c r="S620" s="9" t="s">
        <v>66</v>
      </c>
      <c r="T620" s="9" t="s">
        <v>201</v>
      </c>
      <c r="U620" s="9" t="s">
        <v>3044</v>
      </c>
      <c r="V620" s="11">
        <v>30.352</v>
      </c>
      <c r="W620" s="9" t="str">
        <f t="shared" si="49"/>
        <v>Fast Delivery</v>
      </c>
    </row>
    <row r="621" spans="1:23" x14ac:dyDescent="0.25">
      <c r="A621" s="9">
        <v>5898</v>
      </c>
      <c r="B621" s="10" t="s">
        <v>2828</v>
      </c>
      <c r="C621" s="10">
        <v>42828</v>
      </c>
      <c r="D621" s="10">
        <v>42834</v>
      </c>
      <c r="E621" s="9">
        <f t="shared" si="46"/>
        <v>2017</v>
      </c>
      <c r="F621" s="10" t="str">
        <f t="shared" si="47"/>
        <v>Apr</v>
      </c>
      <c r="G621" s="9">
        <f t="shared" si="48"/>
        <v>4</v>
      </c>
      <c r="H621" s="9">
        <f t="shared" si="45"/>
        <v>6</v>
      </c>
      <c r="I621" s="9" t="s">
        <v>43</v>
      </c>
      <c r="J621" s="9" t="s">
        <v>2829</v>
      </c>
      <c r="K621" s="9" t="s">
        <v>2830</v>
      </c>
      <c r="L621" s="9" t="s">
        <v>22</v>
      </c>
      <c r="M621" s="9" t="s">
        <v>23</v>
      </c>
      <c r="N621" s="9" t="s">
        <v>206</v>
      </c>
      <c r="O621" s="9" t="s">
        <v>1825</v>
      </c>
      <c r="P621" s="9">
        <v>47374</v>
      </c>
      <c r="Q621" s="9" t="s">
        <v>26</v>
      </c>
      <c r="R621" s="9" t="s">
        <v>2831</v>
      </c>
      <c r="S621" s="9" t="s">
        <v>39</v>
      </c>
      <c r="T621" s="9" t="s">
        <v>112</v>
      </c>
      <c r="U621" s="9" t="s">
        <v>2832</v>
      </c>
      <c r="V621" s="11">
        <v>71.12</v>
      </c>
      <c r="W621" s="9" t="str">
        <f t="shared" si="49"/>
        <v>Slow Delivery</v>
      </c>
    </row>
    <row r="622" spans="1:23" x14ac:dyDescent="0.25">
      <c r="A622" s="9">
        <v>5440</v>
      </c>
      <c r="B622" s="10" t="s">
        <v>2891</v>
      </c>
      <c r="C622" s="10">
        <v>42829</v>
      </c>
      <c r="D622" s="10">
        <v>42834</v>
      </c>
      <c r="E622" s="9">
        <f t="shared" si="46"/>
        <v>2017</v>
      </c>
      <c r="F622" s="10" t="str">
        <f t="shared" si="47"/>
        <v>Apr</v>
      </c>
      <c r="G622" s="9">
        <f t="shared" si="48"/>
        <v>4</v>
      </c>
      <c r="H622" s="9">
        <f t="shared" si="45"/>
        <v>5</v>
      </c>
      <c r="I622" s="9" t="s">
        <v>43</v>
      </c>
      <c r="J622" s="9" t="s">
        <v>2892</v>
      </c>
      <c r="K622" s="9" t="s">
        <v>2893</v>
      </c>
      <c r="L622" s="9" t="s">
        <v>22</v>
      </c>
      <c r="M622" s="9" t="s">
        <v>23</v>
      </c>
      <c r="N622" s="9" t="s">
        <v>47</v>
      </c>
      <c r="O622" s="9" t="s">
        <v>48</v>
      </c>
      <c r="P622" s="9">
        <v>10035</v>
      </c>
      <c r="Q622" s="9" t="s">
        <v>49</v>
      </c>
      <c r="R622" s="9" t="s">
        <v>1355</v>
      </c>
      <c r="S622" s="9" t="s">
        <v>66</v>
      </c>
      <c r="T622" s="9" t="s">
        <v>103</v>
      </c>
      <c r="U622" s="9" t="s">
        <v>1356</v>
      </c>
      <c r="V622" s="11">
        <v>588.78399999999999</v>
      </c>
      <c r="W622" s="9" t="str">
        <f t="shared" si="49"/>
        <v>Slow Delivery</v>
      </c>
    </row>
    <row r="623" spans="1:23" x14ac:dyDescent="0.25">
      <c r="A623" s="9">
        <v>2589</v>
      </c>
      <c r="B623" s="10" t="s">
        <v>2956</v>
      </c>
      <c r="C623" s="10">
        <v>42860</v>
      </c>
      <c r="D623" s="10">
        <v>42864</v>
      </c>
      <c r="E623" s="9">
        <f t="shared" si="46"/>
        <v>2017</v>
      </c>
      <c r="F623" s="10" t="str">
        <f t="shared" si="47"/>
        <v>May</v>
      </c>
      <c r="G623" s="9">
        <f t="shared" si="48"/>
        <v>5</v>
      </c>
      <c r="H623" s="9">
        <f t="shared" si="45"/>
        <v>4</v>
      </c>
      <c r="I623" s="9" t="s">
        <v>43</v>
      </c>
      <c r="J623" s="9" t="s">
        <v>2957</v>
      </c>
      <c r="K623" s="9" t="s">
        <v>2958</v>
      </c>
      <c r="L623" s="9" t="s">
        <v>46</v>
      </c>
      <c r="M623" s="9" t="s">
        <v>23</v>
      </c>
      <c r="N623" s="9" t="s">
        <v>213</v>
      </c>
      <c r="O623" s="9" t="s">
        <v>80</v>
      </c>
      <c r="P623" s="9">
        <v>90004</v>
      </c>
      <c r="Q623" s="9" t="s">
        <v>37</v>
      </c>
      <c r="R623" s="9" t="s">
        <v>2440</v>
      </c>
      <c r="S623" s="9" t="s">
        <v>66</v>
      </c>
      <c r="T623" s="9" t="s">
        <v>74</v>
      </c>
      <c r="U623" s="9" t="s">
        <v>2441</v>
      </c>
      <c r="V623" s="11">
        <v>5.98</v>
      </c>
      <c r="W623" s="9" t="str">
        <f t="shared" si="49"/>
        <v>Slow Delivery</v>
      </c>
    </row>
    <row r="624" spans="1:23" x14ac:dyDescent="0.25">
      <c r="A624" s="9">
        <v>5085</v>
      </c>
      <c r="B624" s="10" t="s">
        <v>3012</v>
      </c>
      <c r="C624" s="10">
        <v>42892</v>
      </c>
      <c r="D624" s="10">
        <v>42895</v>
      </c>
      <c r="E624" s="9">
        <f t="shared" si="46"/>
        <v>2017</v>
      </c>
      <c r="F624" s="10" t="str">
        <f t="shared" si="47"/>
        <v>Jun</v>
      </c>
      <c r="G624" s="9">
        <f t="shared" si="48"/>
        <v>6</v>
      </c>
      <c r="H624" s="9">
        <f t="shared" si="45"/>
        <v>3</v>
      </c>
      <c r="I624" s="9" t="s">
        <v>32</v>
      </c>
      <c r="J624" s="9" t="s">
        <v>3013</v>
      </c>
      <c r="K624" s="9" t="s">
        <v>3014</v>
      </c>
      <c r="L624" s="9" t="s">
        <v>87</v>
      </c>
      <c r="M624" s="9" t="s">
        <v>23</v>
      </c>
      <c r="N624" s="9" t="s">
        <v>262</v>
      </c>
      <c r="O624" s="9" t="s">
        <v>89</v>
      </c>
      <c r="P624" s="9">
        <v>1852</v>
      </c>
      <c r="Q624" s="9" t="s">
        <v>49</v>
      </c>
      <c r="R624" s="9" t="s">
        <v>3015</v>
      </c>
      <c r="S624" s="9" t="s">
        <v>66</v>
      </c>
      <c r="T624" s="9" t="s">
        <v>201</v>
      </c>
      <c r="U624" s="9" t="s">
        <v>3016</v>
      </c>
      <c r="V624" s="11">
        <v>105.52</v>
      </c>
      <c r="W624" s="9" t="str">
        <f t="shared" si="49"/>
        <v>Fast Delivery</v>
      </c>
    </row>
    <row r="625" spans="1:23" x14ac:dyDescent="0.25">
      <c r="A625" s="9">
        <v>3983</v>
      </c>
      <c r="B625" s="10" t="s">
        <v>3050</v>
      </c>
      <c r="C625" s="10">
        <v>42923</v>
      </c>
      <c r="D625" s="10">
        <v>42925</v>
      </c>
      <c r="E625" s="9">
        <f t="shared" si="46"/>
        <v>2017</v>
      </c>
      <c r="F625" s="10" t="str">
        <f t="shared" si="47"/>
        <v>Jul</v>
      </c>
      <c r="G625" s="9">
        <f t="shared" si="48"/>
        <v>7</v>
      </c>
      <c r="H625" s="9">
        <f t="shared" si="45"/>
        <v>2</v>
      </c>
      <c r="I625" s="9" t="s">
        <v>32</v>
      </c>
      <c r="J625" s="9" t="s">
        <v>3051</v>
      </c>
      <c r="K625" s="9" t="s">
        <v>3052</v>
      </c>
      <c r="L625" s="9" t="s">
        <v>22</v>
      </c>
      <c r="M625" s="9" t="s">
        <v>23</v>
      </c>
      <c r="N625" s="9" t="s">
        <v>213</v>
      </c>
      <c r="O625" s="9" t="s">
        <v>80</v>
      </c>
      <c r="P625" s="9">
        <v>90045</v>
      </c>
      <c r="Q625" s="9" t="s">
        <v>37</v>
      </c>
      <c r="R625" s="9" t="s">
        <v>3053</v>
      </c>
      <c r="S625" s="9" t="s">
        <v>39</v>
      </c>
      <c r="T625" s="9" t="s">
        <v>40</v>
      </c>
      <c r="U625" s="9" t="s">
        <v>3054</v>
      </c>
      <c r="V625" s="11">
        <v>287.96800000000002</v>
      </c>
      <c r="W625" s="9" t="str">
        <f t="shared" si="49"/>
        <v>Fast Delivery</v>
      </c>
    </row>
    <row r="626" spans="1:23" x14ac:dyDescent="0.25">
      <c r="A626" s="9">
        <v>8737</v>
      </c>
      <c r="B626" s="10" t="s">
        <v>2911</v>
      </c>
      <c r="C626" s="10">
        <v>42982</v>
      </c>
      <c r="D626" s="10">
        <v>42987</v>
      </c>
      <c r="E626" s="9">
        <f t="shared" si="46"/>
        <v>2017</v>
      </c>
      <c r="F626" s="10" t="str">
        <f t="shared" si="47"/>
        <v>Sep</v>
      </c>
      <c r="G626" s="9">
        <f t="shared" si="48"/>
        <v>9</v>
      </c>
      <c r="H626" s="9">
        <f t="shared" si="45"/>
        <v>5</v>
      </c>
      <c r="I626" s="9" t="s">
        <v>43</v>
      </c>
      <c r="J626" s="9" t="s">
        <v>2912</v>
      </c>
      <c r="K626" s="9" t="s">
        <v>2913</v>
      </c>
      <c r="L626" s="9" t="s">
        <v>87</v>
      </c>
      <c r="M626" s="9" t="s">
        <v>23</v>
      </c>
      <c r="N626" s="9" t="s">
        <v>2914</v>
      </c>
      <c r="O626" s="9" t="s">
        <v>96</v>
      </c>
      <c r="P626" s="9">
        <v>55125</v>
      </c>
      <c r="Q626" s="9" t="s">
        <v>26</v>
      </c>
      <c r="R626" s="9" t="s">
        <v>2915</v>
      </c>
      <c r="S626" s="9" t="s">
        <v>66</v>
      </c>
      <c r="T626" s="9" t="s">
        <v>74</v>
      </c>
      <c r="U626" s="9" t="s">
        <v>2916</v>
      </c>
      <c r="V626" s="11">
        <v>535.41</v>
      </c>
      <c r="W626" s="9" t="str">
        <f t="shared" si="49"/>
        <v>Slow Delivery</v>
      </c>
    </row>
    <row r="627" spans="1:23" x14ac:dyDescent="0.25">
      <c r="A627" s="9">
        <v>3617</v>
      </c>
      <c r="B627" s="10" t="s">
        <v>2967</v>
      </c>
      <c r="C627" s="10">
        <v>42983</v>
      </c>
      <c r="D627" s="10">
        <v>42987</v>
      </c>
      <c r="E627" s="9">
        <f t="shared" si="46"/>
        <v>2017</v>
      </c>
      <c r="F627" s="10" t="str">
        <f t="shared" si="47"/>
        <v>Sep</v>
      </c>
      <c r="G627" s="9">
        <f t="shared" si="48"/>
        <v>9</v>
      </c>
      <c r="H627" s="9">
        <f t="shared" si="45"/>
        <v>4</v>
      </c>
      <c r="I627" s="9" t="s">
        <v>43</v>
      </c>
      <c r="J627" s="9" t="s">
        <v>2968</v>
      </c>
      <c r="K627" s="9" t="s">
        <v>2969</v>
      </c>
      <c r="L627" s="9" t="s">
        <v>22</v>
      </c>
      <c r="M627" s="9" t="s">
        <v>23</v>
      </c>
      <c r="N627" s="9" t="s">
        <v>149</v>
      </c>
      <c r="O627" s="9" t="s">
        <v>150</v>
      </c>
      <c r="P627" s="9">
        <v>19120</v>
      </c>
      <c r="Q627" s="9" t="s">
        <v>49</v>
      </c>
      <c r="R627" s="9" t="s">
        <v>2970</v>
      </c>
      <c r="S627" s="9" t="s">
        <v>66</v>
      </c>
      <c r="T627" s="9" t="s">
        <v>103</v>
      </c>
      <c r="U627" s="9" t="s">
        <v>2971</v>
      </c>
      <c r="V627" s="11">
        <v>9.5549999999999997</v>
      </c>
      <c r="W627" s="9" t="str">
        <f t="shared" si="49"/>
        <v>Slow Delivery</v>
      </c>
    </row>
    <row r="628" spans="1:23" x14ac:dyDescent="0.25">
      <c r="A628" s="9">
        <v>7591</v>
      </c>
      <c r="B628" s="10" t="s">
        <v>2977</v>
      </c>
      <c r="C628" s="10">
        <v>42983</v>
      </c>
      <c r="D628" s="10">
        <v>42987</v>
      </c>
      <c r="E628" s="9">
        <f t="shared" si="46"/>
        <v>2017</v>
      </c>
      <c r="F628" s="10" t="str">
        <f t="shared" si="47"/>
        <v>Sep</v>
      </c>
      <c r="G628" s="9">
        <f t="shared" si="48"/>
        <v>9</v>
      </c>
      <c r="H628" s="9">
        <f t="shared" si="45"/>
        <v>4</v>
      </c>
      <c r="I628" s="9" t="s">
        <v>43</v>
      </c>
      <c r="J628" s="9" t="s">
        <v>2978</v>
      </c>
      <c r="K628" s="9" t="s">
        <v>2979</v>
      </c>
      <c r="L628" s="9" t="s">
        <v>22</v>
      </c>
      <c r="M628" s="9" t="s">
        <v>23</v>
      </c>
      <c r="N628" s="9" t="s">
        <v>149</v>
      </c>
      <c r="O628" s="9" t="s">
        <v>150</v>
      </c>
      <c r="P628" s="9">
        <v>19134</v>
      </c>
      <c r="Q628" s="9" t="s">
        <v>49</v>
      </c>
      <c r="R628" s="9" t="s">
        <v>2980</v>
      </c>
      <c r="S628" s="9" t="s">
        <v>39</v>
      </c>
      <c r="T628" s="9" t="s">
        <v>112</v>
      </c>
      <c r="U628" s="9" t="s">
        <v>2981</v>
      </c>
      <c r="V628" s="11">
        <v>58.247999999999998</v>
      </c>
      <c r="W628" s="9" t="str">
        <f t="shared" si="49"/>
        <v>Slow Delivery</v>
      </c>
    </row>
    <row r="629" spans="1:23" x14ac:dyDescent="0.25">
      <c r="A629" s="9">
        <v>4751</v>
      </c>
      <c r="B629" s="10" t="s">
        <v>3066</v>
      </c>
      <c r="C629" s="10">
        <v>43015</v>
      </c>
      <c r="D629" s="10">
        <v>43017</v>
      </c>
      <c r="E629" s="9">
        <f t="shared" si="46"/>
        <v>2017</v>
      </c>
      <c r="F629" s="10" t="str">
        <f t="shared" si="47"/>
        <v>Oct</v>
      </c>
      <c r="G629" s="9">
        <f t="shared" si="48"/>
        <v>10</v>
      </c>
      <c r="H629" s="9">
        <f t="shared" si="45"/>
        <v>2</v>
      </c>
      <c r="I629" s="9" t="s">
        <v>19</v>
      </c>
      <c r="J629" s="9" t="s">
        <v>3067</v>
      </c>
      <c r="K629" s="9" t="s">
        <v>3068</v>
      </c>
      <c r="L629" s="9" t="s">
        <v>87</v>
      </c>
      <c r="M629" s="9" t="s">
        <v>23</v>
      </c>
      <c r="N629" s="9" t="s">
        <v>2130</v>
      </c>
      <c r="O629" s="9" t="s">
        <v>36</v>
      </c>
      <c r="P629" s="9">
        <v>99207</v>
      </c>
      <c r="Q629" s="9" t="s">
        <v>37</v>
      </c>
      <c r="R629" s="9" t="s">
        <v>3069</v>
      </c>
      <c r="S629" s="9" t="s">
        <v>28</v>
      </c>
      <c r="T629" s="9" t="s">
        <v>364</v>
      </c>
      <c r="U629" s="9" t="s">
        <v>3070</v>
      </c>
      <c r="V629" s="11">
        <v>837.6</v>
      </c>
      <c r="W629" s="9" t="str">
        <f t="shared" si="49"/>
        <v>Fast Delivery</v>
      </c>
    </row>
    <row r="630" spans="1:23" x14ac:dyDescent="0.25">
      <c r="A630" s="9">
        <v>7046</v>
      </c>
      <c r="B630" s="10" t="s">
        <v>2856</v>
      </c>
      <c r="C630" s="10">
        <v>43042</v>
      </c>
      <c r="D630" s="10">
        <v>43048</v>
      </c>
      <c r="E630" s="9">
        <f t="shared" si="46"/>
        <v>2017</v>
      </c>
      <c r="F630" s="10" t="str">
        <f t="shared" si="47"/>
        <v>Nov</v>
      </c>
      <c r="G630" s="9">
        <f t="shared" si="48"/>
        <v>11</v>
      </c>
      <c r="H630" s="9">
        <f t="shared" si="45"/>
        <v>6</v>
      </c>
      <c r="I630" s="9" t="s">
        <v>43</v>
      </c>
      <c r="J630" s="9" t="s">
        <v>2857</v>
      </c>
      <c r="K630" s="9" t="s">
        <v>2858</v>
      </c>
      <c r="L630" s="9" t="s">
        <v>87</v>
      </c>
      <c r="M630" s="9" t="s">
        <v>23</v>
      </c>
      <c r="N630" s="9" t="s">
        <v>556</v>
      </c>
      <c r="O630" s="9" t="s">
        <v>64</v>
      </c>
      <c r="P630" s="9">
        <v>75217</v>
      </c>
      <c r="Q630" s="9" t="s">
        <v>26</v>
      </c>
      <c r="R630" s="9" t="s">
        <v>2859</v>
      </c>
      <c r="S630" s="9" t="s">
        <v>66</v>
      </c>
      <c r="T630" s="9" t="s">
        <v>201</v>
      </c>
      <c r="U630" s="9" t="s">
        <v>2860</v>
      </c>
      <c r="V630" s="11">
        <v>9.2479999999999993</v>
      </c>
      <c r="W630" s="9" t="str">
        <f t="shared" si="49"/>
        <v>Slow Delivery</v>
      </c>
    </row>
    <row r="631" spans="1:23" x14ac:dyDescent="0.25">
      <c r="A631" s="9">
        <v>6729</v>
      </c>
      <c r="B631" s="10" t="s">
        <v>2928</v>
      </c>
      <c r="C631" s="10">
        <v>43043</v>
      </c>
      <c r="D631" s="10">
        <v>43048</v>
      </c>
      <c r="E631" s="9">
        <f t="shared" si="46"/>
        <v>2017</v>
      </c>
      <c r="F631" s="10" t="str">
        <f t="shared" si="47"/>
        <v>Nov</v>
      </c>
      <c r="G631" s="9">
        <f t="shared" si="48"/>
        <v>11</v>
      </c>
      <c r="H631" s="9">
        <f t="shared" si="45"/>
        <v>5</v>
      </c>
      <c r="I631" s="9" t="s">
        <v>43</v>
      </c>
      <c r="J631" s="9" t="s">
        <v>2929</v>
      </c>
      <c r="K631" s="9" t="s">
        <v>2930</v>
      </c>
      <c r="L631" s="9" t="s">
        <v>87</v>
      </c>
      <c r="M631" s="9" t="s">
        <v>23</v>
      </c>
      <c r="N631" s="9" t="s">
        <v>1502</v>
      </c>
      <c r="O631" s="9" t="s">
        <v>130</v>
      </c>
      <c r="P631" s="9">
        <v>33180</v>
      </c>
      <c r="Q631" s="9" t="s">
        <v>110</v>
      </c>
      <c r="R631" s="9" t="s">
        <v>2931</v>
      </c>
      <c r="S631" s="9" t="s">
        <v>39</v>
      </c>
      <c r="T631" s="9" t="s">
        <v>112</v>
      </c>
      <c r="U631" s="9" t="s">
        <v>2932</v>
      </c>
      <c r="V631" s="11">
        <v>50.496000000000002</v>
      </c>
      <c r="W631" s="9" t="str">
        <f t="shared" si="49"/>
        <v>Slow Delivery</v>
      </c>
    </row>
    <row r="632" spans="1:23" x14ac:dyDescent="0.25">
      <c r="A632" s="9">
        <v>4971</v>
      </c>
      <c r="B632" s="10" t="s">
        <v>3024</v>
      </c>
      <c r="C632" s="10">
        <v>43045</v>
      </c>
      <c r="D632" s="10">
        <v>43048</v>
      </c>
      <c r="E632" s="9">
        <f t="shared" si="46"/>
        <v>2017</v>
      </c>
      <c r="F632" s="10" t="str">
        <f t="shared" si="47"/>
        <v>Nov</v>
      </c>
      <c r="G632" s="9">
        <f t="shared" si="48"/>
        <v>11</v>
      </c>
      <c r="H632" s="9">
        <f t="shared" si="45"/>
        <v>3</v>
      </c>
      <c r="I632" s="9" t="s">
        <v>19</v>
      </c>
      <c r="J632" s="9" t="s">
        <v>3025</v>
      </c>
      <c r="K632" s="9" t="s">
        <v>3026</v>
      </c>
      <c r="L632" s="9" t="s">
        <v>87</v>
      </c>
      <c r="M632" s="9" t="s">
        <v>23</v>
      </c>
      <c r="N632" s="9" t="s">
        <v>243</v>
      </c>
      <c r="O632" s="9" t="s">
        <v>130</v>
      </c>
      <c r="P632" s="9">
        <v>32216</v>
      </c>
      <c r="Q632" s="9" t="s">
        <v>110</v>
      </c>
      <c r="R632" s="9" t="s">
        <v>2469</v>
      </c>
      <c r="S632" s="9" t="s">
        <v>39</v>
      </c>
      <c r="T632" s="9" t="s">
        <v>40</v>
      </c>
      <c r="U632" s="9" t="s">
        <v>2470</v>
      </c>
      <c r="V632" s="11">
        <v>207.98400000000001</v>
      </c>
      <c r="W632" s="9" t="str">
        <f t="shared" si="49"/>
        <v>Fast Delivery</v>
      </c>
    </row>
    <row r="633" spans="1:23" x14ac:dyDescent="0.25">
      <c r="A633" s="9">
        <v>6160</v>
      </c>
      <c r="B633" s="10" t="s">
        <v>2864</v>
      </c>
      <c r="C633" s="10">
        <v>43072</v>
      </c>
      <c r="D633" s="10">
        <v>43078</v>
      </c>
      <c r="E633" s="9">
        <f t="shared" si="46"/>
        <v>2017</v>
      </c>
      <c r="F633" s="10" t="str">
        <f t="shared" si="47"/>
        <v>Dec</v>
      </c>
      <c r="G633" s="9">
        <f t="shared" si="48"/>
        <v>12</v>
      </c>
      <c r="H633" s="9">
        <f t="shared" si="45"/>
        <v>6</v>
      </c>
      <c r="I633" s="9" t="s">
        <v>43</v>
      </c>
      <c r="J633" s="9" t="s">
        <v>2865</v>
      </c>
      <c r="K633" s="9" t="s">
        <v>2866</v>
      </c>
      <c r="L633" s="9" t="s">
        <v>22</v>
      </c>
      <c r="M633" s="9" t="s">
        <v>23</v>
      </c>
      <c r="N633" s="9" t="s">
        <v>213</v>
      </c>
      <c r="O633" s="9" t="s">
        <v>80</v>
      </c>
      <c r="P633" s="9">
        <v>90049</v>
      </c>
      <c r="Q633" s="9" t="s">
        <v>37</v>
      </c>
      <c r="R633" s="9" t="s">
        <v>2867</v>
      </c>
      <c r="S633" s="9" t="s">
        <v>66</v>
      </c>
      <c r="T633" s="9" t="s">
        <v>74</v>
      </c>
      <c r="U633" s="9" t="s">
        <v>2868</v>
      </c>
      <c r="V633" s="11">
        <v>772.68</v>
      </c>
      <c r="W633" s="9" t="str">
        <f t="shared" si="49"/>
        <v>Slow Delivery</v>
      </c>
    </row>
    <row r="634" spans="1:23" x14ac:dyDescent="0.25">
      <c r="A634" s="9">
        <v>148</v>
      </c>
      <c r="B634" s="10" t="s">
        <v>2992</v>
      </c>
      <c r="C634" s="10">
        <v>43074</v>
      </c>
      <c r="D634" s="10">
        <v>43078</v>
      </c>
      <c r="E634" s="9">
        <f t="shared" si="46"/>
        <v>2017</v>
      </c>
      <c r="F634" s="10" t="str">
        <f t="shared" si="47"/>
        <v>Dec</v>
      </c>
      <c r="G634" s="9">
        <f t="shared" si="48"/>
        <v>12</v>
      </c>
      <c r="H634" s="9">
        <f t="shared" si="45"/>
        <v>4</v>
      </c>
      <c r="I634" s="9" t="s">
        <v>43</v>
      </c>
      <c r="J634" s="9" t="s">
        <v>2993</v>
      </c>
      <c r="K634" s="9" t="s">
        <v>2994</v>
      </c>
      <c r="L634" s="9" t="s">
        <v>87</v>
      </c>
      <c r="M634" s="9" t="s">
        <v>23</v>
      </c>
      <c r="N634" s="9" t="s">
        <v>1758</v>
      </c>
      <c r="O634" s="9" t="s">
        <v>25</v>
      </c>
      <c r="P634" s="9">
        <v>53132</v>
      </c>
      <c r="Q634" s="9" t="s">
        <v>26</v>
      </c>
      <c r="R634" s="9" t="s">
        <v>2995</v>
      </c>
      <c r="S634" s="9" t="s">
        <v>28</v>
      </c>
      <c r="T634" s="9" t="s">
        <v>51</v>
      </c>
      <c r="U634" s="9" t="s">
        <v>2996</v>
      </c>
      <c r="V634" s="11">
        <v>384.45</v>
      </c>
      <c r="W634" s="9" t="str">
        <f t="shared" si="49"/>
        <v>Slow Delivery</v>
      </c>
    </row>
    <row r="635" spans="1:23" x14ac:dyDescent="0.25">
      <c r="A635" s="9">
        <v>8807</v>
      </c>
      <c r="B635" s="10" t="s">
        <v>3261</v>
      </c>
      <c r="C635" s="10">
        <v>42990</v>
      </c>
      <c r="D635" s="10">
        <v>42994</v>
      </c>
      <c r="E635" s="9">
        <f t="shared" si="46"/>
        <v>2017</v>
      </c>
      <c r="F635" s="10" t="str">
        <f t="shared" si="47"/>
        <v>Sep</v>
      </c>
      <c r="G635" s="9">
        <f t="shared" si="48"/>
        <v>9</v>
      </c>
      <c r="H635" s="9">
        <f t="shared" si="45"/>
        <v>4</v>
      </c>
      <c r="I635" s="9" t="s">
        <v>43</v>
      </c>
      <c r="J635" s="9" t="s">
        <v>3262</v>
      </c>
      <c r="K635" s="9" t="s">
        <v>3263</v>
      </c>
      <c r="L635" s="9" t="s">
        <v>87</v>
      </c>
      <c r="M635" s="9" t="s">
        <v>23</v>
      </c>
      <c r="N635" s="9" t="s">
        <v>3264</v>
      </c>
      <c r="O635" s="9" t="s">
        <v>48</v>
      </c>
      <c r="P635" s="9">
        <v>13501</v>
      </c>
      <c r="Q635" s="9" t="s">
        <v>49</v>
      </c>
      <c r="R635" s="9" t="s">
        <v>3265</v>
      </c>
      <c r="S635" s="9" t="s">
        <v>39</v>
      </c>
      <c r="T635" s="9" t="s">
        <v>112</v>
      </c>
      <c r="U635" s="9" t="s">
        <v>3266</v>
      </c>
      <c r="V635" s="11">
        <v>40.479999999999997</v>
      </c>
      <c r="W635" s="9" t="str">
        <f t="shared" si="49"/>
        <v>Slow Delivery</v>
      </c>
    </row>
    <row r="636" spans="1:23" x14ac:dyDescent="0.25">
      <c r="A636" s="9">
        <v>8783</v>
      </c>
      <c r="B636" s="10" t="s">
        <v>3804</v>
      </c>
      <c r="C636" s="10">
        <v>42993</v>
      </c>
      <c r="D636" s="10">
        <v>42998</v>
      </c>
      <c r="E636" s="9">
        <f t="shared" si="46"/>
        <v>2017</v>
      </c>
      <c r="F636" s="10" t="str">
        <f t="shared" si="47"/>
        <v>Sep</v>
      </c>
      <c r="G636" s="9">
        <f t="shared" si="48"/>
        <v>9</v>
      </c>
      <c r="H636" s="9">
        <f t="shared" si="45"/>
        <v>5</v>
      </c>
      <c r="I636" s="9" t="s">
        <v>43</v>
      </c>
      <c r="J636" s="9" t="s">
        <v>3805</v>
      </c>
      <c r="K636" s="9" t="s">
        <v>3806</v>
      </c>
      <c r="L636" s="9" t="s">
        <v>87</v>
      </c>
      <c r="M636" s="9" t="s">
        <v>23</v>
      </c>
      <c r="N636" s="9" t="s">
        <v>3807</v>
      </c>
      <c r="O636" s="9" t="s">
        <v>1468</v>
      </c>
      <c r="P636" s="9">
        <v>83301</v>
      </c>
      <c r="Q636" s="9" t="s">
        <v>37</v>
      </c>
      <c r="R636" s="9" t="s">
        <v>3808</v>
      </c>
      <c r="S636" s="9" t="s">
        <v>66</v>
      </c>
      <c r="T636" s="9" t="s">
        <v>103</v>
      </c>
      <c r="U636" s="9" t="s">
        <v>3809</v>
      </c>
      <c r="V636" s="11">
        <v>20.416</v>
      </c>
      <c r="W636" s="9" t="str">
        <f t="shared" si="49"/>
        <v>Slow Delivery</v>
      </c>
    </row>
    <row r="637" spans="1:23" x14ac:dyDescent="0.25">
      <c r="A637" s="9">
        <v>2607</v>
      </c>
      <c r="B637" s="10" t="s">
        <v>2883</v>
      </c>
      <c r="C637" s="10">
        <v>42798</v>
      </c>
      <c r="D637" s="10">
        <v>42804</v>
      </c>
      <c r="E637" s="9">
        <f t="shared" si="46"/>
        <v>2017</v>
      </c>
      <c r="F637" s="10" t="str">
        <f t="shared" si="47"/>
        <v>Mar</v>
      </c>
      <c r="G637" s="9">
        <f t="shared" si="48"/>
        <v>3</v>
      </c>
      <c r="H637" s="9">
        <f t="shared" si="45"/>
        <v>6</v>
      </c>
      <c r="I637" s="9" t="s">
        <v>43</v>
      </c>
      <c r="J637" s="9" t="s">
        <v>2884</v>
      </c>
      <c r="K637" s="9" t="s">
        <v>2885</v>
      </c>
      <c r="L637" s="9" t="s">
        <v>46</v>
      </c>
      <c r="M637" s="9" t="s">
        <v>23</v>
      </c>
      <c r="N637" s="9" t="s">
        <v>268</v>
      </c>
      <c r="O637" s="9" t="s">
        <v>80</v>
      </c>
      <c r="P637" s="9">
        <v>92024</v>
      </c>
      <c r="Q637" s="9" t="s">
        <v>37</v>
      </c>
      <c r="R637" s="9" t="s">
        <v>2886</v>
      </c>
      <c r="S637" s="9" t="s">
        <v>66</v>
      </c>
      <c r="T637" s="9" t="s">
        <v>158</v>
      </c>
      <c r="U637" s="9" t="s">
        <v>2887</v>
      </c>
      <c r="V637" s="11">
        <v>16.989999999999998</v>
      </c>
      <c r="W637" s="9" t="str">
        <f t="shared" si="49"/>
        <v>Slow Delivery</v>
      </c>
    </row>
    <row r="638" spans="1:23" x14ac:dyDescent="0.25">
      <c r="A638" s="9">
        <v>3005</v>
      </c>
      <c r="B638" s="10" t="s">
        <v>3107</v>
      </c>
      <c r="C638" s="10">
        <v>42986</v>
      </c>
      <c r="D638" s="10">
        <v>42988</v>
      </c>
      <c r="E638" s="9">
        <f t="shared" si="46"/>
        <v>2017</v>
      </c>
      <c r="F638" s="10" t="str">
        <f t="shared" si="47"/>
        <v>Sep</v>
      </c>
      <c r="G638" s="9">
        <f t="shared" si="48"/>
        <v>9</v>
      </c>
      <c r="H638" s="9">
        <f t="shared" si="45"/>
        <v>2</v>
      </c>
      <c r="I638" s="9" t="s">
        <v>19</v>
      </c>
      <c r="J638" s="9" t="s">
        <v>3108</v>
      </c>
      <c r="K638" s="9" t="s">
        <v>3109</v>
      </c>
      <c r="L638" s="9" t="s">
        <v>46</v>
      </c>
      <c r="M638" s="9" t="s">
        <v>23</v>
      </c>
      <c r="N638" s="9" t="s">
        <v>47</v>
      </c>
      <c r="O638" s="9" t="s">
        <v>48</v>
      </c>
      <c r="P638" s="9">
        <v>10011</v>
      </c>
      <c r="Q638" s="9" t="s">
        <v>49</v>
      </c>
      <c r="R638" s="9" t="s">
        <v>3110</v>
      </c>
      <c r="S638" s="9" t="s">
        <v>66</v>
      </c>
      <c r="T638" s="9" t="s">
        <v>221</v>
      </c>
      <c r="U638" s="9" t="s">
        <v>3111</v>
      </c>
      <c r="V638" s="11">
        <v>207.48</v>
      </c>
      <c r="W638" s="9" t="str">
        <f t="shared" si="49"/>
        <v>Fast Delivery</v>
      </c>
    </row>
    <row r="639" spans="1:23" x14ac:dyDescent="0.25">
      <c r="A639" s="9">
        <v>6377</v>
      </c>
      <c r="B639" s="10" t="s">
        <v>3071</v>
      </c>
      <c r="C639" s="10">
        <v>43015</v>
      </c>
      <c r="D639" s="10">
        <v>43018</v>
      </c>
      <c r="E639" s="9">
        <f t="shared" si="46"/>
        <v>2017</v>
      </c>
      <c r="F639" s="10" t="str">
        <f t="shared" si="47"/>
        <v>Oct</v>
      </c>
      <c r="G639" s="9">
        <f t="shared" si="48"/>
        <v>10</v>
      </c>
      <c r="H639" s="9">
        <f t="shared" si="45"/>
        <v>3</v>
      </c>
      <c r="I639" s="9" t="s">
        <v>19</v>
      </c>
      <c r="J639" s="9" t="s">
        <v>3072</v>
      </c>
      <c r="K639" s="9" t="s">
        <v>3073</v>
      </c>
      <c r="L639" s="9" t="s">
        <v>46</v>
      </c>
      <c r="M639" s="9" t="s">
        <v>23</v>
      </c>
      <c r="N639" s="9" t="s">
        <v>149</v>
      </c>
      <c r="O639" s="9" t="s">
        <v>150</v>
      </c>
      <c r="P639" s="9">
        <v>19143</v>
      </c>
      <c r="Q639" s="9" t="s">
        <v>49</v>
      </c>
      <c r="R639" s="9" t="s">
        <v>3074</v>
      </c>
      <c r="S639" s="9" t="s">
        <v>66</v>
      </c>
      <c r="T639" s="9" t="s">
        <v>82</v>
      </c>
      <c r="U639" s="9" t="s">
        <v>3075</v>
      </c>
      <c r="V639" s="11">
        <v>4.9279999999999999</v>
      </c>
      <c r="W639" s="9" t="str">
        <f t="shared" si="49"/>
        <v>Fast Delivery</v>
      </c>
    </row>
    <row r="640" spans="1:23" x14ac:dyDescent="0.25">
      <c r="A640" s="9">
        <v>4370</v>
      </c>
      <c r="B640" s="10" t="s">
        <v>2987</v>
      </c>
      <c r="C640" s="10">
        <v>43044</v>
      </c>
      <c r="D640" s="10">
        <v>43049</v>
      </c>
      <c r="E640" s="9">
        <f t="shared" si="46"/>
        <v>2017</v>
      </c>
      <c r="F640" s="10" t="str">
        <f t="shared" si="47"/>
        <v>Nov</v>
      </c>
      <c r="G640" s="9">
        <f t="shared" si="48"/>
        <v>11</v>
      </c>
      <c r="H640" s="9">
        <f t="shared" si="45"/>
        <v>5</v>
      </c>
      <c r="I640" s="9" t="s">
        <v>43</v>
      </c>
      <c r="J640" s="9" t="s">
        <v>2988</v>
      </c>
      <c r="K640" s="9" t="s">
        <v>2989</v>
      </c>
      <c r="L640" s="9" t="s">
        <v>46</v>
      </c>
      <c r="M640" s="9" t="s">
        <v>23</v>
      </c>
      <c r="N640" s="9" t="s">
        <v>1087</v>
      </c>
      <c r="O640" s="9" t="s">
        <v>1825</v>
      </c>
      <c r="P640" s="9">
        <v>46226</v>
      </c>
      <c r="Q640" s="9" t="s">
        <v>26</v>
      </c>
      <c r="R640" s="9" t="s">
        <v>2990</v>
      </c>
      <c r="S640" s="9" t="s">
        <v>66</v>
      </c>
      <c r="T640" s="9" t="s">
        <v>103</v>
      </c>
      <c r="U640" s="9" t="s">
        <v>2991</v>
      </c>
      <c r="V640" s="11">
        <v>104.9</v>
      </c>
      <c r="W640" s="9" t="str">
        <f t="shared" si="49"/>
        <v>Slow Delivery</v>
      </c>
    </row>
    <row r="641" spans="1:23" x14ac:dyDescent="0.25">
      <c r="A641" s="9">
        <v>129</v>
      </c>
      <c r="B641" s="10" t="s">
        <v>3020</v>
      </c>
      <c r="C641" s="10">
        <v>43045</v>
      </c>
      <c r="D641" s="10">
        <v>43049</v>
      </c>
      <c r="E641" s="9">
        <f t="shared" si="46"/>
        <v>2017</v>
      </c>
      <c r="F641" s="10" t="str">
        <f t="shared" si="47"/>
        <v>Nov</v>
      </c>
      <c r="G641" s="9">
        <f t="shared" si="48"/>
        <v>11</v>
      </c>
      <c r="H641" s="9">
        <f t="shared" si="45"/>
        <v>4</v>
      </c>
      <c r="I641" s="9" t="s">
        <v>32</v>
      </c>
      <c r="J641" s="9" t="s">
        <v>3021</v>
      </c>
      <c r="K641" s="9" t="s">
        <v>3022</v>
      </c>
      <c r="L641" s="9" t="s">
        <v>46</v>
      </c>
      <c r="M641" s="9" t="s">
        <v>23</v>
      </c>
      <c r="N641" s="9" t="s">
        <v>213</v>
      </c>
      <c r="O641" s="9" t="s">
        <v>80</v>
      </c>
      <c r="P641" s="9">
        <v>90004</v>
      </c>
      <c r="Q641" s="9" t="s">
        <v>37</v>
      </c>
      <c r="R641" s="9" t="s">
        <v>785</v>
      </c>
      <c r="S641" s="9" t="s">
        <v>39</v>
      </c>
      <c r="T641" s="9" t="s">
        <v>40</v>
      </c>
      <c r="U641" s="9" t="s">
        <v>3023</v>
      </c>
      <c r="V641" s="11">
        <v>81.424000000000007</v>
      </c>
      <c r="W641" s="9" t="str">
        <f t="shared" si="49"/>
        <v>Slow Delivery</v>
      </c>
    </row>
    <row r="642" spans="1:23" x14ac:dyDescent="0.25">
      <c r="A642" s="9">
        <v>4597</v>
      </c>
      <c r="B642" s="10" t="s">
        <v>3002</v>
      </c>
      <c r="C642" s="10">
        <v>43074</v>
      </c>
      <c r="D642" s="10">
        <v>43079</v>
      </c>
      <c r="E642" s="9">
        <f t="shared" si="46"/>
        <v>2017</v>
      </c>
      <c r="F642" s="10" t="str">
        <f t="shared" si="47"/>
        <v>Dec</v>
      </c>
      <c r="G642" s="9">
        <f t="shared" si="48"/>
        <v>12</v>
      </c>
      <c r="H642" s="9">
        <f t="shared" ref="H642:H705" si="50">D642-C642</f>
        <v>5</v>
      </c>
      <c r="I642" s="9" t="s">
        <v>32</v>
      </c>
      <c r="J642" s="9" t="s">
        <v>3003</v>
      </c>
      <c r="K642" s="9" t="s">
        <v>3004</v>
      </c>
      <c r="L642" s="9" t="s">
        <v>46</v>
      </c>
      <c r="M642" s="9" t="s">
        <v>23</v>
      </c>
      <c r="N642" s="9" t="s">
        <v>36</v>
      </c>
      <c r="O642" s="9" t="s">
        <v>3005</v>
      </c>
      <c r="P642" s="9">
        <v>20016</v>
      </c>
      <c r="Q642" s="9" t="s">
        <v>49</v>
      </c>
      <c r="R642" s="9" t="s">
        <v>1608</v>
      </c>
      <c r="S642" s="9" t="s">
        <v>66</v>
      </c>
      <c r="T642" s="9" t="s">
        <v>158</v>
      </c>
      <c r="U642" s="9" t="s">
        <v>1609</v>
      </c>
      <c r="V642" s="11">
        <v>33.92</v>
      </c>
      <c r="W642" s="9" t="str">
        <f t="shared" si="49"/>
        <v>Slow Delivery</v>
      </c>
    </row>
    <row r="643" spans="1:23" x14ac:dyDescent="0.25">
      <c r="A643" s="9">
        <v>2557</v>
      </c>
      <c r="B643" s="10" t="s">
        <v>3115</v>
      </c>
      <c r="C643" s="10">
        <v>43016</v>
      </c>
      <c r="D643" s="10">
        <v>43022</v>
      </c>
      <c r="E643" s="9">
        <f t="shared" ref="E643:E706" si="51">YEAR(C643)</f>
        <v>2017</v>
      </c>
      <c r="F643" s="10" t="str">
        <f t="shared" ref="F643:F706" si="52">TEXT(C643,"mmm")</f>
        <v>Oct</v>
      </c>
      <c r="G643" s="9">
        <f t="shared" ref="G643:G706" si="53">MONTH(C643)</f>
        <v>10</v>
      </c>
      <c r="H643" s="9">
        <f t="shared" si="50"/>
        <v>6</v>
      </c>
      <c r="I643" s="9" t="s">
        <v>43</v>
      </c>
      <c r="J643" s="9" t="s">
        <v>3116</v>
      </c>
      <c r="K643" s="9" t="s">
        <v>3117</v>
      </c>
      <c r="L643" s="9" t="s">
        <v>87</v>
      </c>
      <c r="M643" s="9" t="s">
        <v>23</v>
      </c>
      <c r="N643" s="9" t="s">
        <v>72</v>
      </c>
      <c r="O643" s="9" t="s">
        <v>64</v>
      </c>
      <c r="P643" s="9">
        <v>77070</v>
      </c>
      <c r="Q643" s="9" t="s">
        <v>26</v>
      </c>
      <c r="R643" s="9" t="s">
        <v>3118</v>
      </c>
      <c r="S643" s="9" t="s">
        <v>39</v>
      </c>
      <c r="T643" s="9" t="s">
        <v>112</v>
      </c>
      <c r="U643" s="9" t="s">
        <v>3119</v>
      </c>
      <c r="V643" s="11">
        <v>51.712000000000003</v>
      </c>
      <c r="W643" s="9" t="str">
        <f t="shared" ref="W643:W706" si="54">IF(H643&lt;=3,"Fast Delivery","Slow Delivery")</f>
        <v>Slow Delivery</v>
      </c>
    </row>
    <row r="644" spans="1:23" x14ac:dyDescent="0.25">
      <c r="A644" s="9">
        <v>5767</v>
      </c>
      <c r="B644" s="10" t="s">
        <v>3120</v>
      </c>
      <c r="C644" s="10">
        <v>43016</v>
      </c>
      <c r="D644" s="10">
        <v>43023</v>
      </c>
      <c r="E644" s="9">
        <f t="shared" si="51"/>
        <v>2017</v>
      </c>
      <c r="F644" s="10" t="str">
        <f t="shared" si="52"/>
        <v>Oct</v>
      </c>
      <c r="G644" s="9">
        <f t="shared" si="53"/>
        <v>10</v>
      </c>
      <c r="H644" s="9">
        <f t="shared" si="50"/>
        <v>7</v>
      </c>
      <c r="I644" s="9" t="s">
        <v>43</v>
      </c>
      <c r="J644" s="9" t="s">
        <v>3121</v>
      </c>
      <c r="K644" s="9" t="s">
        <v>3122</v>
      </c>
      <c r="L644" s="9" t="s">
        <v>46</v>
      </c>
      <c r="M644" s="9" t="s">
        <v>23</v>
      </c>
      <c r="N644" s="9" t="s">
        <v>784</v>
      </c>
      <c r="O644" s="9" t="s">
        <v>64</v>
      </c>
      <c r="P644" s="9">
        <v>78207</v>
      </c>
      <c r="Q644" s="9" t="s">
        <v>26</v>
      </c>
      <c r="R644" s="9" t="s">
        <v>3123</v>
      </c>
      <c r="S644" s="9" t="s">
        <v>66</v>
      </c>
      <c r="T644" s="9" t="s">
        <v>82</v>
      </c>
      <c r="U644" s="9" t="s">
        <v>3124</v>
      </c>
      <c r="V644" s="11">
        <v>60.143999999999998</v>
      </c>
      <c r="W644" s="9" t="str">
        <f t="shared" si="54"/>
        <v>Slow Delivery</v>
      </c>
    </row>
    <row r="645" spans="1:23" x14ac:dyDescent="0.25">
      <c r="A645" s="9">
        <v>1828</v>
      </c>
      <c r="B645" s="10" t="s">
        <v>3086</v>
      </c>
      <c r="C645" s="10">
        <v>42774</v>
      </c>
      <c r="D645" s="10">
        <v>42777</v>
      </c>
      <c r="E645" s="9">
        <f t="shared" si="51"/>
        <v>2017</v>
      </c>
      <c r="F645" s="10" t="str">
        <f t="shared" si="52"/>
        <v>Feb</v>
      </c>
      <c r="G645" s="9">
        <f t="shared" si="53"/>
        <v>2</v>
      </c>
      <c r="H645" s="9">
        <f t="shared" si="50"/>
        <v>3</v>
      </c>
      <c r="I645" s="9" t="s">
        <v>32</v>
      </c>
      <c r="J645" s="9" t="s">
        <v>3087</v>
      </c>
      <c r="K645" s="9" t="s">
        <v>3088</v>
      </c>
      <c r="L645" s="9" t="s">
        <v>46</v>
      </c>
      <c r="M645" s="9" t="s">
        <v>23</v>
      </c>
      <c r="N645" s="9" t="s">
        <v>1865</v>
      </c>
      <c r="O645" s="9" t="s">
        <v>137</v>
      </c>
      <c r="P645" s="9">
        <v>27604</v>
      </c>
      <c r="Q645" s="9" t="s">
        <v>110</v>
      </c>
      <c r="R645" s="9" t="s">
        <v>3089</v>
      </c>
      <c r="S645" s="9" t="s">
        <v>28</v>
      </c>
      <c r="T645" s="9" t="s">
        <v>51</v>
      </c>
      <c r="U645" s="9" t="s">
        <v>3090</v>
      </c>
      <c r="V645" s="11">
        <v>1127.9760000000001</v>
      </c>
      <c r="W645" s="9" t="str">
        <f t="shared" si="54"/>
        <v>Fast Delivery</v>
      </c>
    </row>
    <row r="646" spans="1:23" x14ac:dyDescent="0.25">
      <c r="A646" s="9">
        <v>919</v>
      </c>
      <c r="B646" s="10" t="s">
        <v>2953</v>
      </c>
      <c r="C646" s="10">
        <v>42799</v>
      </c>
      <c r="D646" s="10">
        <v>42805</v>
      </c>
      <c r="E646" s="9">
        <f t="shared" si="51"/>
        <v>2017</v>
      </c>
      <c r="F646" s="10" t="str">
        <f t="shared" si="52"/>
        <v>Mar</v>
      </c>
      <c r="G646" s="9">
        <f t="shared" si="53"/>
        <v>3</v>
      </c>
      <c r="H646" s="9">
        <f t="shared" si="50"/>
        <v>6</v>
      </c>
      <c r="I646" s="9" t="s">
        <v>43</v>
      </c>
      <c r="J646" s="9" t="s">
        <v>2954</v>
      </c>
      <c r="K646" s="9" t="s">
        <v>2955</v>
      </c>
      <c r="L646" s="9" t="s">
        <v>87</v>
      </c>
      <c r="M646" s="9" t="s">
        <v>23</v>
      </c>
      <c r="N646" s="9" t="s">
        <v>556</v>
      </c>
      <c r="O646" s="9" t="s">
        <v>64</v>
      </c>
      <c r="P646" s="9">
        <v>75220</v>
      </c>
      <c r="Q646" s="9" t="s">
        <v>26</v>
      </c>
      <c r="R646" s="9" t="s">
        <v>903</v>
      </c>
      <c r="S646" s="9" t="s">
        <v>66</v>
      </c>
      <c r="T646" s="9" t="s">
        <v>280</v>
      </c>
      <c r="U646" s="9" t="s">
        <v>904</v>
      </c>
      <c r="V646" s="11">
        <v>149.352</v>
      </c>
      <c r="W646" s="9" t="str">
        <f t="shared" si="54"/>
        <v>Slow Delivery</v>
      </c>
    </row>
    <row r="647" spans="1:23" x14ac:dyDescent="0.25">
      <c r="A647" s="9">
        <v>6014</v>
      </c>
      <c r="B647" s="10" t="s">
        <v>3173</v>
      </c>
      <c r="C647" s="10">
        <v>42804</v>
      </c>
      <c r="D647" s="10">
        <v>42805</v>
      </c>
      <c r="E647" s="9">
        <f t="shared" si="51"/>
        <v>2017</v>
      </c>
      <c r="F647" s="10" t="str">
        <f t="shared" si="52"/>
        <v>Mar</v>
      </c>
      <c r="G647" s="9">
        <f t="shared" si="53"/>
        <v>3</v>
      </c>
      <c r="H647" s="9">
        <f t="shared" si="50"/>
        <v>1</v>
      </c>
      <c r="I647" s="9" t="s">
        <v>19</v>
      </c>
      <c r="J647" s="9" t="s">
        <v>3174</v>
      </c>
      <c r="K647" s="9" t="s">
        <v>3175</v>
      </c>
      <c r="L647" s="9" t="s">
        <v>46</v>
      </c>
      <c r="M647" s="9" t="s">
        <v>23</v>
      </c>
      <c r="N647" s="9" t="s">
        <v>213</v>
      </c>
      <c r="O647" s="9" t="s">
        <v>80</v>
      </c>
      <c r="P647" s="9">
        <v>90008</v>
      </c>
      <c r="Q647" s="9" t="s">
        <v>37</v>
      </c>
      <c r="R647" s="9" t="s">
        <v>3176</v>
      </c>
      <c r="S647" s="9" t="s">
        <v>66</v>
      </c>
      <c r="T647" s="9" t="s">
        <v>201</v>
      </c>
      <c r="U647" s="9" t="s">
        <v>3177</v>
      </c>
      <c r="V647" s="11">
        <v>14.9</v>
      </c>
      <c r="W647" s="9" t="str">
        <f t="shared" si="54"/>
        <v>Fast Delivery</v>
      </c>
    </row>
    <row r="648" spans="1:23" x14ac:dyDescent="0.25">
      <c r="A648" s="9">
        <v>9698</v>
      </c>
      <c r="B648" s="10" t="s">
        <v>3205</v>
      </c>
      <c r="C648" s="10">
        <v>42805</v>
      </c>
      <c r="D648" s="10">
        <v>42805</v>
      </c>
      <c r="E648" s="9">
        <f t="shared" si="51"/>
        <v>2017</v>
      </c>
      <c r="F648" s="10" t="str">
        <f t="shared" si="52"/>
        <v>Mar</v>
      </c>
      <c r="G648" s="9">
        <f t="shared" si="53"/>
        <v>3</v>
      </c>
      <c r="H648" s="9">
        <f t="shared" si="50"/>
        <v>0</v>
      </c>
      <c r="I648" s="9" t="s">
        <v>302</v>
      </c>
      <c r="J648" s="9" t="s">
        <v>3206</v>
      </c>
      <c r="K648" s="9" t="s">
        <v>3207</v>
      </c>
      <c r="L648" s="9" t="s">
        <v>46</v>
      </c>
      <c r="M648" s="9" t="s">
        <v>23</v>
      </c>
      <c r="N648" s="9" t="s">
        <v>149</v>
      </c>
      <c r="O648" s="9" t="s">
        <v>150</v>
      </c>
      <c r="P648" s="9">
        <v>19140</v>
      </c>
      <c r="Q648" s="9" t="s">
        <v>49</v>
      </c>
      <c r="R648" s="9" t="s">
        <v>3208</v>
      </c>
      <c r="S648" s="9" t="s">
        <v>39</v>
      </c>
      <c r="T648" s="9" t="s">
        <v>112</v>
      </c>
      <c r="U648" s="9" t="s">
        <v>3209</v>
      </c>
      <c r="V648" s="11">
        <v>30.335999999999999</v>
      </c>
      <c r="W648" s="9" t="str">
        <f t="shared" si="54"/>
        <v>Fast Delivery</v>
      </c>
    </row>
    <row r="649" spans="1:23" x14ac:dyDescent="0.25">
      <c r="A649" s="9">
        <v>3727</v>
      </c>
      <c r="B649" s="10" t="s">
        <v>2964</v>
      </c>
      <c r="C649" s="10">
        <v>42891</v>
      </c>
      <c r="D649" s="10">
        <v>42897</v>
      </c>
      <c r="E649" s="9">
        <f t="shared" si="51"/>
        <v>2017</v>
      </c>
      <c r="F649" s="10" t="str">
        <f t="shared" si="52"/>
        <v>Jun</v>
      </c>
      <c r="G649" s="9">
        <f t="shared" si="53"/>
        <v>6</v>
      </c>
      <c r="H649" s="9">
        <f t="shared" si="50"/>
        <v>6</v>
      </c>
      <c r="I649" s="9" t="s">
        <v>43</v>
      </c>
      <c r="J649" s="9" t="s">
        <v>2965</v>
      </c>
      <c r="K649" s="9" t="s">
        <v>2966</v>
      </c>
      <c r="L649" s="9" t="s">
        <v>22</v>
      </c>
      <c r="M649" s="9" t="s">
        <v>23</v>
      </c>
      <c r="N649" s="9" t="s">
        <v>1814</v>
      </c>
      <c r="O649" s="9" t="s">
        <v>1475</v>
      </c>
      <c r="P649" s="9">
        <v>19711</v>
      </c>
      <c r="Q649" s="9" t="s">
        <v>49</v>
      </c>
      <c r="R649" s="9" t="s">
        <v>1036</v>
      </c>
      <c r="S649" s="9" t="s">
        <v>66</v>
      </c>
      <c r="T649" s="9" t="s">
        <v>74</v>
      </c>
      <c r="U649" s="9" t="s">
        <v>1037</v>
      </c>
      <c r="V649" s="11">
        <v>360.38</v>
      </c>
      <c r="W649" s="9" t="str">
        <f t="shared" si="54"/>
        <v>Slow Delivery</v>
      </c>
    </row>
    <row r="650" spans="1:23" x14ac:dyDescent="0.25">
      <c r="A650" s="9">
        <v>9583</v>
      </c>
      <c r="B650" s="10" t="s">
        <v>3045</v>
      </c>
      <c r="C650" s="10">
        <v>42893</v>
      </c>
      <c r="D650" s="10">
        <v>42897</v>
      </c>
      <c r="E650" s="9">
        <f t="shared" si="51"/>
        <v>2017</v>
      </c>
      <c r="F650" s="10" t="str">
        <f t="shared" si="52"/>
        <v>Jun</v>
      </c>
      <c r="G650" s="9">
        <f t="shared" si="53"/>
        <v>6</v>
      </c>
      <c r="H650" s="9">
        <f t="shared" si="50"/>
        <v>4</v>
      </c>
      <c r="I650" s="9" t="s">
        <v>43</v>
      </c>
      <c r="J650" s="9" t="s">
        <v>3046</v>
      </c>
      <c r="K650" s="9" t="s">
        <v>3047</v>
      </c>
      <c r="L650" s="9" t="s">
        <v>46</v>
      </c>
      <c r="M650" s="9" t="s">
        <v>23</v>
      </c>
      <c r="N650" s="9" t="s">
        <v>149</v>
      </c>
      <c r="O650" s="9" t="s">
        <v>150</v>
      </c>
      <c r="P650" s="9">
        <v>19120</v>
      </c>
      <c r="Q650" s="9" t="s">
        <v>49</v>
      </c>
      <c r="R650" s="9" t="s">
        <v>3048</v>
      </c>
      <c r="S650" s="9" t="s">
        <v>66</v>
      </c>
      <c r="T650" s="9" t="s">
        <v>67</v>
      </c>
      <c r="U650" s="9" t="s">
        <v>3049</v>
      </c>
      <c r="V650" s="11">
        <v>9.6479999999999997</v>
      </c>
      <c r="W650" s="9" t="str">
        <f t="shared" si="54"/>
        <v>Slow Delivery</v>
      </c>
    </row>
    <row r="651" spans="1:23" x14ac:dyDescent="0.25">
      <c r="A651" s="9">
        <v>6583</v>
      </c>
      <c r="B651" s="10" t="s">
        <v>3060</v>
      </c>
      <c r="C651" s="10">
        <v>42954</v>
      </c>
      <c r="D651" s="10">
        <v>42958</v>
      </c>
      <c r="E651" s="9">
        <f t="shared" si="51"/>
        <v>2017</v>
      </c>
      <c r="F651" s="10" t="str">
        <f t="shared" si="52"/>
        <v>Aug</v>
      </c>
      <c r="G651" s="9">
        <f t="shared" si="53"/>
        <v>8</v>
      </c>
      <c r="H651" s="9">
        <f t="shared" si="50"/>
        <v>4</v>
      </c>
      <c r="I651" s="9" t="s">
        <v>43</v>
      </c>
      <c r="J651" s="9" t="s">
        <v>3061</v>
      </c>
      <c r="K651" s="9" t="s">
        <v>3062</v>
      </c>
      <c r="L651" s="9" t="s">
        <v>87</v>
      </c>
      <c r="M651" s="9" t="s">
        <v>23</v>
      </c>
      <c r="N651" s="9" t="s">
        <v>3063</v>
      </c>
      <c r="O651" s="9" t="s">
        <v>36</v>
      </c>
      <c r="P651" s="9">
        <v>98026</v>
      </c>
      <c r="Q651" s="9" t="s">
        <v>37</v>
      </c>
      <c r="R651" s="9" t="s">
        <v>3064</v>
      </c>
      <c r="S651" s="9" t="s">
        <v>28</v>
      </c>
      <c r="T651" s="9" t="s">
        <v>29</v>
      </c>
      <c r="U651" s="9" t="s">
        <v>3065</v>
      </c>
      <c r="V651" s="11">
        <v>179.97</v>
      </c>
      <c r="W651" s="9" t="str">
        <f t="shared" si="54"/>
        <v>Slow Delivery</v>
      </c>
    </row>
    <row r="652" spans="1:23" x14ac:dyDescent="0.25">
      <c r="A652" s="9">
        <v>5880</v>
      </c>
      <c r="B652" s="10" t="s">
        <v>2972</v>
      </c>
      <c r="C652" s="10">
        <v>42983</v>
      </c>
      <c r="D652" s="10">
        <v>42989</v>
      </c>
      <c r="E652" s="9">
        <f t="shared" si="51"/>
        <v>2017</v>
      </c>
      <c r="F652" s="10" t="str">
        <f t="shared" si="52"/>
        <v>Sep</v>
      </c>
      <c r="G652" s="9">
        <f t="shared" si="53"/>
        <v>9</v>
      </c>
      <c r="H652" s="9">
        <f t="shared" si="50"/>
        <v>6</v>
      </c>
      <c r="I652" s="9" t="s">
        <v>43</v>
      </c>
      <c r="J652" s="9" t="s">
        <v>2973</v>
      </c>
      <c r="K652" s="9" t="s">
        <v>2974</v>
      </c>
      <c r="L652" s="9" t="s">
        <v>22</v>
      </c>
      <c r="M652" s="9" t="s">
        <v>23</v>
      </c>
      <c r="N652" s="9" t="s">
        <v>47</v>
      </c>
      <c r="O652" s="9" t="s">
        <v>48</v>
      </c>
      <c r="P652" s="9">
        <v>10011</v>
      </c>
      <c r="Q652" s="9" t="s">
        <v>49</v>
      </c>
      <c r="R652" s="9" t="s">
        <v>2975</v>
      </c>
      <c r="S652" s="9" t="s">
        <v>66</v>
      </c>
      <c r="T652" s="9" t="s">
        <v>201</v>
      </c>
      <c r="U652" s="9" t="s">
        <v>2976</v>
      </c>
      <c r="V652" s="11">
        <v>192.16</v>
      </c>
      <c r="W652" s="9" t="str">
        <f t="shared" si="54"/>
        <v>Slow Delivery</v>
      </c>
    </row>
    <row r="653" spans="1:23" x14ac:dyDescent="0.25">
      <c r="A653" s="9">
        <v>992</v>
      </c>
      <c r="B653" s="10" t="s">
        <v>3154</v>
      </c>
      <c r="C653" s="10">
        <v>42987</v>
      </c>
      <c r="D653" s="10">
        <v>42989</v>
      </c>
      <c r="E653" s="9">
        <f t="shared" si="51"/>
        <v>2017</v>
      </c>
      <c r="F653" s="10" t="str">
        <f t="shared" si="52"/>
        <v>Sep</v>
      </c>
      <c r="G653" s="9">
        <f t="shared" si="53"/>
        <v>9</v>
      </c>
      <c r="H653" s="9">
        <f t="shared" si="50"/>
        <v>2</v>
      </c>
      <c r="I653" s="9" t="s">
        <v>19</v>
      </c>
      <c r="J653" s="9" t="s">
        <v>3155</v>
      </c>
      <c r="K653" s="9" t="s">
        <v>3156</v>
      </c>
      <c r="L653" s="9" t="s">
        <v>22</v>
      </c>
      <c r="M653" s="9" t="s">
        <v>23</v>
      </c>
      <c r="N653" s="9" t="s">
        <v>47</v>
      </c>
      <c r="O653" s="9" t="s">
        <v>48</v>
      </c>
      <c r="P653" s="9">
        <v>10024</v>
      </c>
      <c r="Q653" s="9" t="s">
        <v>49</v>
      </c>
      <c r="R653" s="9" t="s">
        <v>3157</v>
      </c>
      <c r="S653" s="9" t="s">
        <v>66</v>
      </c>
      <c r="T653" s="9" t="s">
        <v>103</v>
      </c>
      <c r="U653" s="9" t="s">
        <v>3158</v>
      </c>
      <c r="V653" s="11">
        <v>14.624000000000001</v>
      </c>
      <c r="W653" s="9" t="str">
        <f t="shared" si="54"/>
        <v>Fast Delivery</v>
      </c>
    </row>
    <row r="654" spans="1:23" x14ac:dyDescent="0.25">
      <c r="A654" s="9">
        <v>6507</v>
      </c>
      <c r="B654" s="10" t="s">
        <v>3159</v>
      </c>
      <c r="C654" s="10">
        <v>43017</v>
      </c>
      <c r="D654" s="10">
        <v>43019</v>
      </c>
      <c r="E654" s="9">
        <f t="shared" si="51"/>
        <v>2017</v>
      </c>
      <c r="F654" s="10" t="str">
        <f t="shared" si="52"/>
        <v>Oct</v>
      </c>
      <c r="G654" s="9">
        <f t="shared" si="53"/>
        <v>10</v>
      </c>
      <c r="H654" s="9">
        <f t="shared" si="50"/>
        <v>2</v>
      </c>
      <c r="I654" s="9" t="s">
        <v>32</v>
      </c>
      <c r="J654" s="9" t="s">
        <v>3160</v>
      </c>
      <c r="K654" s="9" t="s">
        <v>3161</v>
      </c>
      <c r="L654" s="9" t="s">
        <v>87</v>
      </c>
      <c r="M654" s="9" t="s">
        <v>23</v>
      </c>
      <c r="N654" s="9" t="s">
        <v>149</v>
      </c>
      <c r="O654" s="9" t="s">
        <v>150</v>
      </c>
      <c r="P654" s="9">
        <v>19143</v>
      </c>
      <c r="Q654" s="9" t="s">
        <v>49</v>
      </c>
      <c r="R654" s="9" t="s">
        <v>3162</v>
      </c>
      <c r="S654" s="9" t="s">
        <v>66</v>
      </c>
      <c r="T654" s="9" t="s">
        <v>201</v>
      </c>
      <c r="U654" s="9" t="s">
        <v>3163</v>
      </c>
      <c r="V654" s="11">
        <v>19.135999999999999</v>
      </c>
      <c r="W654" s="9" t="str">
        <f t="shared" si="54"/>
        <v>Fast Delivery</v>
      </c>
    </row>
    <row r="655" spans="1:23" x14ac:dyDescent="0.25">
      <c r="A655" s="9">
        <v>1</v>
      </c>
      <c r="B655" s="10" t="s">
        <v>3125</v>
      </c>
      <c r="C655" s="10">
        <v>43047</v>
      </c>
      <c r="D655" s="10">
        <v>43050</v>
      </c>
      <c r="E655" s="9">
        <f t="shared" si="51"/>
        <v>2017</v>
      </c>
      <c r="F655" s="10" t="str">
        <f t="shared" si="52"/>
        <v>Nov</v>
      </c>
      <c r="G655" s="9">
        <f t="shared" si="53"/>
        <v>11</v>
      </c>
      <c r="H655" s="9">
        <f t="shared" si="50"/>
        <v>3</v>
      </c>
      <c r="I655" s="9" t="s">
        <v>32</v>
      </c>
      <c r="J655" s="9" t="s">
        <v>3126</v>
      </c>
      <c r="K655" s="9" t="s">
        <v>3127</v>
      </c>
      <c r="L655" s="9" t="s">
        <v>22</v>
      </c>
      <c r="M655" s="9" t="s">
        <v>23</v>
      </c>
      <c r="N655" s="9" t="s">
        <v>928</v>
      </c>
      <c r="O655" s="9" t="s">
        <v>207</v>
      </c>
      <c r="P655" s="9">
        <v>42420</v>
      </c>
      <c r="Q655" s="9" t="s">
        <v>110</v>
      </c>
      <c r="R655" s="9" t="s">
        <v>3128</v>
      </c>
      <c r="S655" s="9" t="s">
        <v>39</v>
      </c>
      <c r="T655" s="9" t="s">
        <v>1218</v>
      </c>
      <c r="U655" s="9" t="s">
        <v>3129</v>
      </c>
      <c r="V655" s="11">
        <v>261.95999999999998</v>
      </c>
      <c r="W655" s="9" t="str">
        <f t="shared" si="54"/>
        <v>Fast Delivery</v>
      </c>
    </row>
    <row r="656" spans="1:23" x14ac:dyDescent="0.25">
      <c r="A656" s="9">
        <v>8614</v>
      </c>
      <c r="B656" s="10" t="s">
        <v>3164</v>
      </c>
      <c r="C656" s="10">
        <v>43048</v>
      </c>
      <c r="D656" s="10">
        <v>43053</v>
      </c>
      <c r="E656" s="9">
        <f t="shared" si="51"/>
        <v>2017</v>
      </c>
      <c r="F656" s="10" t="str">
        <f t="shared" si="52"/>
        <v>Nov</v>
      </c>
      <c r="G656" s="9">
        <f t="shared" si="53"/>
        <v>11</v>
      </c>
      <c r="H656" s="9">
        <f t="shared" si="50"/>
        <v>5</v>
      </c>
      <c r="I656" s="9" t="s">
        <v>43</v>
      </c>
      <c r="J656" s="9" t="s">
        <v>3165</v>
      </c>
      <c r="K656" s="9" t="s">
        <v>3166</v>
      </c>
      <c r="L656" s="9" t="s">
        <v>22</v>
      </c>
      <c r="M656" s="9" t="s">
        <v>23</v>
      </c>
      <c r="N656" s="9" t="s">
        <v>1716</v>
      </c>
      <c r="O656" s="9" t="s">
        <v>80</v>
      </c>
      <c r="P656" s="9">
        <v>94601</v>
      </c>
      <c r="Q656" s="9" t="s">
        <v>37</v>
      </c>
      <c r="R656" s="9" t="s">
        <v>3167</v>
      </c>
      <c r="S656" s="9" t="s">
        <v>28</v>
      </c>
      <c r="T656" s="9" t="s">
        <v>29</v>
      </c>
      <c r="U656" s="9" t="s">
        <v>3168</v>
      </c>
      <c r="V656" s="11">
        <v>479.97</v>
      </c>
      <c r="W656" s="9" t="str">
        <f t="shared" si="54"/>
        <v>Slow Delivery</v>
      </c>
    </row>
    <row r="657" spans="1:23" x14ac:dyDescent="0.25">
      <c r="A657" s="9">
        <v>2341</v>
      </c>
      <c r="B657" s="10" t="s">
        <v>3194</v>
      </c>
      <c r="C657" s="10">
        <v>43049</v>
      </c>
      <c r="D657" s="10">
        <v>43054</v>
      </c>
      <c r="E657" s="9">
        <f t="shared" si="51"/>
        <v>2017</v>
      </c>
      <c r="F657" s="10" t="str">
        <f t="shared" si="52"/>
        <v>Nov</v>
      </c>
      <c r="G657" s="9">
        <f t="shared" si="53"/>
        <v>11</v>
      </c>
      <c r="H657" s="9">
        <f t="shared" si="50"/>
        <v>5</v>
      </c>
      <c r="I657" s="9" t="s">
        <v>43</v>
      </c>
      <c r="J657" s="9" t="s">
        <v>3195</v>
      </c>
      <c r="K657" s="9" t="s">
        <v>3196</v>
      </c>
      <c r="L657" s="9" t="s">
        <v>22</v>
      </c>
      <c r="M657" s="9" t="s">
        <v>23</v>
      </c>
      <c r="N657" s="9" t="s">
        <v>3197</v>
      </c>
      <c r="O657" s="9" t="s">
        <v>286</v>
      </c>
      <c r="P657" s="9">
        <v>31088</v>
      </c>
      <c r="Q657" s="9" t="s">
        <v>110</v>
      </c>
      <c r="R657" s="9" t="s">
        <v>3198</v>
      </c>
      <c r="S657" s="9" t="s">
        <v>66</v>
      </c>
      <c r="T657" s="9" t="s">
        <v>158</v>
      </c>
      <c r="U657" s="9" t="s">
        <v>3199</v>
      </c>
      <c r="V657" s="11">
        <v>41.86</v>
      </c>
      <c r="W657" s="9" t="str">
        <f t="shared" si="54"/>
        <v>Slow Delivery</v>
      </c>
    </row>
    <row r="658" spans="1:23" x14ac:dyDescent="0.25">
      <c r="A658" s="9">
        <v>9400</v>
      </c>
      <c r="B658" s="10" t="s">
        <v>3223</v>
      </c>
      <c r="C658" s="10">
        <v>43050</v>
      </c>
      <c r="D658" s="10">
        <v>43054</v>
      </c>
      <c r="E658" s="9">
        <f t="shared" si="51"/>
        <v>2017</v>
      </c>
      <c r="F658" s="10" t="str">
        <f t="shared" si="52"/>
        <v>Nov</v>
      </c>
      <c r="G658" s="9">
        <f t="shared" si="53"/>
        <v>11</v>
      </c>
      <c r="H658" s="9">
        <f t="shared" si="50"/>
        <v>4</v>
      </c>
      <c r="I658" s="9" t="s">
        <v>43</v>
      </c>
      <c r="J658" s="9" t="s">
        <v>3224</v>
      </c>
      <c r="K658" s="9" t="s">
        <v>3225</v>
      </c>
      <c r="L658" s="9" t="s">
        <v>22</v>
      </c>
      <c r="M658" s="9" t="s">
        <v>23</v>
      </c>
      <c r="N658" s="9" t="s">
        <v>3226</v>
      </c>
      <c r="O658" s="9" t="s">
        <v>57</v>
      </c>
      <c r="P658" s="9">
        <v>60004</v>
      </c>
      <c r="Q658" s="9" t="s">
        <v>26</v>
      </c>
      <c r="R658" s="9" t="s">
        <v>3227</v>
      </c>
      <c r="S658" s="9" t="s">
        <v>66</v>
      </c>
      <c r="T658" s="9" t="s">
        <v>158</v>
      </c>
      <c r="U658" s="9" t="s">
        <v>3228</v>
      </c>
      <c r="V658" s="11">
        <v>14.112</v>
      </c>
      <c r="W658" s="9" t="str">
        <f t="shared" si="54"/>
        <v>Slow Delivery</v>
      </c>
    </row>
    <row r="659" spans="1:23" x14ac:dyDescent="0.25">
      <c r="A659" s="9">
        <v>8120</v>
      </c>
      <c r="B659" s="10" t="s">
        <v>3218</v>
      </c>
      <c r="C659" s="10">
        <v>43050</v>
      </c>
      <c r="D659" s="10">
        <v>43055</v>
      </c>
      <c r="E659" s="9">
        <f t="shared" si="51"/>
        <v>2017</v>
      </c>
      <c r="F659" s="10" t="str">
        <f t="shared" si="52"/>
        <v>Nov</v>
      </c>
      <c r="G659" s="9">
        <f t="shared" si="53"/>
        <v>11</v>
      </c>
      <c r="H659" s="9">
        <f t="shared" si="50"/>
        <v>5</v>
      </c>
      <c r="I659" s="9" t="s">
        <v>43</v>
      </c>
      <c r="J659" s="9" t="s">
        <v>3219</v>
      </c>
      <c r="K659" s="9" t="s">
        <v>3220</v>
      </c>
      <c r="L659" s="9" t="s">
        <v>22</v>
      </c>
      <c r="M659" s="9" t="s">
        <v>23</v>
      </c>
      <c r="N659" s="9" t="s">
        <v>143</v>
      </c>
      <c r="O659" s="9" t="s">
        <v>80</v>
      </c>
      <c r="P659" s="9">
        <v>94110</v>
      </c>
      <c r="Q659" s="9" t="s">
        <v>37</v>
      </c>
      <c r="R659" s="9" t="s">
        <v>3221</v>
      </c>
      <c r="S659" s="9" t="s">
        <v>39</v>
      </c>
      <c r="T659" s="9" t="s">
        <v>112</v>
      </c>
      <c r="U659" s="9" t="s">
        <v>3222</v>
      </c>
      <c r="V659" s="11">
        <v>41.96</v>
      </c>
      <c r="W659" s="9" t="str">
        <f t="shared" si="54"/>
        <v>Slow Delivery</v>
      </c>
    </row>
    <row r="660" spans="1:23" x14ac:dyDescent="0.25">
      <c r="A660" s="9">
        <v>6111</v>
      </c>
      <c r="B660" s="10" t="s">
        <v>3267</v>
      </c>
      <c r="C660" s="10">
        <v>43051</v>
      </c>
      <c r="D660" s="10">
        <v>43055</v>
      </c>
      <c r="E660" s="9">
        <f t="shared" si="51"/>
        <v>2017</v>
      </c>
      <c r="F660" s="10" t="str">
        <f t="shared" si="52"/>
        <v>Nov</v>
      </c>
      <c r="G660" s="9">
        <f t="shared" si="53"/>
        <v>11</v>
      </c>
      <c r="H660" s="9">
        <f t="shared" si="50"/>
        <v>4</v>
      </c>
      <c r="I660" s="9" t="s">
        <v>43</v>
      </c>
      <c r="J660" s="9" t="s">
        <v>3268</v>
      </c>
      <c r="K660" s="9" t="s">
        <v>3269</v>
      </c>
      <c r="L660" s="9" t="s">
        <v>22</v>
      </c>
      <c r="M660" s="9" t="s">
        <v>23</v>
      </c>
      <c r="N660" s="9" t="s">
        <v>3270</v>
      </c>
      <c r="O660" s="9" t="s">
        <v>250</v>
      </c>
      <c r="P660" s="9">
        <v>44134</v>
      </c>
      <c r="Q660" s="9" t="s">
        <v>49</v>
      </c>
      <c r="R660" s="9" t="s">
        <v>3271</v>
      </c>
      <c r="S660" s="9" t="s">
        <v>39</v>
      </c>
      <c r="T660" s="9" t="s">
        <v>40</v>
      </c>
      <c r="U660" s="9" t="s">
        <v>3272</v>
      </c>
      <c r="V660" s="11">
        <v>1474.8019999999999</v>
      </c>
      <c r="W660" s="9" t="str">
        <f t="shared" si="54"/>
        <v>Slow Delivery</v>
      </c>
    </row>
    <row r="661" spans="1:23" x14ac:dyDescent="0.25">
      <c r="A661" s="9">
        <v>6791</v>
      </c>
      <c r="B661" s="10" t="s">
        <v>3836</v>
      </c>
      <c r="C661" s="10">
        <v>43055</v>
      </c>
      <c r="D661" s="10">
        <v>43056</v>
      </c>
      <c r="E661" s="9">
        <f t="shared" si="51"/>
        <v>2017</v>
      </c>
      <c r="F661" s="10" t="str">
        <f t="shared" si="52"/>
        <v>Nov</v>
      </c>
      <c r="G661" s="9">
        <f t="shared" si="53"/>
        <v>11</v>
      </c>
      <c r="H661" s="9">
        <f t="shared" si="50"/>
        <v>1</v>
      </c>
      <c r="I661" s="9" t="s">
        <v>19</v>
      </c>
      <c r="J661" s="9" t="s">
        <v>3837</v>
      </c>
      <c r="K661" s="9" t="s">
        <v>3838</v>
      </c>
      <c r="L661" s="9" t="s">
        <v>22</v>
      </c>
      <c r="M661" s="9" t="s">
        <v>23</v>
      </c>
      <c r="N661" s="9" t="s">
        <v>2488</v>
      </c>
      <c r="O661" s="9" t="s">
        <v>80</v>
      </c>
      <c r="P661" s="9">
        <v>95661</v>
      </c>
      <c r="Q661" s="9" t="s">
        <v>37</v>
      </c>
      <c r="R661" s="9" t="s">
        <v>3839</v>
      </c>
      <c r="S661" s="9" t="s">
        <v>66</v>
      </c>
      <c r="T661" s="9" t="s">
        <v>103</v>
      </c>
      <c r="U661" s="9" t="s">
        <v>3840</v>
      </c>
      <c r="V661" s="11">
        <v>8.32</v>
      </c>
      <c r="W661" s="9" t="str">
        <f t="shared" si="54"/>
        <v>Fast Delivery</v>
      </c>
    </row>
    <row r="662" spans="1:23" x14ac:dyDescent="0.25">
      <c r="A662" s="9">
        <v>1802</v>
      </c>
      <c r="B662" s="10" t="s">
        <v>3744</v>
      </c>
      <c r="C662" s="10">
        <v>43052</v>
      </c>
      <c r="D662" s="10">
        <v>43058</v>
      </c>
      <c r="E662" s="9">
        <f t="shared" si="51"/>
        <v>2017</v>
      </c>
      <c r="F662" s="10" t="str">
        <f t="shared" si="52"/>
        <v>Nov</v>
      </c>
      <c r="G662" s="9">
        <f t="shared" si="53"/>
        <v>11</v>
      </c>
      <c r="H662" s="9">
        <f t="shared" si="50"/>
        <v>6</v>
      </c>
      <c r="I662" s="9" t="s">
        <v>43</v>
      </c>
      <c r="J662" s="9" t="s">
        <v>3745</v>
      </c>
      <c r="K662" s="9" t="s">
        <v>3746</v>
      </c>
      <c r="L662" s="9" t="s">
        <v>46</v>
      </c>
      <c r="M662" s="9" t="s">
        <v>23</v>
      </c>
      <c r="N662" s="9" t="s">
        <v>2673</v>
      </c>
      <c r="O662" s="9" t="s">
        <v>36</v>
      </c>
      <c r="P662" s="9">
        <v>98002</v>
      </c>
      <c r="Q662" s="9" t="s">
        <v>37</v>
      </c>
      <c r="R662" s="9" t="s">
        <v>1717</v>
      </c>
      <c r="S662" s="9" t="s">
        <v>39</v>
      </c>
      <c r="T662" s="9" t="s">
        <v>112</v>
      </c>
      <c r="U662" s="9" t="s">
        <v>1718</v>
      </c>
      <c r="V662" s="11">
        <v>4.18</v>
      </c>
      <c r="W662" s="9" t="str">
        <f t="shared" si="54"/>
        <v>Slow Delivery</v>
      </c>
    </row>
    <row r="663" spans="1:23" x14ac:dyDescent="0.25">
      <c r="A663" s="9">
        <v>8506</v>
      </c>
      <c r="B663" s="10" t="s">
        <v>3094</v>
      </c>
      <c r="C663" s="10">
        <v>42802</v>
      </c>
      <c r="D663" s="10">
        <v>42806</v>
      </c>
      <c r="E663" s="9">
        <f t="shared" si="51"/>
        <v>2017</v>
      </c>
      <c r="F663" s="10" t="str">
        <f t="shared" si="52"/>
        <v>Mar</v>
      </c>
      <c r="G663" s="9">
        <f t="shared" si="53"/>
        <v>3</v>
      </c>
      <c r="H663" s="9">
        <f t="shared" si="50"/>
        <v>4</v>
      </c>
      <c r="I663" s="9" t="s">
        <v>43</v>
      </c>
      <c r="J663" s="9" t="s">
        <v>3095</v>
      </c>
      <c r="K663" s="9" t="s">
        <v>3096</v>
      </c>
      <c r="L663" s="9" t="s">
        <v>46</v>
      </c>
      <c r="M663" s="9" t="s">
        <v>23</v>
      </c>
      <c r="N663" s="9" t="s">
        <v>556</v>
      </c>
      <c r="O663" s="9" t="s">
        <v>64</v>
      </c>
      <c r="P663" s="9">
        <v>75217</v>
      </c>
      <c r="Q663" s="9" t="s">
        <v>26</v>
      </c>
      <c r="R663" s="9" t="s">
        <v>1898</v>
      </c>
      <c r="S663" s="9" t="s">
        <v>66</v>
      </c>
      <c r="T663" s="9" t="s">
        <v>103</v>
      </c>
      <c r="U663" s="9" t="s">
        <v>1899</v>
      </c>
      <c r="V663" s="11">
        <v>8.8559999999999999</v>
      </c>
      <c r="W663" s="9" t="str">
        <f t="shared" si="54"/>
        <v>Slow Delivery</v>
      </c>
    </row>
    <row r="664" spans="1:23" x14ac:dyDescent="0.25">
      <c r="A664" s="9">
        <v>8332</v>
      </c>
      <c r="B664" s="10" t="s">
        <v>3133</v>
      </c>
      <c r="C664" s="10">
        <v>42803</v>
      </c>
      <c r="D664" s="10">
        <v>42806</v>
      </c>
      <c r="E664" s="9">
        <f t="shared" si="51"/>
        <v>2017</v>
      </c>
      <c r="F664" s="10" t="str">
        <f t="shared" si="52"/>
        <v>Mar</v>
      </c>
      <c r="G664" s="9">
        <f t="shared" si="53"/>
        <v>3</v>
      </c>
      <c r="H664" s="9">
        <f t="shared" si="50"/>
        <v>3</v>
      </c>
      <c r="I664" s="9" t="s">
        <v>19</v>
      </c>
      <c r="J664" s="9" t="s">
        <v>3134</v>
      </c>
      <c r="K664" s="9" t="s">
        <v>3135</v>
      </c>
      <c r="L664" s="9" t="s">
        <v>22</v>
      </c>
      <c r="M664" s="9" t="s">
        <v>23</v>
      </c>
      <c r="N664" s="9" t="s">
        <v>3136</v>
      </c>
      <c r="O664" s="9" t="s">
        <v>89</v>
      </c>
      <c r="P664" s="9">
        <v>1810</v>
      </c>
      <c r="Q664" s="9" t="s">
        <v>49</v>
      </c>
      <c r="R664" s="9" t="s">
        <v>3137</v>
      </c>
      <c r="S664" s="9" t="s">
        <v>66</v>
      </c>
      <c r="T664" s="9" t="s">
        <v>74</v>
      </c>
      <c r="U664" s="9" t="s">
        <v>3138</v>
      </c>
      <c r="V664" s="11">
        <v>11.21</v>
      </c>
      <c r="W664" s="9" t="str">
        <f t="shared" si="54"/>
        <v>Fast Delivery</v>
      </c>
    </row>
    <row r="665" spans="1:23" x14ac:dyDescent="0.25">
      <c r="A665" s="9">
        <v>8412</v>
      </c>
      <c r="B665" s="10" t="s">
        <v>3144</v>
      </c>
      <c r="C665" s="10">
        <v>42864</v>
      </c>
      <c r="D665" s="10">
        <v>42867</v>
      </c>
      <c r="E665" s="9">
        <f t="shared" si="51"/>
        <v>2017</v>
      </c>
      <c r="F665" s="10" t="str">
        <f t="shared" si="52"/>
        <v>May</v>
      </c>
      <c r="G665" s="9">
        <f t="shared" si="53"/>
        <v>5</v>
      </c>
      <c r="H665" s="9">
        <f t="shared" si="50"/>
        <v>3</v>
      </c>
      <c r="I665" s="9" t="s">
        <v>32</v>
      </c>
      <c r="J665" s="9" t="s">
        <v>3145</v>
      </c>
      <c r="K665" s="9" t="s">
        <v>3146</v>
      </c>
      <c r="L665" s="9" t="s">
        <v>22</v>
      </c>
      <c r="M665" s="9" t="s">
        <v>23</v>
      </c>
      <c r="N665" s="9" t="s">
        <v>1284</v>
      </c>
      <c r="O665" s="9" t="s">
        <v>298</v>
      </c>
      <c r="P665" s="9">
        <v>24153</v>
      </c>
      <c r="Q665" s="9" t="s">
        <v>110</v>
      </c>
      <c r="R665" s="9" t="s">
        <v>3147</v>
      </c>
      <c r="S665" s="9" t="s">
        <v>66</v>
      </c>
      <c r="T665" s="9" t="s">
        <v>158</v>
      </c>
      <c r="U665" s="9" t="s">
        <v>3148</v>
      </c>
      <c r="V665" s="11">
        <v>27.86</v>
      </c>
      <c r="W665" s="9" t="str">
        <f t="shared" si="54"/>
        <v>Fast Delivery</v>
      </c>
    </row>
    <row r="666" spans="1:23" x14ac:dyDescent="0.25">
      <c r="A666" s="9">
        <v>2839</v>
      </c>
      <c r="B666" s="10" t="s">
        <v>3149</v>
      </c>
      <c r="C666" s="10">
        <v>42895</v>
      </c>
      <c r="D666" s="10">
        <v>42898</v>
      </c>
      <c r="E666" s="9">
        <f t="shared" si="51"/>
        <v>2017</v>
      </c>
      <c r="F666" s="10" t="str">
        <f t="shared" si="52"/>
        <v>Jun</v>
      </c>
      <c r="G666" s="9">
        <f t="shared" si="53"/>
        <v>6</v>
      </c>
      <c r="H666" s="9">
        <f t="shared" si="50"/>
        <v>3</v>
      </c>
      <c r="I666" s="9" t="s">
        <v>19</v>
      </c>
      <c r="J666" s="9" t="s">
        <v>3150</v>
      </c>
      <c r="K666" s="9" t="s">
        <v>3151</v>
      </c>
      <c r="L666" s="9" t="s">
        <v>22</v>
      </c>
      <c r="M666" s="9" t="s">
        <v>23</v>
      </c>
      <c r="N666" s="9" t="s">
        <v>2074</v>
      </c>
      <c r="O666" s="9" t="s">
        <v>130</v>
      </c>
      <c r="P666" s="9">
        <v>32303</v>
      </c>
      <c r="Q666" s="9" t="s">
        <v>110</v>
      </c>
      <c r="R666" s="9" t="s">
        <v>3152</v>
      </c>
      <c r="S666" s="9" t="s">
        <v>28</v>
      </c>
      <c r="T666" s="9" t="s">
        <v>364</v>
      </c>
      <c r="U666" s="9" t="s">
        <v>3153</v>
      </c>
      <c r="V666" s="11">
        <v>695.7</v>
      </c>
      <c r="W666" s="9" t="str">
        <f t="shared" si="54"/>
        <v>Fast Delivery</v>
      </c>
    </row>
    <row r="667" spans="1:23" x14ac:dyDescent="0.25">
      <c r="A667" s="9">
        <v>7604</v>
      </c>
      <c r="B667" s="10" t="s">
        <v>3102</v>
      </c>
      <c r="C667" s="10">
        <v>42924</v>
      </c>
      <c r="D667" s="10">
        <v>42928</v>
      </c>
      <c r="E667" s="9">
        <f t="shared" si="51"/>
        <v>2017</v>
      </c>
      <c r="F667" s="10" t="str">
        <f t="shared" si="52"/>
        <v>Jul</v>
      </c>
      <c r="G667" s="9">
        <f t="shared" si="53"/>
        <v>7</v>
      </c>
      <c r="H667" s="9">
        <f t="shared" si="50"/>
        <v>4</v>
      </c>
      <c r="I667" s="9" t="s">
        <v>43</v>
      </c>
      <c r="J667" s="9" t="s">
        <v>3103</v>
      </c>
      <c r="K667" s="9" t="s">
        <v>3104</v>
      </c>
      <c r="L667" s="9" t="s">
        <v>87</v>
      </c>
      <c r="M667" s="9" t="s">
        <v>23</v>
      </c>
      <c r="N667" s="9" t="s">
        <v>1876</v>
      </c>
      <c r="O667" s="9" t="s">
        <v>1877</v>
      </c>
      <c r="P667" s="9">
        <v>2908</v>
      </c>
      <c r="Q667" s="9" t="s">
        <v>49</v>
      </c>
      <c r="R667" s="9" t="s">
        <v>3105</v>
      </c>
      <c r="S667" s="9" t="s">
        <v>66</v>
      </c>
      <c r="T667" s="9" t="s">
        <v>201</v>
      </c>
      <c r="U667" s="9" t="s">
        <v>3106</v>
      </c>
      <c r="V667" s="11">
        <v>12.96</v>
      </c>
      <c r="W667" s="9" t="str">
        <f t="shared" si="54"/>
        <v>Slow Delivery</v>
      </c>
    </row>
    <row r="668" spans="1:23" x14ac:dyDescent="0.25">
      <c r="A668" s="9">
        <v>5083</v>
      </c>
      <c r="B668" s="10" t="s">
        <v>3112</v>
      </c>
      <c r="C668" s="10">
        <v>42986</v>
      </c>
      <c r="D668" s="10">
        <v>42990</v>
      </c>
      <c r="E668" s="9">
        <f t="shared" si="51"/>
        <v>2017</v>
      </c>
      <c r="F668" s="10" t="str">
        <f t="shared" si="52"/>
        <v>Sep</v>
      </c>
      <c r="G668" s="9">
        <f t="shared" si="53"/>
        <v>9</v>
      </c>
      <c r="H668" s="9">
        <f t="shared" si="50"/>
        <v>4</v>
      </c>
      <c r="I668" s="9" t="s">
        <v>43</v>
      </c>
      <c r="J668" s="9" t="s">
        <v>3113</v>
      </c>
      <c r="K668" s="9" t="s">
        <v>3114</v>
      </c>
      <c r="L668" s="9" t="s">
        <v>22</v>
      </c>
      <c r="M668" s="9" t="s">
        <v>23</v>
      </c>
      <c r="N668" s="9" t="s">
        <v>2175</v>
      </c>
      <c r="O668" s="9" t="s">
        <v>137</v>
      </c>
      <c r="P668" s="9">
        <v>28110</v>
      </c>
      <c r="Q668" s="9" t="s">
        <v>110</v>
      </c>
      <c r="R668" s="9" t="s">
        <v>1235</v>
      </c>
      <c r="S668" s="9" t="s">
        <v>28</v>
      </c>
      <c r="T668" s="9" t="s">
        <v>29</v>
      </c>
      <c r="U668" s="9" t="s">
        <v>1236</v>
      </c>
      <c r="V668" s="11">
        <v>35.167999999999999</v>
      </c>
      <c r="W668" s="9" t="str">
        <f t="shared" si="54"/>
        <v>Slow Delivery</v>
      </c>
    </row>
    <row r="669" spans="1:23" x14ac:dyDescent="0.25">
      <c r="A669" s="9">
        <v>4975</v>
      </c>
      <c r="B669" s="10" t="s">
        <v>3076</v>
      </c>
      <c r="C669" s="10">
        <v>43046</v>
      </c>
      <c r="D669" s="10">
        <v>43051</v>
      </c>
      <c r="E669" s="9">
        <f t="shared" si="51"/>
        <v>2017</v>
      </c>
      <c r="F669" s="10" t="str">
        <f t="shared" si="52"/>
        <v>Nov</v>
      </c>
      <c r="G669" s="9">
        <f t="shared" si="53"/>
        <v>11</v>
      </c>
      <c r="H669" s="9">
        <f t="shared" si="50"/>
        <v>5</v>
      </c>
      <c r="I669" s="9" t="s">
        <v>43</v>
      </c>
      <c r="J669" s="9" t="s">
        <v>3077</v>
      </c>
      <c r="K669" s="9" t="s">
        <v>3078</v>
      </c>
      <c r="L669" s="9" t="s">
        <v>46</v>
      </c>
      <c r="M669" s="9" t="s">
        <v>23</v>
      </c>
      <c r="N669" s="9" t="s">
        <v>2484</v>
      </c>
      <c r="O669" s="9" t="s">
        <v>80</v>
      </c>
      <c r="P669" s="9">
        <v>92054</v>
      </c>
      <c r="Q669" s="9" t="s">
        <v>37</v>
      </c>
      <c r="R669" s="9" t="s">
        <v>3079</v>
      </c>
      <c r="S669" s="9" t="s">
        <v>66</v>
      </c>
      <c r="T669" s="9" t="s">
        <v>201</v>
      </c>
      <c r="U669" s="9" t="s">
        <v>3080</v>
      </c>
      <c r="V669" s="11">
        <v>12.9</v>
      </c>
      <c r="W669" s="9" t="str">
        <f t="shared" si="54"/>
        <v>Slow Delivery</v>
      </c>
    </row>
    <row r="670" spans="1:23" x14ac:dyDescent="0.25">
      <c r="A670" s="9">
        <v>9716</v>
      </c>
      <c r="B670" s="10" t="s">
        <v>3081</v>
      </c>
      <c r="C670" s="10">
        <v>43046</v>
      </c>
      <c r="D670" s="10">
        <v>43051</v>
      </c>
      <c r="E670" s="9">
        <f t="shared" si="51"/>
        <v>2017</v>
      </c>
      <c r="F670" s="10" t="str">
        <f t="shared" si="52"/>
        <v>Nov</v>
      </c>
      <c r="G670" s="9">
        <f t="shared" si="53"/>
        <v>11</v>
      </c>
      <c r="H670" s="9">
        <f t="shared" si="50"/>
        <v>5</v>
      </c>
      <c r="I670" s="9" t="s">
        <v>43</v>
      </c>
      <c r="J670" s="9" t="s">
        <v>3082</v>
      </c>
      <c r="K670" s="9" t="s">
        <v>3083</v>
      </c>
      <c r="L670" s="9" t="s">
        <v>22</v>
      </c>
      <c r="M670" s="9" t="s">
        <v>23</v>
      </c>
      <c r="N670" s="9" t="s">
        <v>143</v>
      </c>
      <c r="O670" s="9" t="s">
        <v>80</v>
      </c>
      <c r="P670" s="9">
        <v>94122</v>
      </c>
      <c r="Q670" s="9" t="s">
        <v>37</v>
      </c>
      <c r="R670" s="9" t="s">
        <v>3084</v>
      </c>
      <c r="S670" s="9" t="s">
        <v>66</v>
      </c>
      <c r="T670" s="9" t="s">
        <v>103</v>
      </c>
      <c r="U670" s="9" t="s">
        <v>3085</v>
      </c>
      <c r="V670" s="11">
        <v>57.584000000000003</v>
      </c>
      <c r="W670" s="9" t="str">
        <f t="shared" si="54"/>
        <v>Slow Delivery</v>
      </c>
    </row>
    <row r="671" spans="1:23" x14ac:dyDescent="0.25">
      <c r="A671" s="9">
        <v>895</v>
      </c>
      <c r="B671" s="10" t="s">
        <v>3191</v>
      </c>
      <c r="C671" s="10">
        <v>43049</v>
      </c>
      <c r="D671" s="10">
        <v>43051</v>
      </c>
      <c r="E671" s="9">
        <f t="shared" si="51"/>
        <v>2017</v>
      </c>
      <c r="F671" s="10" t="str">
        <f t="shared" si="52"/>
        <v>Nov</v>
      </c>
      <c r="G671" s="9">
        <f t="shared" si="53"/>
        <v>11</v>
      </c>
      <c r="H671" s="9">
        <f t="shared" si="50"/>
        <v>2</v>
      </c>
      <c r="I671" s="9" t="s">
        <v>19</v>
      </c>
      <c r="J671" s="9" t="s">
        <v>3192</v>
      </c>
      <c r="K671" s="9" t="s">
        <v>3193</v>
      </c>
      <c r="L671" s="9" t="s">
        <v>87</v>
      </c>
      <c r="M671" s="9" t="s">
        <v>23</v>
      </c>
      <c r="N671" s="9" t="s">
        <v>143</v>
      </c>
      <c r="O671" s="9" t="s">
        <v>80</v>
      </c>
      <c r="P671" s="9">
        <v>94122</v>
      </c>
      <c r="Q671" s="9" t="s">
        <v>37</v>
      </c>
      <c r="R671" s="9" t="s">
        <v>1031</v>
      </c>
      <c r="S671" s="9" t="s">
        <v>66</v>
      </c>
      <c r="T671" s="9" t="s">
        <v>74</v>
      </c>
      <c r="U671" s="9" t="s">
        <v>1032</v>
      </c>
      <c r="V671" s="11">
        <v>155.82</v>
      </c>
      <c r="W671" s="9" t="str">
        <f t="shared" si="54"/>
        <v>Fast Delivery</v>
      </c>
    </row>
    <row r="672" spans="1:23" x14ac:dyDescent="0.25">
      <c r="A672" s="9">
        <v>2934</v>
      </c>
      <c r="B672" s="10" t="s">
        <v>3027</v>
      </c>
      <c r="C672" s="10">
        <v>43075</v>
      </c>
      <c r="D672" s="10">
        <v>43081</v>
      </c>
      <c r="E672" s="9">
        <f t="shared" si="51"/>
        <v>2017</v>
      </c>
      <c r="F672" s="10" t="str">
        <f t="shared" si="52"/>
        <v>Dec</v>
      </c>
      <c r="G672" s="9">
        <f t="shared" si="53"/>
        <v>12</v>
      </c>
      <c r="H672" s="9">
        <f t="shared" si="50"/>
        <v>6</v>
      </c>
      <c r="I672" s="9" t="s">
        <v>43</v>
      </c>
      <c r="J672" s="9" t="s">
        <v>3028</v>
      </c>
      <c r="K672" s="9" t="s">
        <v>3029</v>
      </c>
      <c r="L672" s="9" t="s">
        <v>22</v>
      </c>
      <c r="M672" s="9" t="s">
        <v>23</v>
      </c>
      <c r="N672" s="9" t="s">
        <v>35</v>
      </c>
      <c r="O672" s="9" t="s">
        <v>36</v>
      </c>
      <c r="P672" s="9">
        <v>98105</v>
      </c>
      <c r="Q672" s="9" t="s">
        <v>37</v>
      </c>
      <c r="R672" s="9" t="s">
        <v>3030</v>
      </c>
      <c r="S672" s="9" t="s">
        <v>28</v>
      </c>
      <c r="T672" s="9" t="s">
        <v>51</v>
      </c>
      <c r="U672" s="9" t="s">
        <v>3031</v>
      </c>
      <c r="V672" s="11">
        <v>156.792</v>
      </c>
      <c r="W672" s="9" t="str">
        <f t="shared" si="54"/>
        <v>Slow Delivery</v>
      </c>
    </row>
    <row r="673" spans="1:23" x14ac:dyDescent="0.25">
      <c r="A673" s="9">
        <v>8569</v>
      </c>
      <c r="B673" s="10" t="s">
        <v>3032</v>
      </c>
      <c r="C673" s="10">
        <v>43075</v>
      </c>
      <c r="D673" s="10">
        <v>43081</v>
      </c>
      <c r="E673" s="9">
        <f t="shared" si="51"/>
        <v>2017</v>
      </c>
      <c r="F673" s="10" t="str">
        <f t="shared" si="52"/>
        <v>Dec</v>
      </c>
      <c r="G673" s="9">
        <f t="shared" si="53"/>
        <v>12</v>
      </c>
      <c r="H673" s="9">
        <f t="shared" si="50"/>
        <v>6</v>
      </c>
      <c r="I673" s="9" t="s">
        <v>43</v>
      </c>
      <c r="J673" s="9" t="s">
        <v>3033</v>
      </c>
      <c r="K673" s="9" t="s">
        <v>3034</v>
      </c>
      <c r="L673" s="9" t="s">
        <v>87</v>
      </c>
      <c r="M673" s="9" t="s">
        <v>23</v>
      </c>
      <c r="N673" s="9" t="s">
        <v>2080</v>
      </c>
      <c r="O673" s="9" t="s">
        <v>48</v>
      </c>
      <c r="P673" s="9">
        <v>11550</v>
      </c>
      <c r="Q673" s="9" t="s">
        <v>49</v>
      </c>
      <c r="R673" s="9" t="s">
        <v>2804</v>
      </c>
      <c r="S673" s="9" t="s">
        <v>66</v>
      </c>
      <c r="T673" s="9" t="s">
        <v>103</v>
      </c>
      <c r="U673" s="9" t="s">
        <v>2805</v>
      </c>
      <c r="V673" s="11">
        <v>968.74400000000003</v>
      </c>
      <c r="W673" s="9" t="str">
        <f t="shared" si="54"/>
        <v>Slow Delivery</v>
      </c>
    </row>
    <row r="674" spans="1:23" x14ac:dyDescent="0.25">
      <c r="A674" s="9">
        <v>54</v>
      </c>
      <c r="B674" s="10" t="s">
        <v>3229</v>
      </c>
      <c r="C674" s="10">
        <v>43080</v>
      </c>
      <c r="D674" s="10">
        <v>43086</v>
      </c>
      <c r="E674" s="9">
        <f t="shared" si="51"/>
        <v>2017</v>
      </c>
      <c r="F674" s="10" t="str">
        <f t="shared" si="52"/>
        <v>Dec</v>
      </c>
      <c r="G674" s="9">
        <f t="shared" si="53"/>
        <v>12</v>
      </c>
      <c r="H674" s="9">
        <f t="shared" si="50"/>
        <v>6</v>
      </c>
      <c r="I674" s="9" t="s">
        <v>43</v>
      </c>
      <c r="J674" s="9" t="s">
        <v>3230</v>
      </c>
      <c r="K674" s="9" t="s">
        <v>3231</v>
      </c>
      <c r="L674" s="9" t="s">
        <v>87</v>
      </c>
      <c r="M674" s="9" t="s">
        <v>23</v>
      </c>
      <c r="N674" s="9" t="s">
        <v>47</v>
      </c>
      <c r="O674" s="9" t="s">
        <v>48</v>
      </c>
      <c r="P674" s="9">
        <v>10024</v>
      </c>
      <c r="Q674" s="9" t="s">
        <v>49</v>
      </c>
      <c r="R674" s="9" t="s">
        <v>3232</v>
      </c>
      <c r="S674" s="9" t="s">
        <v>66</v>
      </c>
      <c r="T674" s="9" t="s">
        <v>67</v>
      </c>
      <c r="U674" s="9" t="s">
        <v>3233</v>
      </c>
      <c r="V674" s="11">
        <v>15.26</v>
      </c>
      <c r="W674" s="9" t="str">
        <f t="shared" si="54"/>
        <v>Slow Delivery</v>
      </c>
    </row>
    <row r="675" spans="1:23" x14ac:dyDescent="0.25">
      <c r="A675" s="9">
        <v>5251</v>
      </c>
      <c r="B675" s="10" t="s">
        <v>3273</v>
      </c>
      <c r="C675" s="10">
        <v>43081</v>
      </c>
      <c r="D675" s="10">
        <v>43087</v>
      </c>
      <c r="E675" s="9">
        <f t="shared" si="51"/>
        <v>2017</v>
      </c>
      <c r="F675" s="10" t="str">
        <f t="shared" si="52"/>
        <v>Dec</v>
      </c>
      <c r="G675" s="9">
        <f t="shared" si="53"/>
        <v>12</v>
      </c>
      <c r="H675" s="9">
        <f t="shared" si="50"/>
        <v>6</v>
      </c>
      <c r="I675" s="9" t="s">
        <v>43</v>
      </c>
      <c r="J675" s="9" t="s">
        <v>3274</v>
      </c>
      <c r="K675" s="9" t="s">
        <v>3275</v>
      </c>
      <c r="L675" s="9" t="s">
        <v>22</v>
      </c>
      <c r="M675" s="9" t="s">
        <v>23</v>
      </c>
      <c r="N675" s="9" t="s">
        <v>249</v>
      </c>
      <c r="O675" s="9" t="s">
        <v>286</v>
      </c>
      <c r="P675" s="9">
        <v>31907</v>
      </c>
      <c r="Q675" s="9" t="s">
        <v>110</v>
      </c>
      <c r="R675" s="9" t="s">
        <v>3276</v>
      </c>
      <c r="S675" s="9" t="s">
        <v>28</v>
      </c>
      <c r="T675" s="9" t="s">
        <v>29</v>
      </c>
      <c r="U675" s="9" t="s">
        <v>3277</v>
      </c>
      <c r="V675" s="11">
        <v>249.95</v>
      </c>
      <c r="W675" s="9" t="str">
        <f t="shared" si="54"/>
        <v>Slow Delivery</v>
      </c>
    </row>
    <row r="676" spans="1:23" x14ac:dyDescent="0.25">
      <c r="A676" s="9">
        <v>6378</v>
      </c>
      <c r="B676" s="10" t="s">
        <v>3818</v>
      </c>
      <c r="C676" s="10">
        <v>43084</v>
      </c>
      <c r="D676" s="10">
        <v>43091</v>
      </c>
      <c r="E676" s="9">
        <f t="shared" si="51"/>
        <v>2017</v>
      </c>
      <c r="F676" s="10" t="str">
        <f t="shared" si="52"/>
        <v>Dec</v>
      </c>
      <c r="G676" s="9">
        <f t="shared" si="53"/>
        <v>12</v>
      </c>
      <c r="H676" s="9">
        <f t="shared" si="50"/>
        <v>7</v>
      </c>
      <c r="I676" s="9" t="s">
        <v>43</v>
      </c>
      <c r="J676" s="9" t="s">
        <v>3819</v>
      </c>
      <c r="K676" s="9" t="s">
        <v>3820</v>
      </c>
      <c r="L676" s="9" t="s">
        <v>22</v>
      </c>
      <c r="M676" s="9" t="s">
        <v>23</v>
      </c>
      <c r="N676" s="9" t="s">
        <v>213</v>
      </c>
      <c r="O676" s="9" t="s">
        <v>80</v>
      </c>
      <c r="P676" s="9">
        <v>90004</v>
      </c>
      <c r="Q676" s="9" t="s">
        <v>37</v>
      </c>
      <c r="R676" s="9" t="s">
        <v>3821</v>
      </c>
      <c r="S676" s="9" t="s">
        <v>39</v>
      </c>
      <c r="T676" s="9" t="s">
        <v>112</v>
      </c>
      <c r="U676" s="9" t="s">
        <v>3822</v>
      </c>
      <c r="V676" s="11">
        <v>14.76</v>
      </c>
      <c r="W676" s="9" t="str">
        <f t="shared" si="54"/>
        <v>Slow Delivery</v>
      </c>
    </row>
    <row r="677" spans="1:23" x14ac:dyDescent="0.25">
      <c r="A677" s="9">
        <v>5912</v>
      </c>
      <c r="B677" s="10" t="s">
        <v>3879</v>
      </c>
      <c r="C677" s="10">
        <v>43086</v>
      </c>
      <c r="D677" s="10">
        <v>43091</v>
      </c>
      <c r="E677" s="9">
        <f t="shared" si="51"/>
        <v>2017</v>
      </c>
      <c r="F677" s="10" t="str">
        <f t="shared" si="52"/>
        <v>Dec</v>
      </c>
      <c r="G677" s="9">
        <f t="shared" si="53"/>
        <v>12</v>
      </c>
      <c r="H677" s="9">
        <f t="shared" si="50"/>
        <v>5</v>
      </c>
      <c r="I677" s="9" t="s">
        <v>43</v>
      </c>
      <c r="J677" s="9" t="s">
        <v>3880</v>
      </c>
      <c r="K677" s="9" t="s">
        <v>3881</v>
      </c>
      <c r="L677" s="9" t="s">
        <v>46</v>
      </c>
      <c r="M677" s="9" t="s">
        <v>23</v>
      </c>
      <c r="N677" s="9" t="s">
        <v>35</v>
      </c>
      <c r="O677" s="9" t="s">
        <v>36</v>
      </c>
      <c r="P677" s="9">
        <v>98115</v>
      </c>
      <c r="Q677" s="9" t="s">
        <v>37</v>
      </c>
      <c r="R677" s="9" t="s">
        <v>1696</v>
      </c>
      <c r="S677" s="9" t="s">
        <v>66</v>
      </c>
      <c r="T677" s="9" t="s">
        <v>74</v>
      </c>
      <c r="U677" s="9" t="s">
        <v>1697</v>
      </c>
      <c r="V677" s="11">
        <v>46.53</v>
      </c>
      <c r="W677" s="9" t="str">
        <f t="shared" si="54"/>
        <v>Slow Delivery</v>
      </c>
    </row>
    <row r="678" spans="1:23" x14ac:dyDescent="0.25">
      <c r="A678" s="9">
        <v>2121</v>
      </c>
      <c r="B678" s="10" t="s">
        <v>3595</v>
      </c>
      <c r="C678" s="10">
        <v>43107</v>
      </c>
      <c r="D678" s="10">
        <v>43113</v>
      </c>
      <c r="E678" s="9">
        <f t="shared" si="51"/>
        <v>2018</v>
      </c>
      <c r="F678" s="10" t="str">
        <f t="shared" si="52"/>
        <v>Jan</v>
      </c>
      <c r="G678" s="9">
        <f t="shared" si="53"/>
        <v>1</v>
      </c>
      <c r="H678" s="9">
        <f t="shared" si="50"/>
        <v>6</v>
      </c>
      <c r="I678" s="9" t="s">
        <v>43</v>
      </c>
      <c r="J678" s="9" t="s">
        <v>3596</v>
      </c>
      <c r="K678" s="9" t="s">
        <v>3597</v>
      </c>
      <c r="L678" s="9" t="s">
        <v>22</v>
      </c>
      <c r="M678" s="9" t="s">
        <v>23</v>
      </c>
      <c r="N678" s="9" t="s">
        <v>3598</v>
      </c>
      <c r="O678" s="9" t="s">
        <v>130</v>
      </c>
      <c r="P678" s="9">
        <v>32174</v>
      </c>
      <c r="Q678" s="9" t="s">
        <v>110</v>
      </c>
      <c r="R678" s="9" t="s">
        <v>2464</v>
      </c>
      <c r="S678" s="9" t="s">
        <v>66</v>
      </c>
      <c r="T678" s="9" t="s">
        <v>103</v>
      </c>
      <c r="U678" s="9" t="s">
        <v>2465</v>
      </c>
      <c r="V678" s="11">
        <v>2.8079999999999998</v>
      </c>
      <c r="W678" s="9" t="str">
        <f t="shared" si="54"/>
        <v>Slow Delivery</v>
      </c>
    </row>
    <row r="679" spans="1:23" x14ac:dyDescent="0.25">
      <c r="A679" s="9">
        <v>8667</v>
      </c>
      <c r="B679" s="10" t="s">
        <v>3980</v>
      </c>
      <c r="C679" s="10">
        <v>43099</v>
      </c>
      <c r="D679" s="10">
        <v>43102</v>
      </c>
      <c r="E679" s="9">
        <f t="shared" si="51"/>
        <v>2017</v>
      </c>
      <c r="F679" s="10" t="str">
        <f t="shared" si="52"/>
        <v>Dec</v>
      </c>
      <c r="G679" s="9">
        <f t="shared" si="53"/>
        <v>12</v>
      </c>
      <c r="H679" s="9">
        <f t="shared" si="50"/>
        <v>3</v>
      </c>
      <c r="I679" s="9" t="s">
        <v>19</v>
      </c>
      <c r="J679" s="9" t="s">
        <v>3981</v>
      </c>
      <c r="K679" s="9" t="s">
        <v>3982</v>
      </c>
      <c r="L679" s="9" t="s">
        <v>87</v>
      </c>
      <c r="M679" s="9" t="s">
        <v>23</v>
      </c>
      <c r="N679" s="9" t="s">
        <v>149</v>
      </c>
      <c r="O679" s="9" t="s">
        <v>150</v>
      </c>
      <c r="P679" s="9">
        <v>19140</v>
      </c>
      <c r="Q679" s="9" t="s">
        <v>49</v>
      </c>
      <c r="R679" s="9" t="s">
        <v>3983</v>
      </c>
      <c r="S679" s="9" t="s">
        <v>66</v>
      </c>
      <c r="T679" s="9" t="s">
        <v>158</v>
      </c>
      <c r="U679" s="9" t="s">
        <v>3984</v>
      </c>
      <c r="V679" s="11">
        <v>16.52</v>
      </c>
      <c r="W679" s="9" t="str">
        <f t="shared" si="54"/>
        <v>Fast Delivery</v>
      </c>
    </row>
    <row r="680" spans="1:23" x14ac:dyDescent="0.25">
      <c r="A680" s="9">
        <v>2214</v>
      </c>
      <c r="B680" s="10" t="s">
        <v>3316</v>
      </c>
      <c r="C680" s="10">
        <v>43374</v>
      </c>
      <c r="D680" s="10">
        <v>43375</v>
      </c>
      <c r="E680" s="9">
        <f t="shared" si="51"/>
        <v>2018</v>
      </c>
      <c r="F680" s="10" t="str">
        <f t="shared" si="52"/>
        <v>Oct</v>
      </c>
      <c r="G680" s="9">
        <f t="shared" si="53"/>
        <v>10</v>
      </c>
      <c r="H680" s="9">
        <f t="shared" si="50"/>
        <v>1</v>
      </c>
      <c r="I680" s="9" t="s">
        <v>19</v>
      </c>
      <c r="J680" s="9" t="s">
        <v>3317</v>
      </c>
      <c r="K680" s="9" t="s">
        <v>3318</v>
      </c>
      <c r="L680" s="9" t="s">
        <v>22</v>
      </c>
      <c r="M680" s="9" t="s">
        <v>23</v>
      </c>
      <c r="N680" s="9" t="s">
        <v>1422</v>
      </c>
      <c r="O680" s="9" t="s">
        <v>80</v>
      </c>
      <c r="P680" s="9">
        <v>95123</v>
      </c>
      <c r="Q680" s="9" t="s">
        <v>37</v>
      </c>
      <c r="R680" s="9" t="s">
        <v>3319</v>
      </c>
      <c r="S680" s="9" t="s">
        <v>66</v>
      </c>
      <c r="T680" s="9" t="s">
        <v>103</v>
      </c>
      <c r="U680" s="9" t="s">
        <v>3320</v>
      </c>
      <c r="V680" s="11">
        <v>1.44</v>
      </c>
      <c r="W680" s="9" t="str">
        <f t="shared" si="54"/>
        <v>Fast Delivery</v>
      </c>
    </row>
    <row r="681" spans="1:23" x14ac:dyDescent="0.25">
      <c r="A681" s="9">
        <v>8642</v>
      </c>
      <c r="B681" s="10" t="s">
        <v>3407</v>
      </c>
      <c r="C681" s="10">
        <v>43436</v>
      </c>
      <c r="D681" s="10">
        <v>43436</v>
      </c>
      <c r="E681" s="9">
        <f t="shared" si="51"/>
        <v>2018</v>
      </c>
      <c r="F681" s="10" t="str">
        <f t="shared" si="52"/>
        <v>Dec</v>
      </c>
      <c r="G681" s="9">
        <f t="shared" si="53"/>
        <v>12</v>
      </c>
      <c r="H681" s="9">
        <f t="shared" si="50"/>
        <v>0</v>
      </c>
      <c r="I681" s="9" t="s">
        <v>302</v>
      </c>
      <c r="J681" s="9" t="s">
        <v>3408</v>
      </c>
      <c r="K681" s="9" t="s">
        <v>3409</v>
      </c>
      <c r="L681" s="9" t="s">
        <v>22</v>
      </c>
      <c r="M681" s="9" t="s">
        <v>23</v>
      </c>
      <c r="N681" s="9" t="s">
        <v>1093</v>
      </c>
      <c r="O681" s="9" t="s">
        <v>382</v>
      </c>
      <c r="P681" s="9">
        <v>85345</v>
      </c>
      <c r="Q681" s="9" t="s">
        <v>37</v>
      </c>
      <c r="R681" s="9" t="s">
        <v>807</v>
      </c>
      <c r="S681" s="9" t="s">
        <v>66</v>
      </c>
      <c r="T681" s="9" t="s">
        <v>103</v>
      </c>
      <c r="U681" s="9" t="s">
        <v>808</v>
      </c>
      <c r="V681" s="11">
        <v>67.86</v>
      </c>
      <c r="W681" s="9" t="str">
        <f t="shared" si="54"/>
        <v>Fast Delivery</v>
      </c>
    </row>
    <row r="682" spans="1:23" x14ac:dyDescent="0.25">
      <c r="A682" s="9">
        <v>3085</v>
      </c>
      <c r="B682" s="10" t="s">
        <v>3634</v>
      </c>
      <c r="C682" s="10">
        <v>43140</v>
      </c>
      <c r="D682" s="10">
        <v>43145</v>
      </c>
      <c r="E682" s="9">
        <f t="shared" si="51"/>
        <v>2018</v>
      </c>
      <c r="F682" s="10" t="str">
        <f t="shared" si="52"/>
        <v>Feb</v>
      </c>
      <c r="G682" s="9">
        <f t="shared" si="53"/>
        <v>2</v>
      </c>
      <c r="H682" s="9">
        <f t="shared" si="50"/>
        <v>5</v>
      </c>
      <c r="I682" s="9" t="s">
        <v>43</v>
      </c>
      <c r="J682" s="9" t="s">
        <v>3635</v>
      </c>
      <c r="K682" s="9" t="s">
        <v>3636</v>
      </c>
      <c r="L682" s="9" t="s">
        <v>22</v>
      </c>
      <c r="M682" s="9" t="s">
        <v>23</v>
      </c>
      <c r="N682" s="9" t="s">
        <v>72</v>
      </c>
      <c r="O682" s="9" t="s">
        <v>64</v>
      </c>
      <c r="P682" s="9">
        <v>77070</v>
      </c>
      <c r="Q682" s="9" t="s">
        <v>26</v>
      </c>
      <c r="R682" s="9" t="s">
        <v>3413</v>
      </c>
      <c r="S682" s="9" t="s">
        <v>66</v>
      </c>
      <c r="T682" s="9" t="s">
        <v>103</v>
      </c>
      <c r="U682" s="9" t="s">
        <v>3414</v>
      </c>
      <c r="V682" s="11">
        <v>252.78399999999999</v>
      </c>
      <c r="W682" s="9" t="str">
        <f t="shared" si="54"/>
        <v>Slow Delivery</v>
      </c>
    </row>
    <row r="683" spans="1:23" x14ac:dyDescent="0.25">
      <c r="A683" s="9">
        <v>9239</v>
      </c>
      <c r="B683" s="10" t="s">
        <v>3694</v>
      </c>
      <c r="C683" s="10">
        <v>43142</v>
      </c>
      <c r="D683" s="10">
        <v>43145</v>
      </c>
      <c r="E683" s="9">
        <f t="shared" si="51"/>
        <v>2018</v>
      </c>
      <c r="F683" s="10" t="str">
        <f t="shared" si="52"/>
        <v>Feb</v>
      </c>
      <c r="G683" s="9">
        <f t="shared" si="53"/>
        <v>2</v>
      </c>
      <c r="H683" s="9">
        <f t="shared" si="50"/>
        <v>3</v>
      </c>
      <c r="I683" s="9" t="s">
        <v>19</v>
      </c>
      <c r="J683" s="9" t="s">
        <v>3695</v>
      </c>
      <c r="K683" s="9" t="s">
        <v>3696</v>
      </c>
      <c r="L683" s="9" t="s">
        <v>22</v>
      </c>
      <c r="M683" s="9" t="s">
        <v>23</v>
      </c>
      <c r="N683" s="9" t="s">
        <v>249</v>
      </c>
      <c r="O683" s="9" t="s">
        <v>250</v>
      </c>
      <c r="P683" s="9">
        <v>43229</v>
      </c>
      <c r="Q683" s="9" t="s">
        <v>49</v>
      </c>
      <c r="R683" s="9" t="s">
        <v>3530</v>
      </c>
      <c r="S683" s="9" t="s">
        <v>39</v>
      </c>
      <c r="T683" s="9" t="s">
        <v>112</v>
      </c>
      <c r="U683" s="9" t="s">
        <v>3531</v>
      </c>
      <c r="V683" s="11">
        <v>147.56800000000001</v>
      </c>
      <c r="W683" s="9" t="str">
        <f t="shared" si="54"/>
        <v>Fast Delivery</v>
      </c>
    </row>
    <row r="684" spans="1:23" x14ac:dyDescent="0.25">
      <c r="A684" s="9">
        <v>4218</v>
      </c>
      <c r="B684" s="10" t="s">
        <v>3281</v>
      </c>
      <c r="C684" s="10">
        <v>43191</v>
      </c>
      <c r="D684" s="10">
        <v>43193</v>
      </c>
      <c r="E684" s="9">
        <f t="shared" si="51"/>
        <v>2018</v>
      </c>
      <c r="F684" s="10" t="str">
        <f t="shared" si="52"/>
        <v>Apr</v>
      </c>
      <c r="G684" s="9">
        <f t="shared" si="53"/>
        <v>4</v>
      </c>
      <c r="H684" s="9">
        <f t="shared" si="50"/>
        <v>2</v>
      </c>
      <c r="I684" s="9" t="s">
        <v>19</v>
      </c>
      <c r="J684" s="9" t="s">
        <v>3282</v>
      </c>
      <c r="K684" s="9" t="s">
        <v>3283</v>
      </c>
      <c r="L684" s="9" t="s">
        <v>87</v>
      </c>
      <c r="M684" s="9" t="s">
        <v>23</v>
      </c>
      <c r="N684" s="9" t="s">
        <v>143</v>
      </c>
      <c r="O684" s="9" t="s">
        <v>80</v>
      </c>
      <c r="P684" s="9">
        <v>94110</v>
      </c>
      <c r="Q684" s="9" t="s">
        <v>37</v>
      </c>
      <c r="R684" s="9" t="s">
        <v>2849</v>
      </c>
      <c r="S684" s="9" t="s">
        <v>39</v>
      </c>
      <c r="T684" s="9" t="s">
        <v>1218</v>
      </c>
      <c r="U684" s="9" t="s">
        <v>2850</v>
      </c>
      <c r="V684" s="11">
        <v>482.66399999999999</v>
      </c>
      <c r="W684" s="9" t="str">
        <f t="shared" si="54"/>
        <v>Fast Delivery</v>
      </c>
    </row>
    <row r="685" spans="1:23" x14ac:dyDescent="0.25">
      <c r="A685" s="9">
        <v>4838</v>
      </c>
      <c r="B685" s="10" t="s">
        <v>3289</v>
      </c>
      <c r="C685" s="10">
        <v>43252</v>
      </c>
      <c r="D685" s="10">
        <v>43254</v>
      </c>
      <c r="E685" s="9">
        <f t="shared" si="51"/>
        <v>2018</v>
      </c>
      <c r="F685" s="10" t="str">
        <f t="shared" si="52"/>
        <v>Jun</v>
      </c>
      <c r="G685" s="9">
        <f t="shared" si="53"/>
        <v>6</v>
      </c>
      <c r="H685" s="9">
        <f t="shared" si="50"/>
        <v>2</v>
      </c>
      <c r="I685" s="9" t="s">
        <v>19</v>
      </c>
      <c r="J685" s="9" t="s">
        <v>3290</v>
      </c>
      <c r="K685" s="9" t="s">
        <v>3291</v>
      </c>
      <c r="L685" s="9" t="s">
        <v>22</v>
      </c>
      <c r="M685" s="9" t="s">
        <v>23</v>
      </c>
      <c r="N685" s="9" t="s">
        <v>3292</v>
      </c>
      <c r="O685" s="9" t="s">
        <v>250</v>
      </c>
      <c r="P685" s="9">
        <v>43017</v>
      </c>
      <c r="Q685" s="9" t="s">
        <v>49</v>
      </c>
      <c r="R685" s="9" t="s">
        <v>3293</v>
      </c>
      <c r="S685" s="9" t="s">
        <v>66</v>
      </c>
      <c r="T685" s="9" t="s">
        <v>103</v>
      </c>
      <c r="U685" s="9" t="s">
        <v>3294</v>
      </c>
      <c r="V685" s="11">
        <v>3.798</v>
      </c>
      <c r="W685" s="9" t="str">
        <f t="shared" si="54"/>
        <v>Fast Delivery</v>
      </c>
    </row>
    <row r="686" spans="1:23" x14ac:dyDescent="0.25">
      <c r="A686" s="9">
        <v>1254</v>
      </c>
      <c r="B686" s="10" t="s">
        <v>3651</v>
      </c>
      <c r="C686" s="10">
        <v>43169</v>
      </c>
      <c r="D686" s="10">
        <v>43173</v>
      </c>
      <c r="E686" s="9">
        <f t="shared" si="51"/>
        <v>2018</v>
      </c>
      <c r="F686" s="10" t="str">
        <f t="shared" si="52"/>
        <v>Mar</v>
      </c>
      <c r="G686" s="9">
        <f t="shared" si="53"/>
        <v>3</v>
      </c>
      <c r="H686" s="9">
        <f t="shared" si="50"/>
        <v>4</v>
      </c>
      <c r="I686" s="9" t="s">
        <v>43</v>
      </c>
      <c r="J686" s="9" t="s">
        <v>3652</v>
      </c>
      <c r="K686" s="9" t="s">
        <v>3653</v>
      </c>
      <c r="L686" s="9" t="s">
        <v>46</v>
      </c>
      <c r="M686" s="9" t="s">
        <v>23</v>
      </c>
      <c r="N686" s="9" t="s">
        <v>3654</v>
      </c>
      <c r="O686" s="9" t="s">
        <v>150</v>
      </c>
      <c r="P686" s="9">
        <v>19013</v>
      </c>
      <c r="Q686" s="9" t="s">
        <v>49</v>
      </c>
      <c r="R686" s="9" t="s">
        <v>3655</v>
      </c>
      <c r="S686" s="9" t="s">
        <v>66</v>
      </c>
      <c r="T686" s="9" t="s">
        <v>158</v>
      </c>
      <c r="U686" s="9" t="s">
        <v>3656</v>
      </c>
      <c r="V686" s="11">
        <v>5.2480000000000002</v>
      </c>
      <c r="W686" s="9" t="str">
        <f t="shared" si="54"/>
        <v>Slow Delivery</v>
      </c>
    </row>
    <row r="687" spans="1:23" x14ac:dyDescent="0.25">
      <c r="A687" s="9">
        <v>4997</v>
      </c>
      <c r="B687" s="10" t="s">
        <v>3657</v>
      </c>
      <c r="C687" s="10">
        <v>43169</v>
      </c>
      <c r="D687" s="10">
        <v>43174</v>
      </c>
      <c r="E687" s="9">
        <f t="shared" si="51"/>
        <v>2018</v>
      </c>
      <c r="F687" s="10" t="str">
        <f t="shared" si="52"/>
        <v>Mar</v>
      </c>
      <c r="G687" s="9">
        <f t="shared" si="53"/>
        <v>3</v>
      </c>
      <c r="H687" s="9">
        <f t="shared" si="50"/>
        <v>5</v>
      </c>
      <c r="I687" s="9" t="s">
        <v>43</v>
      </c>
      <c r="J687" s="9" t="s">
        <v>3658</v>
      </c>
      <c r="K687" s="9" t="s">
        <v>3659</v>
      </c>
      <c r="L687" s="9" t="s">
        <v>87</v>
      </c>
      <c r="M687" s="9" t="s">
        <v>23</v>
      </c>
      <c r="N687" s="9" t="s">
        <v>1865</v>
      </c>
      <c r="O687" s="9" t="s">
        <v>137</v>
      </c>
      <c r="P687" s="9">
        <v>27604</v>
      </c>
      <c r="Q687" s="9" t="s">
        <v>110</v>
      </c>
      <c r="R687" s="9" t="s">
        <v>3660</v>
      </c>
      <c r="S687" s="9" t="s">
        <v>66</v>
      </c>
      <c r="T687" s="9" t="s">
        <v>221</v>
      </c>
      <c r="U687" s="9" t="s">
        <v>3661</v>
      </c>
      <c r="V687" s="11">
        <v>48.783999999999999</v>
      </c>
      <c r="W687" s="9" t="str">
        <f t="shared" si="54"/>
        <v>Slow Delivery</v>
      </c>
    </row>
    <row r="688" spans="1:23" x14ac:dyDescent="0.25">
      <c r="A688" s="9">
        <v>6689</v>
      </c>
      <c r="B688" s="10" t="s">
        <v>3662</v>
      </c>
      <c r="C688" s="10">
        <v>43169</v>
      </c>
      <c r="D688" s="10">
        <v>43174</v>
      </c>
      <c r="E688" s="9">
        <f t="shared" si="51"/>
        <v>2018</v>
      </c>
      <c r="F688" s="10" t="str">
        <f t="shared" si="52"/>
        <v>Mar</v>
      </c>
      <c r="G688" s="9">
        <f t="shared" si="53"/>
        <v>3</v>
      </c>
      <c r="H688" s="9">
        <f t="shared" si="50"/>
        <v>5</v>
      </c>
      <c r="I688" s="9" t="s">
        <v>32</v>
      </c>
      <c r="J688" s="9" t="s">
        <v>3663</v>
      </c>
      <c r="K688" s="9" t="s">
        <v>3664</v>
      </c>
      <c r="L688" s="9" t="s">
        <v>87</v>
      </c>
      <c r="M688" s="9" t="s">
        <v>23</v>
      </c>
      <c r="N688" s="9" t="s">
        <v>143</v>
      </c>
      <c r="O688" s="9" t="s">
        <v>80</v>
      </c>
      <c r="P688" s="9">
        <v>94109</v>
      </c>
      <c r="Q688" s="9" t="s">
        <v>37</v>
      </c>
      <c r="R688" s="9" t="s">
        <v>3665</v>
      </c>
      <c r="S688" s="9" t="s">
        <v>28</v>
      </c>
      <c r="T688" s="9" t="s">
        <v>29</v>
      </c>
      <c r="U688" s="9" t="s">
        <v>3666</v>
      </c>
      <c r="V688" s="11">
        <v>111.96</v>
      </c>
      <c r="W688" s="9" t="str">
        <f t="shared" si="54"/>
        <v>Slow Delivery</v>
      </c>
    </row>
    <row r="689" spans="1:23" x14ac:dyDescent="0.25">
      <c r="A689" s="9">
        <v>7144</v>
      </c>
      <c r="B689" s="10" t="s">
        <v>3697</v>
      </c>
      <c r="C689" s="10">
        <v>43170</v>
      </c>
      <c r="D689" s="10">
        <v>43175</v>
      </c>
      <c r="E689" s="9">
        <f t="shared" si="51"/>
        <v>2018</v>
      </c>
      <c r="F689" s="10" t="str">
        <f t="shared" si="52"/>
        <v>Mar</v>
      </c>
      <c r="G689" s="9">
        <f t="shared" si="53"/>
        <v>3</v>
      </c>
      <c r="H689" s="9">
        <f t="shared" si="50"/>
        <v>5</v>
      </c>
      <c r="I689" s="9" t="s">
        <v>43</v>
      </c>
      <c r="J689" s="9" t="s">
        <v>3698</v>
      </c>
      <c r="K689" s="9" t="s">
        <v>3699</v>
      </c>
      <c r="L689" s="9" t="s">
        <v>46</v>
      </c>
      <c r="M689" s="9" t="s">
        <v>23</v>
      </c>
      <c r="N689" s="9" t="s">
        <v>149</v>
      </c>
      <c r="O689" s="9" t="s">
        <v>150</v>
      </c>
      <c r="P689" s="9">
        <v>19140</v>
      </c>
      <c r="Q689" s="9" t="s">
        <v>49</v>
      </c>
      <c r="R689" s="9" t="s">
        <v>3142</v>
      </c>
      <c r="S689" s="9" t="s">
        <v>28</v>
      </c>
      <c r="T689" s="9" t="s">
        <v>51</v>
      </c>
      <c r="U689" s="9" t="s">
        <v>3143</v>
      </c>
      <c r="V689" s="11">
        <v>776.85</v>
      </c>
      <c r="W689" s="9" t="str">
        <f t="shared" si="54"/>
        <v>Slow Delivery</v>
      </c>
    </row>
    <row r="690" spans="1:23" x14ac:dyDescent="0.25">
      <c r="A690" s="9">
        <v>9122</v>
      </c>
      <c r="B690" s="10" t="s">
        <v>3888</v>
      </c>
      <c r="C690" s="10">
        <v>43177</v>
      </c>
      <c r="D690" s="10">
        <v>43179</v>
      </c>
      <c r="E690" s="9">
        <f t="shared" si="51"/>
        <v>2018</v>
      </c>
      <c r="F690" s="10" t="str">
        <f t="shared" si="52"/>
        <v>Mar</v>
      </c>
      <c r="G690" s="9">
        <f t="shared" si="53"/>
        <v>3</v>
      </c>
      <c r="H690" s="9">
        <f t="shared" si="50"/>
        <v>2</v>
      </c>
      <c r="I690" s="9" t="s">
        <v>32</v>
      </c>
      <c r="J690" s="9" t="s">
        <v>3889</v>
      </c>
      <c r="K690" s="9" t="s">
        <v>3890</v>
      </c>
      <c r="L690" s="9" t="s">
        <v>87</v>
      </c>
      <c r="M690" s="9" t="s">
        <v>23</v>
      </c>
      <c r="N690" s="9" t="s">
        <v>213</v>
      </c>
      <c r="O690" s="9" t="s">
        <v>80</v>
      </c>
      <c r="P690" s="9">
        <v>90032</v>
      </c>
      <c r="Q690" s="9" t="s">
        <v>37</v>
      </c>
      <c r="R690" s="9" t="s">
        <v>3891</v>
      </c>
      <c r="S690" s="9" t="s">
        <v>66</v>
      </c>
      <c r="T690" s="9" t="s">
        <v>221</v>
      </c>
      <c r="U690" s="9" t="s">
        <v>3892</v>
      </c>
      <c r="V690" s="11">
        <v>90.86</v>
      </c>
      <c r="W690" s="9" t="str">
        <f t="shared" si="54"/>
        <v>Fast Delivery</v>
      </c>
    </row>
    <row r="691" spans="1:23" x14ac:dyDescent="0.25">
      <c r="A691" s="9">
        <v>8486</v>
      </c>
      <c r="B691" s="10" t="s">
        <v>3970</v>
      </c>
      <c r="C691" s="10">
        <v>43186</v>
      </c>
      <c r="D691" s="10">
        <v>43190</v>
      </c>
      <c r="E691" s="9">
        <f t="shared" si="51"/>
        <v>2018</v>
      </c>
      <c r="F691" s="10" t="str">
        <f t="shared" si="52"/>
        <v>Mar</v>
      </c>
      <c r="G691" s="9">
        <f t="shared" si="53"/>
        <v>3</v>
      </c>
      <c r="H691" s="9">
        <f t="shared" si="50"/>
        <v>4</v>
      </c>
      <c r="I691" s="9" t="s">
        <v>43</v>
      </c>
      <c r="J691" s="9" t="s">
        <v>3971</v>
      </c>
      <c r="K691" s="9" t="s">
        <v>3972</v>
      </c>
      <c r="L691" s="9" t="s">
        <v>46</v>
      </c>
      <c r="M691" s="9" t="s">
        <v>23</v>
      </c>
      <c r="N691" s="9" t="s">
        <v>1360</v>
      </c>
      <c r="O691" s="9" t="s">
        <v>80</v>
      </c>
      <c r="P691" s="9">
        <v>93727</v>
      </c>
      <c r="Q691" s="9" t="s">
        <v>37</v>
      </c>
      <c r="R691" s="9" t="s">
        <v>3973</v>
      </c>
      <c r="S691" s="9" t="s">
        <v>66</v>
      </c>
      <c r="T691" s="9" t="s">
        <v>201</v>
      </c>
      <c r="U691" s="9" t="s">
        <v>3974</v>
      </c>
      <c r="V691" s="11">
        <v>45.68</v>
      </c>
      <c r="W691" s="9" t="str">
        <f t="shared" si="54"/>
        <v>Slow Delivery</v>
      </c>
    </row>
    <row r="692" spans="1:23" x14ac:dyDescent="0.25">
      <c r="A692" s="9">
        <v>8577</v>
      </c>
      <c r="B692" s="10" t="s">
        <v>3442</v>
      </c>
      <c r="C692" s="10">
        <v>43284</v>
      </c>
      <c r="D692" s="10">
        <v>43285</v>
      </c>
      <c r="E692" s="9">
        <f t="shared" si="51"/>
        <v>2018</v>
      </c>
      <c r="F692" s="10" t="str">
        <f t="shared" si="52"/>
        <v>Jul</v>
      </c>
      <c r="G692" s="9">
        <f t="shared" si="53"/>
        <v>7</v>
      </c>
      <c r="H692" s="9">
        <f t="shared" si="50"/>
        <v>1</v>
      </c>
      <c r="I692" s="9" t="s">
        <v>19</v>
      </c>
      <c r="J692" s="9" t="s">
        <v>3443</v>
      </c>
      <c r="K692" s="9" t="s">
        <v>3444</v>
      </c>
      <c r="L692" s="9" t="s">
        <v>22</v>
      </c>
      <c r="M692" s="9" t="s">
        <v>23</v>
      </c>
      <c r="N692" s="9" t="s">
        <v>3445</v>
      </c>
      <c r="O692" s="9" t="s">
        <v>3446</v>
      </c>
      <c r="P692" s="9">
        <v>3301</v>
      </c>
      <c r="Q692" s="9" t="s">
        <v>49</v>
      </c>
      <c r="R692" s="9" t="s">
        <v>3447</v>
      </c>
      <c r="S692" s="9" t="s">
        <v>39</v>
      </c>
      <c r="T692" s="9" t="s">
        <v>112</v>
      </c>
      <c r="U692" s="9" t="s">
        <v>3448</v>
      </c>
      <c r="V692" s="11">
        <v>102.3</v>
      </c>
      <c r="W692" s="9" t="str">
        <f t="shared" si="54"/>
        <v>Fast Delivery</v>
      </c>
    </row>
    <row r="693" spans="1:23" x14ac:dyDescent="0.25">
      <c r="A693" s="9">
        <v>1206</v>
      </c>
      <c r="B693" s="10" t="s">
        <v>3295</v>
      </c>
      <c r="C693" s="10">
        <v>43313</v>
      </c>
      <c r="D693" s="10">
        <v>43316</v>
      </c>
      <c r="E693" s="9">
        <f t="shared" si="51"/>
        <v>2018</v>
      </c>
      <c r="F693" s="10" t="str">
        <f t="shared" si="52"/>
        <v>Aug</v>
      </c>
      <c r="G693" s="9">
        <f t="shared" si="53"/>
        <v>8</v>
      </c>
      <c r="H693" s="9">
        <f t="shared" si="50"/>
        <v>3</v>
      </c>
      <c r="I693" s="9" t="s">
        <v>19</v>
      </c>
      <c r="J693" s="9" t="s">
        <v>3296</v>
      </c>
      <c r="K693" s="9" t="s">
        <v>3297</v>
      </c>
      <c r="L693" s="9" t="s">
        <v>22</v>
      </c>
      <c r="M693" s="9" t="s">
        <v>23</v>
      </c>
      <c r="N693" s="9" t="s">
        <v>136</v>
      </c>
      <c r="O693" s="9" t="s">
        <v>137</v>
      </c>
      <c r="P693" s="9">
        <v>28205</v>
      </c>
      <c r="Q693" s="9" t="s">
        <v>110</v>
      </c>
      <c r="R693" s="9" t="s">
        <v>3298</v>
      </c>
      <c r="S693" s="9" t="s">
        <v>28</v>
      </c>
      <c r="T693" s="9" t="s">
        <v>51</v>
      </c>
      <c r="U693" s="9" t="s">
        <v>3299</v>
      </c>
      <c r="V693" s="11">
        <v>271.95999999999998</v>
      </c>
      <c r="W693" s="9" t="str">
        <f t="shared" si="54"/>
        <v>Fast Delivery</v>
      </c>
    </row>
    <row r="694" spans="1:23" x14ac:dyDescent="0.25">
      <c r="A694" s="9">
        <v>4585</v>
      </c>
      <c r="B694" s="10" t="s">
        <v>3385</v>
      </c>
      <c r="C694" s="10">
        <v>43406</v>
      </c>
      <c r="D694" s="10">
        <v>43408</v>
      </c>
      <c r="E694" s="9">
        <f t="shared" si="51"/>
        <v>2018</v>
      </c>
      <c r="F694" s="10" t="str">
        <f t="shared" si="52"/>
        <v>Nov</v>
      </c>
      <c r="G694" s="9">
        <f t="shared" si="53"/>
        <v>11</v>
      </c>
      <c r="H694" s="9">
        <f t="shared" si="50"/>
        <v>2</v>
      </c>
      <c r="I694" s="9" t="s">
        <v>32</v>
      </c>
      <c r="J694" s="9" t="s">
        <v>3386</v>
      </c>
      <c r="K694" s="9" t="s">
        <v>3387</v>
      </c>
      <c r="L694" s="9" t="s">
        <v>46</v>
      </c>
      <c r="M694" s="9" t="s">
        <v>23</v>
      </c>
      <c r="N694" s="9" t="s">
        <v>3388</v>
      </c>
      <c r="O694" s="9" t="s">
        <v>80</v>
      </c>
      <c r="P694" s="9">
        <v>94526</v>
      </c>
      <c r="Q694" s="9" t="s">
        <v>37</v>
      </c>
      <c r="R694" s="9" t="s">
        <v>2714</v>
      </c>
      <c r="S694" s="9" t="s">
        <v>66</v>
      </c>
      <c r="T694" s="9" t="s">
        <v>280</v>
      </c>
      <c r="U694" s="9" t="s">
        <v>2715</v>
      </c>
      <c r="V694" s="11">
        <v>76.58</v>
      </c>
      <c r="W694" s="9" t="str">
        <f t="shared" si="54"/>
        <v>Fast Delivery</v>
      </c>
    </row>
    <row r="695" spans="1:23" x14ac:dyDescent="0.25">
      <c r="A695" s="9">
        <v>1996</v>
      </c>
      <c r="B695" s="10" t="s">
        <v>3397</v>
      </c>
      <c r="C695" s="10">
        <v>43436</v>
      </c>
      <c r="D695" s="10">
        <v>43438</v>
      </c>
      <c r="E695" s="9">
        <f t="shared" si="51"/>
        <v>2018</v>
      </c>
      <c r="F695" s="10" t="str">
        <f t="shared" si="52"/>
        <v>Dec</v>
      </c>
      <c r="G695" s="9">
        <f t="shared" si="53"/>
        <v>12</v>
      </c>
      <c r="H695" s="9">
        <f t="shared" si="50"/>
        <v>2</v>
      </c>
      <c r="I695" s="9" t="s">
        <v>32</v>
      </c>
      <c r="J695" s="9" t="s">
        <v>3398</v>
      </c>
      <c r="K695" s="9" t="s">
        <v>3399</v>
      </c>
      <c r="L695" s="9" t="s">
        <v>22</v>
      </c>
      <c r="M695" s="9" t="s">
        <v>23</v>
      </c>
      <c r="N695" s="9" t="s">
        <v>72</v>
      </c>
      <c r="O695" s="9" t="s">
        <v>64</v>
      </c>
      <c r="P695" s="9">
        <v>77036</v>
      </c>
      <c r="Q695" s="9" t="s">
        <v>26</v>
      </c>
      <c r="R695" s="9" t="s">
        <v>3400</v>
      </c>
      <c r="S695" s="9" t="s">
        <v>66</v>
      </c>
      <c r="T695" s="9" t="s">
        <v>221</v>
      </c>
      <c r="U695" s="9" t="s">
        <v>3401</v>
      </c>
      <c r="V695" s="11">
        <v>294.62</v>
      </c>
      <c r="W695" s="9" t="str">
        <f t="shared" si="54"/>
        <v>Fast Delivery</v>
      </c>
    </row>
    <row r="696" spans="1:23" x14ac:dyDescent="0.25">
      <c r="A696" s="9">
        <v>5789</v>
      </c>
      <c r="B696" s="10" t="s">
        <v>3667</v>
      </c>
      <c r="C696" s="10">
        <v>43200</v>
      </c>
      <c r="D696" s="10">
        <v>43204</v>
      </c>
      <c r="E696" s="9">
        <f t="shared" si="51"/>
        <v>2018</v>
      </c>
      <c r="F696" s="10" t="str">
        <f t="shared" si="52"/>
        <v>Apr</v>
      </c>
      <c r="G696" s="9">
        <f t="shared" si="53"/>
        <v>4</v>
      </c>
      <c r="H696" s="9">
        <f t="shared" si="50"/>
        <v>4</v>
      </c>
      <c r="I696" s="9" t="s">
        <v>32</v>
      </c>
      <c r="J696" s="9" t="s">
        <v>3668</v>
      </c>
      <c r="K696" s="9" t="s">
        <v>3669</v>
      </c>
      <c r="L696" s="9" t="s">
        <v>87</v>
      </c>
      <c r="M696" s="9" t="s">
        <v>23</v>
      </c>
      <c r="N696" s="9" t="s">
        <v>243</v>
      </c>
      <c r="O696" s="9" t="s">
        <v>130</v>
      </c>
      <c r="P696" s="9">
        <v>32216</v>
      </c>
      <c r="Q696" s="9" t="s">
        <v>110</v>
      </c>
      <c r="R696" s="9" t="s">
        <v>3670</v>
      </c>
      <c r="S696" s="9" t="s">
        <v>39</v>
      </c>
      <c r="T696" s="9" t="s">
        <v>112</v>
      </c>
      <c r="U696" s="9" t="s">
        <v>3671</v>
      </c>
      <c r="V696" s="11">
        <v>12.32</v>
      </c>
      <c r="W696" s="9" t="str">
        <f t="shared" si="54"/>
        <v>Slow Delivery</v>
      </c>
    </row>
    <row r="697" spans="1:23" x14ac:dyDescent="0.25">
      <c r="A697" s="9">
        <v>6379</v>
      </c>
      <c r="B697" s="10" t="s">
        <v>3672</v>
      </c>
      <c r="C697" s="10">
        <v>43200</v>
      </c>
      <c r="D697" s="10">
        <v>43204</v>
      </c>
      <c r="E697" s="9">
        <f t="shared" si="51"/>
        <v>2018</v>
      </c>
      <c r="F697" s="10" t="str">
        <f t="shared" si="52"/>
        <v>Apr</v>
      </c>
      <c r="G697" s="9">
        <f t="shared" si="53"/>
        <v>4</v>
      </c>
      <c r="H697" s="9">
        <f t="shared" si="50"/>
        <v>4</v>
      </c>
      <c r="I697" s="9" t="s">
        <v>43</v>
      </c>
      <c r="J697" s="9" t="s">
        <v>3673</v>
      </c>
      <c r="K697" s="9" t="s">
        <v>3674</v>
      </c>
      <c r="L697" s="9" t="s">
        <v>46</v>
      </c>
      <c r="M697" s="9" t="s">
        <v>23</v>
      </c>
      <c r="N697" s="9" t="s">
        <v>3675</v>
      </c>
      <c r="O697" s="9" t="s">
        <v>656</v>
      </c>
      <c r="P697" s="9">
        <v>6708</v>
      </c>
      <c r="Q697" s="9" t="s">
        <v>49</v>
      </c>
      <c r="R697" s="9" t="s">
        <v>1008</v>
      </c>
      <c r="S697" s="9" t="s">
        <v>28</v>
      </c>
      <c r="T697" s="9" t="s">
        <v>29</v>
      </c>
      <c r="U697" s="9" t="s">
        <v>1009</v>
      </c>
      <c r="V697" s="11">
        <v>99.99</v>
      </c>
      <c r="W697" s="9" t="str">
        <f t="shared" si="54"/>
        <v>Slow Delivery</v>
      </c>
    </row>
    <row r="698" spans="1:23" x14ac:dyDescent="0.25">
      <c r="A698" s="9">
        <v>2663</v>
      </c>
      <c r="B698" s="10" t="s">
        <v>3750</v>
      </c>
      <c r="C698" s="10">
        <v>43204</v>
      </c>
      <c r="D698" s="10">
        <v>43205</v>
      </c>
      <c r="E698" s="9">
        <f t="shared" si="51"/>
        <v>2018</v>
      </c>
      <c r="F698" s="10" t="str">
        <f t="shared" si="52"/>
        <v>Apr</v>
      </c>
      <c r="G698" s="9">
        <f t="shared" si="53"/>
        <v>4</v>
      </c>
      <c r="H698" s="9">
        <f t="shared" si="50"/>
        <v>1</v>
      </c>
      <c r="I698" s="9" t="s">
        <v>19</v>
      </c>
      <c r="J698" s="9" t="s">
        <v>3751</v>
      </c>
      <c r="K698" s="9" t="s">
        <v>3752</v>
      </c>
      <c r="L698" s="9" t="s">
        <v>46</v>
      </c>
      <c r="M698" s="9" t="s">
        <v>23</v>
      </c>
      <c r="N698" s="9" t="s">
        <v>335</v>
      </c>
      <c r="O698" s="9" t="s">
        <v>336</v>
      </c>
      <c r="P698" s="9">
        <v>65807</v>
      </c>
      <c r="Q698" s="9" t="s">
        <v>26</v>
      </c>
      <c r="R698" s="9" t="s">
        <v>3753</v>
      </c>
      <c r="S698" s="9" t="s">
        <v>66</v>
      </c>
      <c r="T698" s="9" t="s">
        <v>103</v>
      </c>
      <c r="U698" s="9" t="s">
        <v>3754</v>
      </c>
      <c r="V698" s="11">
        <v>8.76</v>
      </c>
      <c r="W698" s="9" t="str">
        <f t="shared" si="54"/>
        <v>Fast Delivery</v>
      </c>
    </row>
    <row r="699" spans="1:23" x14ac:dyDescent="0.25">
      <c r="A699" s="9">
        <v>1867</v>
      </c>
      <c r="B699" s="10" t="s">
        <v>3789</v>
      </c>
      <c r="C699" s="10">
        <v>43205</v>
      </c>
      <c r="D699" s="10">
        <v>43208</v>
      </c>
      <c r="E699" s="9">
        <f t="shared" si="51"/>
        <v>2018</v>
      </c>
      <c r="F699" s="10" t="str">
        <f t="shared" si="52"/>
        <v>Apr</v>
      </c>
      <c r="G699" s="9">
        <f t="shared" si="53"/>
        <v>4</v>
      </c>
      <c r="H699" s="9">
        <f t="shared" si="50"/>
        <v>3</v>
      </c>
      <c r="I699" s="9" t="s">
        <v>19</v>
      </c>
      <c r="J699" s="9" t="s">
        <v>3790</v>
      </c>
      <c r="K699" s="9" t="s">
        <v>3791</v>
      </c>
      <c r="L699" s="9" t="s">
        <v>87</v>
      </c>
      <c r="M699" s="9" t="s">
        <v>23</v>
      </c>
      <c r="N699" s="9" t="s">
        <v>928</v>
      </c>
      <c r="O699" s="9" t="s">
        <v>174</v>
      </c>
      <c r="P699" s="9">
        <v>89015</v>
      </c>
      <c r="Q699" s="9" t="s">
        <v>37</v>
      </c>
      <c r="R699" s="9" t="s">
        <v>3792</v>
      </c>
      <c r="S699" s="9" t="s">
        <v>39</v>
      </c>
      <c r="T699" s="9" t="s">
        <v>112</v>
      </c>
      <c r="U699" s="9" t="s">
        <v>3793</v>
      </c>
      <c r="V699" s="11">
        <v>196.45</v>
      </c>
      <c r="W699" s="9" t="str">
        <f t="shared" si="54"/>
        <v>Fast Delivery</v>
      </c>
    </row>
    <row r="700" spans="1:23" x14ac:dyDescent="0.25">
      <c r="A700" s="9">
        <v>8070</v>
      </c>
      <c r="B700" s="10" t="s">
        <v>3278</v>
      </c>
      <c r="C700" s="10">
        <v>43101</v>
      </c>
      <c r="D700" s="10">
        <v>43105</v>
      </c>
      <c r="E700" s="9">
        <f t="shared" si="51"/>
        <v>2018</v>
      </c>
      <c r="F700" s="10" t="str">
        <f t="shared" si="52"/>
        <v>Jan</v>
      </c>
      <c r="G700" s="9">
        <f t="shared" si="53"/>
        <v>1</v>
      </c>
      <c r="H700" s="9">
        <f t="shared" si="50"/>
        <v>4</v>
      </c>
      <c r="I700" s="9" t="s">
        <v>43</v>
      </c>
      <c r="J700" s="9" t="s">
        <v>3279</v>
      </c>
      <c r="K700" s="9" t="s">
        <v>3280</v>
      </c>
      <c r="L700" s="9" t="s">
        <v>22</v>
      </c>
      <c r="M700" s="9" t="s">
        <v>23</v>
      </c>
      <c r="N700" s="9" t="s">
        <v>1041</v>
      </c>
      <c r="O700" s="9" t="s">
        <v>64</v>
      </c>
      <c r="P700" s="9">
        <v>77340</v>
      </c>
      <c r="Q700" s="9" t="s">
        <v>26</v>
      </c>
      <c r="R700" s="9" t="s">
        <v>1386</v>
      </c>
      <c r="S700" s="9" t="s">
        <v>66</v>
      </c>
      <c r="T700" s="9" t="s">
        <v>74</v>
      </c>
      <c r="U700" s="9" t="s">
        <v>1387</v>
      </c>
      <c r="V700" s="11">
        <v>454.56</v>
      </c>
      <c r="W700" s="9" t="str">
        <f t="shared" si="54"/>
        <v>Slow Delivery</v>
      </c>
    </row>
    <row r="701" spans="1:23" x14ac:dyDescent="0.25">
      <c r="A701" s="9">
        <v>4744</v>
      </c>
      <c r="B701" s="10" t="s">
        <v>3522</v>
      </c>
      <c r="C701" s="10">
        <v>43164</v>
      </c>
      <c r="D701" s="10">
        <v>43164</v>
      </c>
      <c r="E701" s="9">
        <f t="shared" si="51"/>
        <v>2018</v>
      </c>
      <c r="F701" s="10" t="str">
        <f t="shared" si="52"/>
        <v>Mar</v>
      </c>
      <c r="G701" s="9">
        <f t="shared" si="53"/>
        <v>3</v>
      </c>
      <c r="H701" s="9">
        <f t="shared" si="50"/>
        <v>0</v>
      </c>
      <c r="I701" s="9" t="s">
        <v>302</v>
      </c>
      <c r="J701" s="9" t="s">
        <v>3523</v>
      </c>
      <c r="K701" s="9" t="s">
        <v>3524</v>
      </c>
      <c r="L701" s="9" t="s">
        <v>22</v>
      </c>
      <c r="M701" s="9" t="s">
        <v>23</v>
      </c>
      <c r="N701" s="9" t="s">
        <v>2166</v>
      </c>
      <c r="O701" s="9" t="s">
        <v>96</v>
      </c>
      <c r="P701" s="9">
        <v>55901</v>
      </c>
      <c r="Q701" s="9" t="s">
        <v>26</v>
      </c>
      <c r="R701" s="9" t="s">
        <v>3525</v>
      </c>
      <c r="S701" s="9" t="s">
        <v>66</v>
      </c>
      <c r="T701" s="9" t="s">
        <v>67</v>
      </c>
      <c r="U701" s="9" t="s">
        <v>3526</v>
      </c>
      <c r="V701" s="11">
        <v>7.9</v>
      </c>
      <c r="W701" s="9" t="str">
        <f t="shared" si="54"/>
        <v>Fast Delivery</v>
      </c>
    </row>
    <row r="702" spans="1:23" x14ac:dyDescent="0.25">
      <c r="A702" s="9">
        <v>3725</v>
      </c>
      <c r="B702" s="10" t="s">
        <v>3428</v>
      </c>
      <c r="C702" s="10">
        <v>43193</v>
      </c>
      <c r="D702" s="10">
        <v>43195</v>
      </c>
      <c r="E702" s="9">
        <f t="shared" si="51"/>
        <v>2018</v>
      </c>
      <c r="F702" s="10" t="str">
        <f t="shared" si="52"/>
        <v>Apr</v>
      </c>
      <c r="G702" s="9">
        <f t="shared" si="53"/>
        <v>4</v>
      </c>
      <c r="H702" s="9">
        <f t="shared" si="50"/>
        <v>2</v>
      </c>
      <c r="I702" s="9" t="s">
        <v>19</v>
      </c>
      <c r="J702" s="9" t="s">
        <v>3429</v>
      </c>
      <c r="K702" s="9" t="s">
        <v>3430</v>
      </c>
      <c r="L702" s="9" t="s">
        <v>22</v>
      </c>
      <c r="M702" s="9" t="s">
        <v>23</v>
      </c>
      <c r="N702" s="9" t="s">
        <v>199</v>
      </c>
      <c r="O702" s="9" t="s">
        <v>57</v>
      </c>
      <c r="P702" s="9">
        <v>60653</v>
      </c>
      <c r="Q702" s="9" t="s">
        <v>26</v>
      </c>
      <c r="R702" s="9" t="s">
        <v>913</v>
      </c>
      <c r="S702" s="9" t="s">
        <v>66</v>
      </c>
      <c r="T702" s="9" t="s">
        <v>158</v>
      </c>
      <c r="U702" s="9" t="s">
        <v>914</v>
      </c>
      <c r="V702" s="11">
        <v>7.056</v>
      </c>
      <c r="W702" s="9" t="str">
        <f t="shared" si="54"/>
        <v>Fast Delivery</v>
      </c>
    </row>
    <row r="703" spans="1:23" x14ac:dyDescent="0.25">
      <c r="A703" s="9">
        <v>7696</v>
      </c>
      <c r="B703" s="10" t="s">
        <v>3342</v>
      </c>
      <c r="C703" s="10">
        <v>43283</v>
      </c>
      <c r="D703" s="10">
        <v>43286</v>
      </c>
      <c r="E703" s="9">
        <f t="shared" si="51"/>
        <v>2018</v>
      </c>
      <c r="F703" s="10" t="str">
        <f t="shared" si="52"/>
        <v>Jul</v>
      </c>
      <c r="G703" s="9">
        <f t="shared" si="53"/>
        <v>7</v>
      </c>
      <c r="H703" s="9">
        <f t="shared" si="50"/>
        <v>3</v>
      </c>
      <c r="I703" s="9" t="s">
        <v>19</v>
      </c>
      <c r="J703" s="9" t="s">
        <v>3343</v>
      </c>
      <c r="K703" s="9" t="s">
        <v>3344</v>
      </c>
      <c r="L703" s="9" t="s">
        <v>46</v>
      </c>
      <c r="M703" s="9" t="s">
        <v>23</v>
      </c>
      <c r="N703" s="9" t="s">
        <v>72</v>
      </c>
      <c r="O703" s="9" t="s">
        <v>64</v>
      </c>
      <c r="P703" s="9">
        <v>77036</v>
      </c>
      <c r="Q703" s="9" t="s">
        <v>26</v>
      </c>
      <c r="R703" s="9" t="s">
        <v>3345</v>
      </c>
      <c r="S703" s="9" t="s">
        <v>66</v>
      </c>
      <c r="T703" s="9" t="s">
        <v>201</v>
      </c>
      <c r="U703" s="9" t="s">
        <v>3346</v>
      </c>
      <c r="V703" s="11">
        <v>163.96</v>
      </c>
      <c r="W703" s="9" t="str">
        <f t="shared" si="54"/>
        <v>Fast Delivery</v>
      </c>
    </row>
    <row r="704" spans="1:23" x14ac:dyDescent="0.25">
      <c r="A704" s="9">
        <v>3231</v>
      </c>
      <c r="B704" s="10" t="s">
        <v>3305</v>
      </c>
      <c r="C704" s="10">
        <v>43344</v>
      </c>
      <c r="D704" s="10">
        <v>43348</v>
      </c>
      <c r="E704" s="9">
        <f t="shared" si="51"/>
        <v>2018</v>
      </c>
      <c r="F704" s="10" t="str">
        <f t="shared" si="52"/>
        <v>Sep</v>
      </c>
      <c r="G704" s="9">
        <f t="shared" si="53"/>
        <v>9</v>
      </c>
      <c r="H704" s="9">
        <f t="shared" si="50"/>
        <v>4</v>
      </c>
      <c r="I704" s="9" t="s">
        <v>32</v>
      </c>
      <c r="J704" s="9" t="s">
        <v>3306</v>
      </c>
      <c r="K704" s="9" t="s">
        <v>3307</v>
      </c>
      <c r="L704" s="9" t="s">
        <v>22</v>
      </c>
      <c r="M704" s="9" t="s">
        <v>23</v>
      </c>
      <c r="N704" s="9" t="s">
        <v>47</v>
      </c>
      <c r="O704" s="9" t="s">
        <v>48</v>
      </c>
      <c r="P704" s="9">
        <v>10009</v>
      </c>
      <c r="Q704" s="9" t="s">
        <v>49</v>
      </c>
      <c r="R704" s="9" t="s">
        <v>3308</v>
      </c>
      <c r="S704" s="9" t="s">
        <v>39</v>
      </c>
      <c r="T704" s="9" t="s">
        <v>112</v>
      </c>
      <c r="U704" s="9" t="s">
        <v>3309</v>
      </c>
      <c r="V704" s="11">
        <v>114.9</v>
      </c>
      <c r="W704" s="9" t="str">
        <f t="shared" si="54"/>
        <v>Slow Delivery</v>
      </c>
    </row>
    <row r="705" spans="1:23" x14ac:dyDescent="0.25">
      <c r="A705" s="9">
        <v>8020</v>
      </c>
      <c r="B705" s="10" t="s">
        <v>3389</v>
      </c>
      <c r="C705" s="10">
        <v>43406</v>
      </c>
      <c r="D705" s="10">
        <v>43409</v>
      </c>
      <c r="E705" s="9">
        <f t="shared" si="51"/>
        <v>2018</v>
      </c>
      <c r="F705" s="10" t="str">
        <f t="shared" si="52"/>
        <v>Nov</v>
      </c>
      <c r="G705" s="9">
        <f t="shared" si="53"/>
        <v>11</v>
      </c>
      <c r="H705" s="9">
        <f t="shared" si="50"/>
        <v>3</v>
      </c>
      <c r="I705" s="9" t="s">
        <v>19</v>
      </c>
      <c r="J705" s="9" t="s">
        <v>3390</v>
      </c>
      <c r="K705" s="9" t="s">
        <v>3391</v>
      </c>
      <c r="L705" s="9" t="s">
        <v>22</v>
      </c>
      <c r="M705" s="9" t="s">
        <v>23</v>
      </c>
      <c r="N705" s="9" t="s">
        <v>605</v>
      </c>
      <c r="O705" s="9" t="s">
        <v>336</v>
      </c>
      <c r="P705" s="9">
        <v>63116</v>
      </c>
      <c r="Q705" s="9" t="s">
        <v>26</v>
      </c>
      <c r="R705" s="9" t="s">
        <v>1245</v>
      </c>
      <c r="S705" s="9" t="s">
        <v>66</v>
      </c>
      <c r="T705" s="9" t="s">
        <v>221</v>
      </c>
      <c r="U705" s="9" t="s">
        <v>1246</v>
      </c>
      <c r="V705" s="11">
        <v>83.9</v>
      </c>
      <c r="W705" s="9" t="str">
        <f t="shared" si="54"/>
        <v>Fast Delivery</v>
      </c>
    </row>
    <row r="706" spans="1:23" x14ac:dyDescent="0.25">
      <c r="A706" s="9">
        <v>326</v>
      </c>
      <c r="B706" s="10" t="s">
        <v>3465</v>
      </c>
      <c r="C706" s="10">
        <v>43407</v>
      </c>
      <c r="D706" s="10">
        <v>43409</v>
      </c>
      <c r="E706" s="9">
        <f t="shared" si="51"/>
        <v>2018</v>
      </c>
      <c r="F706" s="10" t="str">
        <f t="shared" si="52"/>
        <v>Nov</v>
      </c>
      <c r="G706" s="9">
        <f t="shared" si="53"/>
        <v>11</v>
      </c>
      <c r="H706" s="9">
        <f t="shared" ref="H706:H769" si="55">D706-C706</f>
        <v>2</v>
      </c>
      <c r="I706" s="9" t="s">
        <v>32</v>
      </c>
      <c r="J706" s="9" t="s">
        <v>3466</v>
      </c>
      <c r="K706" s="9" t="s">
        <v>3467</v>
      </c>
      <c r="L706" s="9" t="s">
        <v>87</v>
      </c>
      <c r="M706" s="9" t="s">
        <v>23</v>
      </c>
      <c r="N706" s="9" t="s">
        <v>3468</v>
      </c>
      <c r="O706" s="9" t="s">
        <v>575</v>
      </c>
      <c r="P706" s="9">
        <v>37130</v>
      </c>
      <c r="Q706" s="9" t="s">
        <v>110</v>
      </c>
      <c r="R706" s="9" t="s">
        <v>852</v>
      </c>
      <c r="S706" s="9" t="s">
        <v>39</v>
      </c>
      <c r="T706" s="9" t="s">
        <v>112</v>
      </c>
      <c r="U706" s="9" t="s">
        <v>853</v>
      </c>
      <c r="V706" s="11">
        <v>15.992000000000001</v>
      </c>
      <c r="W706" s="9" t="str">
        <f t="shared" si="54"/>
        <v>Fast Delivery</v>
      </c>
    </row>
    <row r="707" spans="1:23" x14ac:dyDescent="0.25">
      <c r="A707" s="9">
        <v>7997</v>
      </c>
      <c r="B707" s="10" t="s">
        <v>3490</v>
      </c>
      <c r="C707" s="10">
        <v>43407</v>
      </c>
      <c r="D707" s="10">
        <v>43409</v>
      </c>
      <c r="E707" s="9">
        <f t="shared" ref="E707:E770" si="56">YEAR(C707)</f>
        <v>2018</v>
      </c>
      <c r="F707" s="10" t="str">
        <f t="shared" ref="F707:F770" si="57">TEXT(C707,"mmm")</f>
        <v>Nov</v>
      </c>
      <c r="G707" s="9">
        <f t="shared" ref="G707:G770" si="58">MONTH(C707)</f>
        <v>11</v>
      </c>
      <c r="H707" s="9">
        <f t="shared" si="55"/>
        <v>2</v>
      </c>
      <c r="I707" s="9" t="s">
        <v>19</v>
      </c>
      <c r="J707" s="9" t="s">
        <v>3491</v>
      </c>
      <c r="K707" s="9" t="s">
        <v>3492</v>
      </c>
      <c r="L707" s="9" t="s">
        <v>46</v>
      </c>
      <c r="M707" s="9" t="s">
        <v>23</v>
      </c>
      <c r="N707" s="9" t="s">
        <v>268</v>
      </c>
      <c r="O707" s="9" t="s">
        <v>80</v>
      </c>
      <c r="P707" s="9">
        <v>92037</v>
      </c>
      <c r="Q707" s="9" t="s">
        <v>37</v>
      </c>
      <c r="R707" s="9" t="s">
        <v>2274</v>
      </c>
      <c r="S707" s="9" t="s">
        <v>28</v>
      </c>
      <c r="T707" s="9" t="s">
        <v>29</v>
      </c>
      <c r="U707" s="9" t="s">
        <v>2275</v>
      </c>
      <c r="V707" s="11">
        <v>199.75</v>
      </c>
      <c r="W707" s="9" t="str">
        <f t="shared" ref="W707:W770" si="59">IF(H707&lt;=3,"Fast Delivery","Slow Delivery")</f>
        <v>Fast Delivery</v>
      </c>
    </row>
    <row r="708" spans="1:23" x14ac:dyDescent="0.25">
      <c r="A708" s="9">
        <v>3557</v>
      </c>
      <c r="B708" s="10" t="s">
        <v>3321</v>
      </c>
      <c r="C708" s="10">
        <v>43435</v>
      </c>
      <c r="D708" s="10">
        <v>43439</v>
      </c>
      <c r="E708" s="9">
        <f t="shared" si="56"/>
        <v>2018</v>
      </c>
      <c r="F708" s="10" t="str">
        <f t="shared" si="57"/>
        <v>Dec</v>
      </c>
      <c r="G708" s="9">
        <f t="shared" si="58"/>
        <v>12</v>
      </c>
      <c r="H708" s="9">
        <f t="shared" si="55"/>
        <v>4</v>
      </c>
      <c r="I708" s="9" t="s">
        <v>43</v>
      </c>
      <c r="J708" s="9" t="s">
        <v>3322</v>
      </c>
      <c r="K708" s="9" t="s">
        <v>3323</v>
      </c>
      <c r="L708" s="9" t="s">
        <v>22</v>
      </c>
      <c r="M708" s="9" t="s">
        <v>23</v>
      </c>
      <c r="N708" s="9" t="s">
        <v>213</v>
      </c>
      <c r="O708" s="9" t="s">
        <v>80</v>
      </c>
      <c r="P708" s="9">
        <v>90008</v>
      </c>
      <c r="Q708" s="9" t="s">
        <v>37</v>
      </c>
      <c r="R708" s="9" t="s">
        <v>3324</v>
      </c>
      <c r="S708" s="9" t="s">
        <v>66</v>
      </c>
      <c r="T708" s="9" t="s">
        <v>201</v>
      </c>
      <c r="U708" s="9" t="s">
        <v>3325</v>
      </c>
      <c r="V708" s="11">
        <v>45.36</v>
      </c>
      <c r="W708" s="9" t="str">
        <f t="shared" si="59"/>
        <v>Slow Delivery</v>
      </c>
    </row>
    <row r="709" spans="1:23" x14ac:dyDescent="0.25">
      <c r="A709" s="9">
        <v>9278</v>
      </c>
      <c r="B709" s="10" t="s">
        <v>3331</v>
      </c>
      <c r="C709" s="10">
        <v>43435</v>
      </c>
      <c r="D709" s="10">
        <v>43439</v>
      </c>
      <c r="E709" s="9">
        <f t="shared" si="56"/>
        <v>2018</v>
      </c>
      <c r="F709" s="10" t="str">
        <f t="shared" si="57"/>
        <v>Dec</v>
      </c>
      <c r="G709" s="9">
        <f t="shared" si="58"/>
        <v>12</v>
      </c>
      <c r="H709" s="9">
        <f t="shared" si="55"/>
        <v>4</v>
      </c>
      <c r="I709" s="9" t="s">
        <v>43</v>
      </c>
      <c r="J709" s="9" t="s">
        <v>3332</v>
      </c>
      <c r="K709" s="9" t="s">
        <v>3333</v>
      </c>
      <c r="L709" s="9" t="s">
        <v>22</v>
      </c>
      <c r="M709" s="9" t="s">
        <v>23</v>
      </c>
      <c r="N709" s="9" t="s">
        <v>149</v>
      </c>
      <c r="O709" s="9" t="s">
        <v>150</v>
      </c>
      <c r="P709" s="9">
        <v>19140</v>
      </c>
      <c r="Q709" s="9" t="s">
        <v>49</v>
      </c>
      <c r="R709" s="9" t="s">
        <v>3334</v>
      </c>
      <c r="S709" s="9" t="s">
        <v>66</v>
      </c>
      <c r="T709" s="9" t="s">
        <v>82</v>
      </c>
      <c r="U709" s="9" t="s">
        <v>3335</v>
      </c>
      <c r="V709" s="11">
        <v>15.936</v>
      </c>
      <c r="W709" s="9" t="str">
        <f t="shared" si="59"/>
        <v>Slow Delivery</v>
      </c>
    </row>
    <row r="710" spans="1:23" x14ac:dyDescent="0.25">
      <c r="A710" s="9">
        <v>7393</v>
      </c>
      <c r="B710" s="10" t="s">
        <v>3339</v>
      </c>
      <c r="C710" s="10">
        <v>43222</v>
      </c>
      <c r="D710" s="10">
        <v>43226</v>
      </c>
      <c r="E710" s="9">
        <f t="shared" si="56"/>
        <v>2018</v>
      </c>
      <c r="F710" s="10" t="str">
        <f t="shared" si="57"/>
        <v>May</v>
      </c>
      <c r="G710" s="9">
        <f t="shared" si="58"/>
        <v>5</v>
      </c>
      <c r="H710" s="9">
        <f t="shared" si="55"/>
        <v>4</v>
      </c>
      <c r="I710" s="9" t="s">
        <v>43</v>
      </c>
      <c r="J710" s="9" t="s">
        <v>3340</v>
      </c>
      <c r="K710" s="9" t="s">
        <v>3341</v>
      </c>
      <c r="L710" s="9" t="s">
        <v>22</v>
      </c>
      <c r="M710" s="9" t="s">
        <v>23</v>
      </c>
      <c r="N710" s="9" t="s">
        <v>213</v>
      </c>
      <c r="O710" s="9" t="s">
        <v>80</v>
      </c>
      <c r="P710" s="9">
        <v>90049</v>
      </c>
      <c r="Q710" s="9" t="s">
        <v>37</v>
      </c>
      <c r="R710" s="9" t="s">
        <v>779</v>
      </c>
      <c r="S710" s="9" t="s">
        <v>66</v>
      </c>
      <c r="T710" s="9" t="s">
        <v>201</v>
      </c>
      <c r="U710" s="9" t="s">
        <v>780</v>
      </c>
      <c r="V710" s="11">
        <v>15.7</v>
      </c>
      <c r="W710" s="9" t="str">
        <f t="shared" si="59"/>
        <v>Slow Delivery</v>
      </c>
    </row>
    <row r="711" spans="1:23" x14ac:dyDescent="0.25">
      <c r="A711" s="9">
        <v>6031</v>
      </c>
      <c r="B711" s="10" t="s">
        <v>3553</v>
      </c>
      <c r="C711" s="10">
        <v>43287</v>
      </c>
      <c r="D711" s="10">
        <v>43287</v>
      </c>
      <c r="E711" s="9">
        <f t="shared" si="56"/>
        <v>2018</v>
      </c>
      <c r="F711" s="10" t="str">
        <f t="shared" si="57"/>
        <v>Jul</v>
      </c>
      <c r="G711" s="9">
        <f t="shared" si="58"/>
        <v>7</v>
      </c>
      <c r="H711" s="9">
        <f t="shared" si="55"/>
        <v>0</v>
      </c>
      <c r="I711" s="9" t="s">
        <v>302</v>
      </c>
      <c r="J711" s="9" t="s">
        <v>3554</v>
      </c>
      <c r="K711" s="9" t="s">
        <v>3555</v>
      </c>
      <c r="L711" s="9" t="s">
        <v>22</v>
      </c>
      <c r="M711" s="9" t="s">
        <v>23</v>
      </c>
      <c r="N711" s="9" t="s">
        <v>1502</v>
      </c>
      <c r="O711" s="9" t="s">
        <v>130</v>
      </c>
      <c r="P711" s="9">
        <v>33142</v>
      </c>
      <c r="Q711" s="9" t="s">
        <v>110</v>
      </c>
      <c r="R711" s="9" t="s">
        <v>998</v>
      </c>
      <c r="S711" s="9" t="s">
        <v>39</v>
      </c>
      <c r="T711" s="9" t="s">
        <v>40</v>
      </c>
      <c r="U711" s="9" t="s">
        <v>999</v>
      </c>
      <c r="V711" s="11">
        <v>239.24</v>
      </c>
      <c r="W711" s="9" t="str">
        <f t="shared" si="59"/>
        <v>Fast Delivery</v>
      </c>
    </row>
    <row r="712" spans="1:23" x14ac:dyDescent="0.25">
      <c r="A712" s="9">
        <v>7088</v>
      </c>
      <c r="B712" s="10" t="s">
        <v>3449</v>
      </c>
      <c r="C712" s="10">
        <v>43315</v>
      </c>
      <c r="D712" s="10">
        <v>43318</v>
      </c>
      <c r="E712" s="9">
        <f t="shared" si="56"/>
        <v>2018</v>
      </c>
      <c r="F712" s="10" t="str">
        <f t="shared" si="57"/>
        <v>Aug</v>
      </c>
      <c r="G712" s="9">
        <f t="shared" si="58"/>
        <v>8</v>
      </c>
      <c r="H712" s="9">
        <f t="shared" si="55"/>
        <v>3</v>
      </c>
      <c r="I712" s="9" t="s">
        <v>32</v>
      </c>
      <c r="J712" s="9" t="s">
        <v>3450</v>
      </c>
      <c r="K712" s="9" t="s">
        <v>3451</v>
      </c>
      <c r="L712" s="9" t="s">
        <v>22</v>
      </c>
      <c r="M712" s="9" t="s">
        <v>23</v>
      </c>
      <c r="N712" s="9" t="s">
        <v>213</v>
      </c>
      <c r="O712" s="9" t="s">
        <v>80</v>
      </c>
      <c r="P712" s="9">
        <v>90004</v>
      </c>
      <c r="Q712" s="9" t="s">
        <v>37</v>
      </c>
      <c r="R712" s="9" t="s">
        <v>3452</v>
      </c>
      <c r="S712" s="9" t="s">
        <v>66</v>
      </c>
      <c r="T712" s="9" t="s">
        <v>74</v>
      </c>
      <c r="U712" s="9" t="s">
        <v>3453</v>
      </c>
      <c r="V712" s="11">
        <v>99.87</v>
      </c>
      <c r="W712" s="9" t="str">
        <f t="shared" si="59"/>
        <v>Fast Delivery</v>
      </c>
    </row>
    <row r="713" spans="1:23" x14ac:dyDescent="0.25">
      <c r="A713" s="9">
        <v>4332</v>
      </c>
      <c r="B713" s="10" t="s">
        <v>3310</v>
      </c>
      <c r="C713" s="10">
        <v>43344</v>
      </c>
      <c r="D713" s="10">
        <v>43349</v>
      </c>
      <c r="E713" s="9">
        <f t="shared" si="56"/>
        <v>2018</v>
      </c>
      <c r="F713" s="10" t="str">
        <f t="shared" si="57"/>
        <v>Sep</v>
      </c>
      <c r="G713" s="9">
        <f t="shared" si="58"/>
        <v>9</v>
      </c>
      <c r="H713" s="9">
        <f t="shared" si="55"/>
        <v>5</v>
      </c>
      <c r="I713" s="9" t="s">
        <v>43</v>
      </c>
      <c r="J713" s="9" t="s">
        <v>3311</v>
      </c>
      <c r="K713" s="9" t="s">
        <v>3312</v>
      </c>
      <c r="L713" s="9" t="s">
        <v>22</v>
      </c>
      <c r="M713" s="9" t="s">
        <v>23</v>
      </c>
      <c r="N713" s="9" t="s">
        <v>3313</v>
      </c>
      <c r="O713" s="9" t="s">
        <v>36</v>
      </c>
      <c r="P713" s="9">
        <v>98052</v>
      </c>
      <c r="Q713" s="9" t="s">
        <v>37</v>
      </c>
      <c r="R713" s="9" t="s">
        <v>3314</v>
      </c>
      <c r="S713" s="9" t="s">
        <v>28</v>
      </c>
      <c r="T713" s="9" t="s">
        <v>29</v>
      </c>
      <c r="U713" s="9" t="s">
        <v>3315</v>
      </c>
      <c r="V713" s="11">
        <v>19.989999999999998</v>
      </c>
      <c r="W713" s="9" t="str">
        <f t="shared" si="59"/>
        <v>Slow Delivery</v>
      </c>
    </row>
    <row r="714" spans="1:23" x14ac:dyDescent="0.25">
      <c r="A714" s="9">
        <v>1947</v>
      </c>
      <c r="B714" s="10" t="s">
        <v>3352</v>
      </c>
      <c r="C714" s="10">
        <v>43345</v>
      </c>
      <c r="D714" s="10">
        <v>43349</v>
      </c>
      <c r="E714" s="9">
        <f t="shared" si="56"/>
        <v>2018</v>
      </c>
      <c r="F714" s="10" t="str">
        <f t="shared" si="57"/>
        <v>Sep</v>
      </c>
      <c r="G714" s="9">
        <f t="shared" si="58"/>
        <v>9</v>
      </c>
      <c r="H714" s="9">
        <f t="shared" si="55"/>
        <v>4</v>
      </c>
      <c r="I714" s="9" t="s">
        <v>43</v>
      </c>
      <c r="J714" s="9" t="s">
        <v>3353</v>
      </c>
      <c r="K714" s="9" t="s">
        <v>3354</v>
      </c>
      <c r="L714" s="9" t="s">
        <v>87</v>
      </c>
      <c r="M714" s="9" t="s">
        <v>23</v>
      </c>
      <c r="N714" s="9" t="s">
        <v>47</v>
      </c>
      <c r="O714" s="9" t="s">
        <v>48</v>
      </c>
      <c r="P714" s="9">
        <v>10009</v>
      </c>
      <c r="Q714" s="9" t="s">
        <v>49</v>
      </c>
      <c r="R714" s="9" t="s">
        <v>353</v>
      </c>
      <c r="S714" s="9" t="s">
        <v>66</v>
      </c>
      <c r="T714" s="9" t="s">
        <v>158</v>
      </c>
      <c r="U714" s="9" t="s">
        <v>354</v>
      </c>
      <c r="V714" s="11">
        <v>23.1</v>
      </c>
      <c r="W714" s="9" t="str">
        <f t="shared" si="59"/>
        <v>Slow Delivery</v>
      </c>
    </row>
    <row r="715" spans="1:23" x14ac:dyDescent="0.25">
      <c r="A715" s="9">
        <v>5826</v>
      </c>
      <c r="B715" s="10" t="s">
        <v>3460</v>
      </c>
      <c r="C715" s="10">
        <v>43346</v>
      </c>
      <c r="D715" s="10">
        <v>43349</v>
      </c>
      <c r="E715" s="9">
        <f t="shared" si="56"/>
        <v>2018</v>
      </c>
      <c r="F715" s="10" t="str">
        <f t="shared" si="57"/>
        <v>Sep</v>
      </c>
      <c r="G715" s="9">
        <f t="shared" si="58"/>
        <v>9</v>
      </c>
      <c r="H715" s="9">
        <f t="shared" si="55"/>
        <v>3</v>
      </c>
      <c r="I715" s="9" t="s">
        <v>32</v>
      </c>
      <c r="J715" s="9" t="s">
        <v>3461</v>
      </c>
      <c r="K715" s="9" t="s">
        <v>3462</v>
      </c>
      <c r="L715" s="9" t="s">
        <v>46</v>
      </c>
      <c r="M715" s="9" t="s">
        <v>23</v>
      </c>
      <c r="N715" s="9" t="s">
        <v>47</v>
      </c>
      <c r="O715" s="9" t="s">
        <v>48</v>
      </c>
      <c r="P715" s="9">
        <v>10035</v>
      </c>
      <c r="Q715" s="9" t="s">
        <v>49</v>
      </c>
      <c r="R715" s="9" t="s">
        <v>3463</v>
      </c>
      <c r="S715" s="9" t="s">
        <v>66</v>
      </c>
      <c r="T715" s="9" t="s">
        <v>201</v>
      </c>
      <c r="U715" s="9" t="s">
        <v>3464</v>
      </c>
      <c r="V715" s="11">
        <v>419.4</v>
      </c>
      <c r="W715" s="9" t="str">
        <f t="shared" si="59"/>
        <v>Fast Delivery</v>
      </c>
    </row>
    <row r="716" spans="1:23" x14ac:dyDescent="0.25">
      <c r="A716" s="9">
        <v>3513</v>
      </c>
      <c r="B716" s="10" t="s">
        <v>3509</v>
      </c>
      <c r="C716" s="10">
        <v>43347</v>
      </c>
      <c r="D716" s="10">
        <v>43349</v>
      </c>
      <c r="E716" s="9">
        <f t="shared" si="56"/>
        <v>2018</v>
      </c>
      <c r="F716" s="10" t="str">
        <f t="shared" si="57"/>
        <v>Sep</v>
      </c>
      <c r="G716" s="9">
        <f t="shared" si="58"/>
        <v>9</v>
      </c>
      <c r="H716" s="9">
        <f t="shared" si="55"/>
        <v>2</v>
      </c>
      <c r="I716" s="9" t="s">
        <v>19</v>
      </c>
      <c r="J716" s="9" t="s">
        <v>3510</v>
      </c>
      <c r="K716" s="9" t="s">
        <v>3511</v>
      </c>
      <c r="L716" s="9" t="s">
        <v>87</v>
      </c>
      <c r="M716" s="9" t="s">
        <v>23</v>
      </c>
      <c r="N716" s="9" t="s">
        <v>199</v>
      </c>
      <c r="O716" s="9" t="s">
        <v>57</v>
      </c>
      <c r="P716" s="9">
        <v>60653</v>
      </c>
      <c r="Q716" s="9" t="s">
        <v>26</v>
      </c>
      <c r="R716" s="9" t="s">
        <v>3512</v>
      </c>
      <c r="S716" s="9" t="s">
        <v>39</v>
      </c>
      <c r="T716" s="9" t="s">
        <v>1218</v>
      </c>
      <c r="U716" s="9" t="s">
        <v>3513</v>
      </c>
      <c r="V716" s="11">
        <v>825.17399999999998</v>
      </c>
      <c r="W716" s="9" t="str">
        <f t="shared" si="59"/>
        <v>Fast Delivery</v>
      </c>
    </row>
    <row r="717" spans="1:23" x14ac:dyDescent="0.25">
      <c r="A717" s="9">
        <v>5556</v>
      </c>
      <c r="B717" s="10" t="s">
        <v>3369</v>
      </c>
      <c r="C717" s="10">
        <v>43375</v>
      </c>
      <c r="D717" s="10">
        <v>43379</v>
      </c>
      <c r="E717" s="9">
        <f t="shared" si="56"/>
        <v>2018</v>
      </c>
      <c r="F717" s="10" t="str">
        <f t="shared" si="57"/>
        <v>Oct</v>
      </c>
      <c r="G717" s="9">
        <f t="shared" si="58"/>
        <v>10</v>
      </c>
      <c r="H717" s="9">
        <f t="shared" si="55"/>
        <v>4</v>
      </c>
      <c r="I717" s="9" t="s">
        <v>32</v>
      </c>
      <c r="J717" s="9" t="s">
        <v>3370</v>
      </c>
      <c r="K717" s="9" t="s">
        <v>3371</v>
      </c>
      <c r="L717" s="9" t="s">
        <v>87</v>
      </c>
      <c r="M717" s="9" t="s">
        <v>23</v>
      </c>
      <c r="N717" s="9" t="s">
        <v>3372</v>
      </c>
      <c r="O717" s="9" t="s">
        <v>1075</v>
      </c>
      <c r="P717" s="9">
        <v>36116</v>
      </c>
      <c r="Q717" s="9" t="s">
        <v>110</v>
      </c>
      <c r="R717" s="9" t="s">
        <v>3373</v>
      </c>
      <c r="S717" s="9" t="s">
        <v>39</v>
      </c>
      <c r="T717" s="9" t="s">
        <v>112</v>
      </c>
      <c r="U717" s="9" t="s">
        <v>3374</v>
      </c>
      <c r="V717" s="11">
        <v>10.16</v>
      </c>
      <c r="W717" s="9" t="str">
        <f t="shared" si="59"/>
        <v>Slow Delivery</v>
      </c>
    </row>
    <row r="718" spans="1:23" x14ac:dyDescent="0.25">
      <c r="A718" s="9">
        <v>7206</v>
      </c>
      <c r="B718" s="10" t="s">
        <v>3380</v>
      </c>
      <c r="C718" s="10">
        <v>43375</v>
      </c>
      <c r="D718" s="10">
        <v>43379</v>
      </c>
      <c r="E718" s="9">
        <f t="shared" si="56"/>
        <v>2018</v>
      </c>
      <c r="F718" s="10" t="str">
        <f t="shared" si="57"/>
        <v>Oct</v>
      </c>
      <c r="G718" s="9">
        <f t="shared" si="58"/>
        <v>10</v>
      </c>
      <c r="H718" s="9">
        <f t="shared" si="55"/>
        <v>4</v>
      </c>
      <c r="I718" s="9" t="s">
        <v>43</v>
      </c>
      <c r="J718" s="9" t="s">
        <v>3381</v>
      </c>
      <c r="K718" s="9" t="s">
        <v>3382</v>
      </c>
      <c r="L718" s="9" t="s">
        <v>22</v>
      </c>
      <c r="M718" s="9" t="s">
        <v>23</v>
      </c>
      <c r="N718" s="9" t="s">
        <v>143</v>
      </c>
      <c r="O718" s="9" t="s">
        <v>80</v>
      </c>
      <c r="P718" s="9">
        <v>94109</v>
      </c>
      <c r="Q718" s="9" t="s">
        <v>37</v>
      </c>
      <c r="R718" s="9" t="s">
        <v>3383</v>
      </c>
      <c r="S718" s="9" t="s">
        <v>39</v>
      </c>
      <c r="T718" s="9" t="s">
        <v>112</v>
      </c>
      <c r="U718" s="9" t="s">
        <v>3384</v>
      </c>
      <c r="V718" s="11">
        <v>17.46</v>
      </c>
      <c r="W718" s="9" t="str">
        <f t="shared" si="59"/>
        <v>Slow Delivery</v>
      </c>
    </row>
    <row r="719" spans="1:23" x14ac:dyDescent="0.25">
      <c r="A719" s="9">
        <v>9525</v>
      </c>
      <c r="B719" s="10" t="s">
        <v>3540</v>
      </c>
      <c r="C719" s="10">
        <v>43439</v>
      </c>
      <c r="D719" s="10">
        <v>43440</v>
      </c>
      <c r="E719" s="9">
        <f t="shared" si="56"/>
        <v>2018</v>
      </c>
      <c r="F719" s="10" t="str">
        <f t="shared" si="57"/>
        <v>Dec</v>
      </c>
      <c r="G719" s="9">
        <f t="shared" si="58"/>
        <v>12</v>
      </c>
      <c r="H719" s="9">
        <f t="shared" si="55"/>
        <v>1</v>
      </c>
      <c r="I719" s="9" t="s">
        <v>19</v>
      </c>
      <c r="J719" s="9" t="s">
        <v>3541</v>
      </c>
      <c r="K719" s="9" t="s">
        <v>3542</v>
      </c>
      <c r="L719" s="9" t="s">
        <v>46</v>
      </c>
      <c r="M719" s="9" t="s">
        <v>23</v>
      </c>
      <c r="N719" s="9" t="s">
        <v>35</v>
      </c>
      <c r="O719" s="9" t="s">
        <v>36</v>
      </c>
      <c r="P719" s="9">
        <v>98115</v>
      </c>
      <c r="Q719" s="9" t="s">
        <v>37</v>
      </c>
      <c r="R719" s="9" t="s">
        <v>1928</v>
      </c>
      <c r="S719" s="9" t="s">
        <v>66</v>
      </c>
      <c r="T719" s="9" t="s">
        <v>103</v>
      </c>
      <c r="U719" s="9" t="s">
        <v>1929</v>
      </c>
      <c r="V719" s="11">
        <v>83.92</v>
      </c>
      <c r="W719" s="9" t="str">
        <f t="shared" si="59"/>
        <v>Fast Delivery</v>
      </c>
    </row>
    <row r="720" spans="1:23" x14ac:dyDescent="0.25">
      <c r="A720" s="9">
        <v>7262</v>
      </c>
      <c r="B720" s="10" t="s">
        <v>3676</v>
      </c>
      <c r="C720" s="10">
        <v>43261</v>
      </c>
      <c r="D720" s="10">
        <v>43264</v>
      </c>
      <c r="E720" s="9">
        <f t="shared" si="56"/>
        <v>2018</v>
      </c>
      <c r="F720" s="10" t="str">
        <f t="shared" si="57"/>
        <v>Jun</v>
      </c>
      <c r="G720" s="9">
        <f t="shared" si="58"/>
        <v>6</v>
      </c>
      <c r="H720" s="9">
        <f t="shared" si="55"/>
        <v>3</v>
      </c>
      <c r="I720" s="9" t="s">
        <v>32</v>
      </c>
      <c r="J720" s="9" t="s">
        <v>3677</v>
      </c>
      <c r="K720" s="9" t="s">
        <v>3678</v>
      </c>
      <c r="L720" s="9" t="s">
        <v>87</v>
      </c>
      <c r="M720" s="9" t="s">
        <v>23</v>
      </c>
      <c r="N720" s="9" t="s">
        <v>2255</v>
      </c>
      <c r="O720" s="9" t="s">
        <v>80</v>
      </c>
      <c r="P720" s="9">
        <v>91360</v>
      </c>
      <c r="Q720" s="9" t="s">
        <v>37</v>
      </c>
      <c r="R720" s="9" t="s">
        <v>3679</v>
      </c>
      <c r="S720" s="9" t="s">
        <v>66</v>
      </c>
      <c r="T720" s="9" t="s">
        <v>158</v>
      </c>
      <c r="U720" s="9" t="s">
        <v>3680</v>
      </c>
      <c r="V720" s="11">
        <v>14.7</v>
      </c>
      <c r="W720" s="9" t="str">
        <f t="shared" si="59"/>
        <v>Fast Delivery</v>
      </c>
    </row>
    <row r="721" spans="1:23" x14ac:dyDescent="0.25">
      <c r="A721" s="9">
        <v>9175</v>
      </c>
      <c r="B721" s="10" t="s">
        <v>3703</v>
      </c>
      <c r="C721" s="10">
        <v>43263</v>
      </c>
      <c r="D721" s="10">
        <v>43265</v>
      </c>
      <c r="E721" s="9">
        <f t="shared" si="56"/>
        <v>2018</v>
      </c>
      <c r="F721" s="10" t="str">
        <f t="shared" si="57"/>
        <v>Jun</v>
      </c>
      <c r="G721" s="9">
        <f t="shared" si="58"/>
        <v>6</v>
      </c>
      <c r="H721" s="9">
        <f t="shared" si="55"/>
        <v>2</v>
      </c>
      <c r="I721" s="9" t="s">
        <v>32</v>
      </c>
      <c r="J721" s="9" t="s">
        <v>3704</v>
      </c>
      <c r="K721" s="9" t="s">
        <v>3705</v>
      </c>
      <c r="L721" s="9" t="s">
        <v>22</v>
      </c>
      <c r="M721" s="9" t="s">
        <v>23</v>
      </c>
      <c r="N721" s="9" t="s">
        <v>1411</v>
      </c>
      <c r="O721" s="9" t="s">
        <v>36</v>
      </c>
      <c r="P721" s="9">
        <v>98031</v>
      </c>
      <c r="Q721" s="9" t="s">
        <v>37</v>
      </c>
      <c r="R721" s="9" t="s">
        <v>3706</v>
      </c>
      <c r="S721" s="9" t="s">
        <v>28</v>
      </c>
      <c r="T721" s="9" t="s">
        <v>51</v>
      </c>
      <c r="U721" s="9" t="s">
        <v>3707</v>
      </c>
      <c r="V721" s="11">
        <v>71.975999999999999</v>
      </c>
      <c r="W721" s="9" t="str">
        <f t="shared" si="59"/>
        <v>Fast Delivery</v>
      </c>
    </row>
    <row r="722" spans="1:23" x14ac:dyDescent="0.25">
      <c r="A722" s="9">
        <v>2501</v>
      </c>
      <c r="B722" s="10" t="s">
        <v>3862</v>
      </c>
      <c r="C722" s="10">
        <v>43268</v>
      </c>
      <c r="D722" s="10">
        <v>43271</v>
      </c>
      <c r="E722" s="9">
        <f t="shared" si="56"/>
        <v>2018</v>
      </c>
      <c r="F722" s="10" t="str">
        <f t="shared" si="57"/>
        <v>Jun</v>
      </c>
      <c r="G722" s="9">
        <f t="shared" si="58"/>
        <v>6</v>
      </c>
      <c r="H722" s="9">
        <f t="shared" si="55"/>
        <v>3</v>
      </c>
      <c r="I722" s="9" t="s">
        <v>19</v>
      </c>
      <c r="J722" s="9" t="s">
        <v>3863</v>
      </c>
      <c r="K722" s="9" t="s">
        <v>3864</v>
      </c>
      <c r="L722" s="9" t="s">
        <v>87</v>
      </c>
      <c r="M722" s="9" t="s">
        <v>23</v>
      </c>
      <c r="N722" s="9" t="s">
        <v>3865</v>
      </c>
      <c r="O722" s="9" t="s">
        <v>57</v>
      </c>
      <c r="P722" s="9">
        <v>60076</v>
      </c>
      <c r="Q722" s="9" t="s">
        <v>26</v>
      </c>
      <c r="R722" s="9" t="s">
        <v>2821</v>
      </c>
      <c r="S722" s="9" t="s">
        <v>66</v>
      </c>
      <c r="T722" s="9" t="s">
        <v>201</v>
      </c>
      <c r="U722" s="9" t="s">
        <v>2822</v>
      </c>
      <c r="V722" s="11">
        <v>12.224</v>
      </c>
      <c r="W722" s="9" t="str">
        <f t="shared" si="59"/>
        <v>Fast Delivery</v>
      </c>
    </row>
    <row r="723" spans="1:23" x14ac:dyDescent="0.25">
      <c r="A723" s="9">
        <v>9491</v>
      </c>
      <c r="B723" s="10" t="s">
        <v>3410</v>
      </c>
      <c r="C723" s="10">
        <v>43103</v>
      </c>
      <c r="D723" s="10">
        <v>43107</v>
      </c>
      <c r="E723" s="9">
        <f t="shared" si="56"/>
        <v>2018</v>
      </c>
      <c r="F723" s="10" t="str">
        <f t="shared" si="57"/>
        <v>Jan</v>
      </c>
      <c r="G723" s="9">
        <f t="shared" si="58"/>
        <v>1</v>
      </c>
      <c r="H723" s="9">
        <f t="shared" si="55"/>
        <v>4</v>
      </c>
      <c r="I723" s="9" t="s">
        <v>43</v>
      </c>
      <c r="J723" s="9" t="s">
        <v>3411</v>
      </c>
      <c r="K723" s="9" t="s">
        <v>3412</v>
      </c>
      <c r="L723" s="9" t="s">
        <v>22</v>
      </c>
      <c r="M723" s="9" t="s">
        <v>23</v>
      </c>
      <c r="N723" s="9" t="s">
        <v>143</v>
      </c>
      <c r="O723" s="9" t="s">
        <v>80</v>
      </c>
      <c r="P723" s="9">
        <v>94110</v>
      </c>
      <c r="Q723" s="9" t="s">
        <v>37</v>
      </c>
      <c r="R723" s="9" t="s">
        <v>3413</v>
      </c>
      <c r="S723" s="9" t="s">
        <v>66</v>
      </c>
      <c r="T723" s="9" t="s">
        <v>103</v>
      </c>
      <c r="U723" s="9" t="s">
        <v>3414</v>
      </c>
      <c r="V723" s="11">
        <v>2022.2719999999999</v>
      </c>
      <c r="W723" s="9" t="str">
        <f t="shared" si="59"/>
        <v>Slow Delivery</v>
      </c>
    </row>
    <row r="724" spans="1:23" x14ac:dyDescent="0.25">
      <c r="A724" s="9">
        <v>3062</v>
      </c>
      <c r="B724" s="10" t="s">
        <v>3415</v>
      </c>
      <c r="C724" s="10">
        <v>43162</v>
      </c>
      <c r="D724" s="10">
        <v>43166</v>
      </c>
      <c r="E724" s="9">
        <f t="shared" si="56"/>
        <v>2018</v>
      </c>
      <c r="F724" s="10" t="str">
        <f t="shared" si="57"/>
        <v>Mar</v>
      </c>
      <c r="G724" s="9">
        <f t="shared" si="58"/>
        <v>3</v>
      </c>
      <c r="H724" s="9">
        <f t="shared" si="55"/>
        <v>4</v>
      </c>
      <c r="I724" s="9" t="s">
        <v>43</v>
      </c>
      <c r="J724" s="9" t="s">
        <v>3416</v>
      </c>
      <c r="K724" s="9" t="s">
        <v>3417</v>
      </c>
      <c r="L724" s="9" t="s">
        <v>22</v>
      </c>
      <c r="M724" s="9" t="s">
        <v>23</v>
      </c>
      <c r="N724" s="9" t="s">
        <v>556</v>
      </c>
      <c r="O724" s="9" t="s">
        <v>64</v>
      </c>
      <c r="P724" s="9">
        <v>75081</v>
      </c>
      <c r="Q724" s="9" t="s">
        <v>26</v>
      </c>
      <c r="R724" s="9" t="s">
        <v>3418</v>
      </c>
      <c r="S724" s="9" t="s">
        <v>66</v>
      </c>
      <c r="T724" s="9" t="s">
        <v>201</v>
      </c>
      <c r="U724" s="9" t="s">
        <v>3419</v>
      </c>
      <c r="V724" s="11">
        <v>26.88</v>
      </c>
      <c r="W724" s="9" t="str">
        <f t="shared" si="59"/>
        <v>Slow Delivery</v>
      </c>
    </row>
    <row r="725" spans="1:23" x14ac:dyDescent="0.25">
      <c r="A725" s="9">
        <v>4329</v>
      </c>
      <c r="B725" s="10" t="s">
        <v>3284</v>
      </c>
      <c r="C725" s="10">
        <v>43191</v>
      </c>
      <c r="D725" s="10">
        <v>43197</v>
      </c>
      <c r="E725" s="9">
        <f t="shared" si="56"/>
        <v>2018</v>
      </c>
      <c r="F725" s="10" t="str">
        <f t="shared" si="57"/>
        <v>Apr</v>
      </c>
      <c r="G725" s="9">
        <f t="shared" si="58"/>
        <v>4</v>
      </c>
      <c r="H725" s="9">
        <f t="shared" si="55"/>
        <v>6</v>
      </c>
      <c r="I725" s="9" t="s">
        <v>43</v>
      </c>
      <c r="J725" s="9" t="s">
        <v>3285</v>
      </c>
      <c r="K725" s="9" t="s">
        <v>3286</v>
      </c>
      <c r="L725" s="9" t="s">
        <v>22</v>
      </c>
      <c r="M725" s="9" t="s">
        <v>23</v>
      </c>
      <c r="N725" s="9" t="s">
        <v>47</v>
      </c>
      <c r="O725" s="9" t="s">
        <v>48</v>
      </c>
      <c r="P725" s="9">
        <v>10011</v>
      </c>
      <c r="Q725" s="9" t="s">
        <v>49</v>
      </c>
      <c r="R725" s="9" t="s">
        <v>3287</v>
      </c>
      <c r="S725" s="9" t="s">
        <v>66</v>
      </c>
      <c r="T725" s="9" t="s">
        <v>201</v>
      </c>
      <c r="U725" s="9" t="s">
        <v>3288</v>
      </c>
      <c r="V725" s="11">
        <v>42.93</v>
      </c>
      <c r="W725" s="9" t="str">
        <f t="shared" si="59"/>
        <v>Slow Delivery</v>
      </c>
    </row>
    <row r="726" spans="1:23" x14ac:dyDescent="0.25">
      <c r="A726" s="9">
        <v>6125</v>
      </c>
      <c r="B726" s="10" t="s">
        <v>3431</v>
      </c>
      <c r="C726" s="10">
        <v>43254</v>
      </c>
      <c r="D726" s="10">
        <v>43258</v>
      </c>
      <c r="E726" s="9">
        <f t="shared" si="56"/>
        <v>2018</v>
      </c>
      <c r="F726" s="10" t="str">
        <f t="shared" si="57"/>
        <v>Jun</v>
      </c>
      <c r="G726" s="9">
        <f t="shared" si="58"/>
        <v>6</v>
      </c>
      <c r="H726" s="9">
        <f t="shared" si="55"/>
        <v>4</v>
      </c>
      <c r="I726" s="9" t="s">
        <v>43</v>
      </c>
      <c r="J726" s="9" t="s">
        <v>3432</v>
      </c>
      <c r="K726" s="9" t="s">
        <v>3433</v>
      </c>
      <c r="L726" s="9" t="s">
        <v>87</v>
      </c>
      <c r="M726" s="9" t="s">
        <v>23</v>
      </c>
      <c r="N726" s="9" t="s">
        <v>213</v>
      </c>
      <c r="O726" s="9" t="s">
        <v>80</v>
      </c>
      <c r="P726" s="9">
        <v>90036</v>
      </c>
      <c r="Q726" s="9" t="s">
        <v>37</v>
      </c>
      <c r="R726" s="9" t="s">
        <v>2574</v>
      </c>
      <c r="S726" s="9" t="s">
        <v>28</v>
      </c>
      <c r="T726" s="9" t="s">
        <v>29</v>
      </c>
      <c r="U726" s="9" t="s">
        <v>2575</v>
      </c>
      <c r="V726" s="11">
        <v>44.75</v>
      </c>
      <c r="W726" s="9" t="str">
        <f t="shared" si="59"/>
        <v>Slow Delivery</v>
      </c>
    </row>
    <row r="727" spans="1:23" x14ac:dyDescent="0.25">
      <c r="A727" s="9">
        <v>9451</v>
      </c>
      <c r="B727" s="10" t="s">
        <v>3434</v>
      </c>
      <c r="C727" s="10">
        <v>43254</v>
      </c>
      <c r="D727" s="10">
        <v>43258</v>
      </c>
      <c r="E727" s="9">
        <f t="shared" si="56"/>
        <v>2018</v>
      </c>
      <c r="F727" s="10" t="str">
        <f t="shared" si="57"/>
        <v>Jun</v>
      </c>
      <c r="G727" s="9">
        <f t="shared" si="58"/>
        <v>6</v>
      </c>
      <c r="H727" s="9">
        <f t="shared" si="55"/>
        <v>4</v>
      </c>
      <c r="I727" s="9" t="s">
        <v>43</v>
      </c>
      <c r="J727" s="9" t="s">
        <v>3435</v>
      </c>
      <c r="K727" s="9" t="s">
        <v>3436</v>
      </c>
      <c r="L727" s="9" t="s">
        <v>46</v>
      </c>
      <c r="M727" s="9" t="s">
        <v>23</v>
      </c>
      <c r="N727" s="9" t="s">
        <v>2130</v>
      </c>
      <c r="O727" s="9" t="s">
        <v>36</v>
      </c>
      <c r="P727" s="9">
        <v>99207</v>
      </c>
      <c r="Q727" s="9" t="s">
        <v>37</v>
      </c>
      <c r="R727" s="9" t="s">
        <v>1986</v>
      </c>
      <c r="S727" s="9" t="s">
        <v>66</v>
      </c>
      <c r="T727" s="9" t="s">
        <v>74</v>
      </c>
      <c r="U727" s="9" t="s">
        <v>1987</v>
      </c>
      <c r="V727" s="11">
        <v>136.26</v>
      </c>
      <c r="W727" s="9" t="str">
        <f t="shared" si="59"/>
        <v>Slow Delivery</v>
      </c>
    </row>
    <row r="728" spans="1:23" x14ac:dyDescent="0.25">
      <c r="A728" s="9">
        <v>8518</v>
      </c>
      <c r="B728" s="10" t="s">
        <v>3505</v>
      </c>
      <c r="C728" s="10">
        <v>43255</v>
      </c>
      <c r="D728" s="10">
        <v>43258</v>
      </c>
      <c r="E728" s="9">
        <f t="shared" si="56"/>
        <v>2018</v>
      </c>
      <c r="F728" s="10" t="str">
        <f t="shared" si="57"/>
        <v>Jun</v>
      </c>
      <c r="G728" s="9">
        <f t="shared" si="58"/>
        <v>6</v>
      </c>
      <c r="H728" s="9">
        <f t="shared" si="55"/>
        <v>3</v>
      </c>
      <c r="I728" s="9" t="s">
        <v>32</v>
      </c>
      <c r="J728" s="9" t="s">
        <v>3506</v>
      </c>
      <c r="K728" s="9" t="s">
        <v>3507</v>
      </c>
      <c r="L728" s="9" t="s">
        <v>22</v>
      </c>
      <c r="M728" s="9" t="s">
        <v>23</v>
      </c>
      <c r="N728" s="9" t="s">
        <v>3508</v>
      </c>
      <c r="O728" s="9" t="s">
        <v>64</v>
      </c>
      <c r="P728" s="9">
        <v>75034</v>
      </c>
      <c r="Q728" s="9" t="s">
        <v>26</v>
      </c>
      <c r="R728" s="9" t="s">
        <v>1376</v>
      </c>
      <c r="S728" s="9" t="s">
        <v>39</v>
      </c>
      <c r="T728" s="9" t="s">
        <v>112</v>
      </c>
      <c r="U728" s="9" t="s">
        <v>1377</v>
      </c>
      <c r="V728" s="11">
        <v>30.335999999999999</v>
      </c>
      <c r="W728" s="9" t="str">
        <f t="shared" si="59"/>
        <v>Fast Delivery</v>
      </c>
    </row>
    <row r="729" spans="1:23" x14ac:dyDescent="0.25">
      <c r="A729" s="9">
        <v>1304</v>
      </c>
      <c r="B729" s="10" t="s">
        <v>3437</v>
      </c>
      <c r="C729" s="10">
        <v>43284</v>
      </c>
      <c r="D729" s="10">
        <v>43288</v>
      </c>
      <c r="E729" s="9">
        <f t="shared" si="56"/>
        <v>2018</v>
      </c>
      <c r="F729" s="10" t="str">
        <f t="shared" si="57"/>
        <v>Jul</v>
      </c>
      <c r="G729" s="9">
        <f t="shared" si="58"/>
        <v>7</v>
      </c>
      <c r="H729" s="9">
        <f t="shared" si="55"/>
        <v>4</v>
      </c>
      <c r="I729" s="9" t="s">
        <v>43</v>
      </c>
      <c r="J729" s="9" t="s">
        <v>3438</v>
      </c>
      <c r="K729" s="9" t="s">
        <v>3439</v>
      </c>
      <c r="L729" s="9" t="s">
        <v>22</v>
      </c>
      <c r="M729" s="9" t="s">
        <v>23</v>
      </c>
      <c r="N729" s="9" t="s">
        <v>249</v>
      </c>
      <c r="O729" s="9" t="s">
        <v>286</v>
      </c>
      <c r="P729" s="9">
        <v>31907</v>
      </c>
      <c r="Q729" s="9" t="s">
        <v>110</v>
      </c>
      <c r="R729" s="9" t="s">
        <v>3440</v>
      </c>
      <c r="S729" s="9" t="s">
        <v>39</v>
      </c>
      <c r="T729" s="9" t="s">
        <v>112</v>
      </c>
      <c r="U729" s="9" t="s">
        <v>3441</v>
      </c>
      <c r="V729" s="11">
        <v>23.99</v>
      </c>
      <c r="W729" s="9" t="str">
        <f t="shared" si="59"/>
        <v>Slow Delivery</v>
      </c>
    </row>
    <row r="730" spans="1:23" x14ac:dyDescent="0.25">
      <c r="A730" s="9">
        <v>1834</v>
      </c>
      <c r="B730" s="10" t="s">
        <v>3300</v>
      </c>
      <c r="C730" s="10">
        <v>43313</v>
      </c>
      <c r="D730" s="10">
        <v>43319</v>
      </c>
      <c r="E730" s="9">
        <f t="shared" si="56"/>
        <v>2018</v>
      </c>
      <c r="F730" s="10" t="str">
        <f t="shared" si="57"/>
        <v>Aug</v>
      </c>
      <c r="G730" s="9">
        <f t="shared" si="58"/>
        <v>8</v>
      </c>
      <c r="H730" s="9">
        <f t="shared" si="55"/>
        <v>6</v>
      </c>
      <c r="I730" s="9" t="s">
        <v>43</v>
      </c>
      <c r="J730" s="9" t="s">
        <v>3301</v>
      </c>
      <c r="K730" s="9" t="s">
        <v>3302</v>
      </c>
      <c r="L730" s="9" t="s">
        <v>87</v>
      </c>
      <c r="M730" s="9" t="s">
        <v>23</v>
      </c>
      <c r="N730" s="9" t="s">
        <v>1514</v>
      </c>
      <c r="O730" s="9" t="s">
        <v>64</v>
      </c>
      <c r="P730" s="9">
        <v>78745</v>
      </c>
      <c r="Q730" s="9" t="s">
        <v>26</v>
      </c>
      <c r="R730" s="9" t="s">
        <v>3303</v>
      </c>
      <c r="S730" s="9" t="s">
        <v>28</v>
      </c>
      <c r="T730" s="9" t="s">
        <v>364</v>
      </c>
      <c r="U730" s="9" t="s">
        <v>3304</v>
      </c>
      <c r="V730" s="11">
        <v>1439.982</v>
      </c>
      <c r="W730" s="9" t="str">
        <f t="shared" si="59"/>
        <v>Slow Delivery</v>
      </c>
    </row>
    <row r="731" spans="1:23" x14ac:dyDescent="0.25">
      <c r="A731" s="9">
        <v>910</v>
      </c>
      <c r="B731" s="10" t="s">
        <v>3347</v>
      </c>
      <c r="C731" s="10">
        <v>43345</v>
      </c>
      <c r="D731" s="10">
        <v>43350</v>
      </c>
      <c r="E731" s="9">
        <f t="shared" si="56"/>
        <v>2018</v>
      </c>
      <c r="F731" s="10" t="str">
        <f t="shared" si="57"/>
        <v>Sep</v>
      </c>
      <c r="G731" s="9">
        <f t="shared" si="58"/>
        <v>9</v>
      </c>
      <c r="H731" s="9">
        <f t="shared" si="55"/>
        <v>5</v>
      </c>
      <c r="I731" s="9" t="s">
        <v>43</v>
      </c>
      <c r="J731" s="9" t="s">
        <v>3348</v>
      </c>
      <c r="K731" s="9" t="s">
        <v>3349</v>
      </c>
      <c r="L731" s="9" t="s">
        <v>46</v>
      </c>
      <c r="M731" s="9" t="s">
        <v>23</v>
      </c>
      <c r="N731" s="9" t="s">
        <v>649</v>
      </c>
      <c r="O731" s="9" t="s">
        <v>118</v>
      </c>
      <c r="P731" s="9">
        <v>49201</v>
      </c>
      <c r="Q731" s="9" t="s">
        <v>26</v>
      </c>
      <c r="R731" s="9" t="s">
        <v>3350</v>
      </c>
      <c r="S731" s="9" t="s">
        <v>28</v>
      </c>
      <c r="T731" s="9" t="s">
        <v>51</v>
      </c>
      <c r="U731" s="9" t="s">
        <v>3351</v>
      </c>
      <c r="V731" s="11">
        <v>1199.8</v>
      </c>
      <c r="W731" s="9" t="str">
        <f t="shared" si="59"/>
        <v>Slow Delivery</v>
      </c>
    </row>
    <row r="732" spans="1:23" x14ac:dyDescent="0.25">
      <c r="A732" s="9">
        <v>6680</v>
      </c>
      <c r="B732" s="10" t="s">
        <v>3360</v>
      </c>
      <c r="C732" s="10">
        <v>43345</v>
      </c>
      <c r="D732" s="10">
        <v>43350</v>
      </c>
      <c r="E732" s="9">
        <f t="shared" si="56"/>
        <v>2018</v>
      </c>
      <c r="F732" s="10" t="str">
        <f t="shared" si="57"/>
        <v>Sep</v>
      </c>
      <c r="G732" s="9">
        <f t="shared" si="58"/>
        <v>9</v>
      </c>
      <c r="H732" s="9">
        <f t="shared" si="55"/>
        <v>5</v>
      </c>
      <c r="I732" s="9" t="s">
        <v>32</v>
      </c>
      <c r="J732" s="9" t="s">
        <v>3361</v>
      </c>
      <c r="K732" s="9" t="s">
        <v>3362</v>
      </c>
      <c r="L732" s="9" t="s">
        <v>22</v>
      </c>
      <c r="M732" s="9" t="s">
        <v>23</v>
      </c>
      <c r="N732" s="9" t="s">
        <v>834</v>
      </c>
      <c r="O732" s="9" t="s">
        <v>656</v>
      </c>
      <c r="P732" s="9">
        <v>6450</v>
      </c>
      <c r="Q732" s="9" t="s">
        <v>49</v>
      </c>
      <c r="R732" s="9" t="s">
        <v>3363</v>
      </c>
      <c r="S732" s="9" t="s">
        <v>66</v>
      </c>
      <c r="T732" s="9" t="s">
        <v>74</v>
      </c>
      <c r="U732" s="9" t="s">
        <v>3364</v>
      </c>
      <c r="V732" s="11">
        <v>10.9</v>
      </c>
      <c r="W732" s="9" t="str">
        <f t="shared" si="59"/>
        <v>Slow Delivery</v>
      </c>
    </row>
    <row r="733" spans="1:23" x14ac:dyDescent="0.25">
      <c r="A733" s="9">
        <v>3978</v>
      </c>
      <c r="B733" s="10" t="s">
        <v>3365</v>
      </c>
      <c r="C733" s="10">
        <v>43375</v>
      </c>
      <c r="D733" s="10">
        <v>43380</v>
      </c>
      <c r="E733" s="9">
        <f t="shared" si="56"/>
        <v>2018</v>
      </c>
      <c r="F733" s="10" t="str">
        <f t="shared" si="57"/>
        <v>Oct</v>
      </c>
      <c r="G733" s="9">
        <f t="shared" si="58"/>
        <v>10</v>
      </c>
      <c r="H733" s="9">
        <f t="shared" si="55"/>
        <v>5</v>
      </c>
      <c r="I733" s="9" t="s">
        <v>43</v>
      </c>
      <c r="J733" s="9" t="s">
        <v>3366</v>
      </c>
      <c r="K733" s="9" t="s">
        <v>3367</v>
      </c>
      <c r="L733" s="9" t="s">
        <v>46</v>
      </c>
      <c r="M733" s="9" t="s">
        <v>23</v>
      </c>
      <c r="N733" s="9" t="s">
        <v>35</v>
      </c>
      <c r="O733" s="9" t="s">
        <v>36</v>
      </c>
      <c r="P733" s="9">
        <v>98105</v>
      </c>
      <c r="Q733" s="9" t="s">
        <v>37</v>
      </c>
      <c r="R733" s="9" t="s">
        <v>3368</v>
      </c>
      <c r="S733" s="9" t="s">
        <v>66</v>
      </c>
      <c r="T733" s="9" t="s">
        <v>67</v>
      </c>
      <c r="U733" s="9" t="s">
        <v>195</v>
      </c>
      <c r="V733" s="11">
        <v>8.94</v>
      </c>
      <c r="W733" s="9" t="str">
        <f t="shared" si="59"/>
        <v>Slow Delivery</v>
      </c>
    </row>
    <row r="734" spans="1:23" x14ac:dyDescent="0.25">
      <c r="A734" s="9">
        <v>8399</v>
      </c>
      <c r="B734" s="10" t="s">
        <v>3392</v>
      </c>
      <c r="C734" s="10">
        <v>43406</v>
      </c>
      <c r="D734" s="10">
        <v>43411</v>
      </c>
      <c r="E734" s="9">
        <f t="shared" si="56"/>
        <v>2018</v>
      </c>
      <c r="F734" s="10" t="str">
        <f t="shared" si="57"/>
        <v>Nov</v>
      </c>
      <c r="G734" s="9">
        <f t="shared" si="58"/>
        <v>11</v>
      </c>
      <c r="H734" s="9">
        <f t="shared" si="55"/>
        <v>5</v>
      </c>
      <c r="I734" s="9" t="s">
        <v>32</v>
      </c>
      <c r="J734" s="9" t="s">
        <v>3393</v>
      </c>
      <c r="K734" s="9" t="s">
        <v>3394</v>
      </c>
      <c r="L734" s="9" t="s">
        <v>46</v>
      </c>
      <c r="M734" s="9" t="s">
        <v>23</v>
      </c>
      <c r="N734" s="9" t="s">
        <v>335</v>
      </c>
      <c r="O734" s="9" t="s">
        <v>250</v>
      </c>
      <c r="P734" s="9">
        <v>45503</v>
      </c>
      <c r="Q734" s="9" t="s">
        <v>49</v>
      </c>
      <c r="R734" s="9" t="s">
        <v>3395</v>
      </c>
      <c r="S734" s="9" t="s">
        <v>39</v>
      </c>
      <c r="T734" s="9" t="s">
        <v>40</v>
      </c>
      <c r="U734" s="9" t="s">
        <v>3396</v>
      </c>
      <c r="V734" s="11">
        <v>155.37200000000001</v>
      </c>
      <c r="W734" s="9" t="str">
        <f t="shared" si="59"/>
        <v>Slow Delivery</v>
      </c>
    </row>
    <row r="735" spans="1:23" x14ac:dyDescent="0.25">
      <c r="A735" s="9">
        <v>415</v>
      </c>
      <c r="B735" s="10" t="s">
        <v>3469</v>
      </c>
      <c r="C735" s="10">
        <v>43407</v>
      </c>
      <c r="D735" s="10">
        <v>43411</v>
      </c>
      <c r="E735" s="9">
        <f t="shared" si="56"/>
        <v>2018</v>
      </c>
      <c r="F735" s="10" t="str">
        <f t="shared" si="57"/>
        <v>Nov</v>
      </c>
      <c r="G735" s="9">
        <f t="shared" si="58"/>
        <v>11</v>
      </c>
      <c r="H735" s="9">
        <f t="shared" si="55"/>
        <v>4</v>
      </c>
      <c r="I735" s="9" t="s">
        <v>43</v>
      </c>
      <c r="J735" s="9" t="s">
        <v>3470</v>
      </c>
      <c r="K735" s="9" t="s">
        <v>3471</v>
      </c>
      <c r="L735" s="9" t="s">
        <v>87</v>
      </c>
      <c r="M735" s="9" t="s">
        <v>23</v>
      </c>
      <c r="N735" s="9" t="s">
        <v>35</v>
      </c>
      <c r="O735" s="9" t="s">
        <v>36</v>
      </c>
      <c r="P735" s="9">
        <v>98105</v>
      </c>
      <c r="Q735" s="9" t="s">
        <v>37</v>
      </c>
      <c r="R735" s="9" t="s">
        <v>3472</v>
      </c>
      <c r="S735" s="9" t="s">
        <v>66</v>
      </c>
      <c r="T735" s="9" t="s">
        <v>201</v>
      </c>
      <c r="U735" s="9" t="s">
        <v>3473</v>
      </c>
      <c r="V735" s="11">
        <v>139.86000000000001</v>
      </c>
      <c r="W735" s="9" t="str">
        <f t="shared" si="59"/>
        <v>Slow Delivery</v>
      </c>
    </row>
    <row r="736" spans="1:23" x14ac:dyDescent="0.25">
      <c r="A736" s="9">
        <v>2271</v>
      </c>
      <c r="B736" s="10" t="s">
        <v>3402</v>
      </c>
      <c r="C736" s="10">
        <v>43436</v>
      </c>
      <c r="D736" s="10">
        <v>43441</v>
      </c>
      <c r="E736" s="9">
        <f t="shared" si="56"/>
        <v>2018</v>
      </c>
      <c r="F736" s="10" t="str">
        <f t="shared" si="57"/>
        <v>Dec</v>
      </c>
      <c r="G736" s="9">
        <f t="shared" si="58"/>
        <v>12</v>
      </c>
      <c r="H736" s="9">
        <f t="shared" si="55"/>
        <v>5</v>
      </c>
      <c r="I736" s="9" t="s">
        <v>43</v>
      </c>
      <c r="J736" s="9" t="s">
        <v>3403</v>
      </c>
      <c r="K736" s="9" t="s">
        <v>3404</v>
      </c>
      <c r="L736" s="9" t="s">
        <v>87</v>
      </c>
      <c r="M736" s="9" t="s">
        <v>23</v>
      </c>
      <c r="N736" s="9" t="s">
        <v>1502</v>
      </c>
      <c r="O736" s="9" t="s">
        <v>130</v>
      </c>
      <c r="P736" s="9">
        <v>33180</v>
      </c>
      <c r="Q736" s="9" t="s">
        <v>110</v>
      </c>
      <c r="R736" s="9" t="s">
        <v>3405</v>
      </c>
      <c r="S736" s="9" t="s">
        <v>66</v>
      </c>
      <c r="T736" s="9" t="s">
        <v>158</v>
      </c>
      <c r="U736" s="9" t="s">
        <v>3406</v>
      </c>
      <c r="V736" s="11">
        <v>47.96</v>
      </c>
      <c r="W736" s="9" t="str">
        <f t="shared" si="59"/>
        <v>Slow Delivery</v>
      </c>
    </row>
    <row r="737" spans="1:23" x14ac:dyDescent="0.25">
      <c r="A737" s="9">
        <v>2574</v>
      </c>
      <c r="B737" s="10" t="s">
        <v>3642</v>
      </c>
      <c r="C737" s="10">
        <v>43290</v>
      </c>
      <c r="D737" s="10">
        <v>43295</v>
      </c>
      <c r="E737" s="9">
        <f t="shared" si="56"/>
        <v>2018</v>
      </c>
      <c r="F737" s="10" t="str">
        <f t="shared" si="57"/>
        <v>Jul</v>
      </c>
      <c r="G737" s="9">
        <f t="shared" si="58"/>
        <v>7</v>
      </c>
      <c r="H737" s="9">
        <f t="shared" si="55"/>
        <v>5</v>
      </c>
      <c r="I737" s="9" t="s">
        <v>43</v>
      </c>
      <c r="J737" s="9" t="s">
        <v>3643</v>
      </c>
      <c r="K737" s="9" t="s">
        <v>3644</v>
      </c>
      <c r="L737" s="9" t="s">
        <v>46</v>
      </c>
      <c r="M737" s="9" t="s">
        <v>23</v>
      </c>
      <c r="N737" s="9" t="s">
        <v>642</v>
      </c>
      <c r="O737" s="9" t="s">
        <v>1825</v>
      </c>
      <c r="P737" s="9">
        <v>47905</v>
      </c>
      <c r="Q737" s="9" t="s">
        <v>26</v>
      </c>
      <c r="R737" s="9" t="s">
        <v>3645</v>
      </c>
      <c r="S737" s="9" t="s">
        <v>39</v>
      </c>
      <c r="T737" s="9" t="s">
        <v>112</v>
      </c>
      <c r="U737" s="9" t="s">
        <v>3646</v>
      </c>
      <c r="V737" s="11">
        <v>526.45000000000005</v>
      </c>
      <c r="W737" s="9" t="str">
        <f t="shared" si="59"/>
        <v>Slow Delivery</v>
      </c>
    </row>
    <row r="738" spans="1:23" x14ac:dyDescent="0.25">
      <c r="A738" s="9">
        <v>1621</v>
      </c>
      <c r="B738" s="10" t="s">
        <v>3624</v>
      </c>
      <c r="C738" s="10">
        <v>43289</v>
      </c>
      <c r="D738" s="10">
        <v>43296</v>
      </c>
      <c r="E738" s="9">
        <f t="shared" si="56"/>
        <v>2018</v>
      </c>
      <c r="F738" s="10" t="str">
        <f t="shared" si="57"/>
        <v>Jul</v>
      </c>
      <c r="G738" s="9">
        <f t="shared" si="58"/>
        <v>7</v>
      </c>
      <c r="H738" s="9">
        <f t="shared" si="55"/>
        <v>7</v>
      </c>
      <c r="I738" s="9" t="s">
        <v>43</v>
      </c>
      <c r="J738" s="9" t="s">
        <v>3625</v>
      </c>
      <c r="K738" s="9" t="s">
        <v>3626</v>
      </c>
      <c r="L738" s="9" t="s">
        <v>22</v>
      </c>
      <c r="M738" s="9" t="s">
        <v>23</v>
      </c>
      <c r="N738" s="9" t="s">
        <v>1411</v>
      </c>
      <c r="O738" s="9" t="s">
        <v>36</v>
      </c>
      <c r="P738" s="9">
        <v>98031</v>
      </c>
      <c r="Q738" s="9" t="s">
        <v>37</v>
      </c>
      <c r="R738" s="9" t="s">
        <v>3627</v>
      </c>
      <c r="S738" s="9" t="s">
        <v>39</v>
      </c>
      <c r="T738" s="9" t="s">
        <v>112</v>
      </c>
      <c r="U738" s="9" t="s">
        <v>3628</v>
      </c>
      <c r="V738" s="11">
        <v>198.46</v>
      </c>
      <c r="W738" s="9" t="str">
        <f t="shared" si="59"/>
        <v>Slow Delivery</v>
      </c>
    </row>
    <row r="739" spans="1:23" x14ac:dyDescent="0.25">
      <c r="A739" s="9">
        <v>6567</v>
      </c>
      <c r="B739" s="10" t="s">
        <v>3517</v>
      </c>
      <c r="C739" s="10">
        <v>43136</v>
      </c>
      <c r="D739" s="10">
        <v>43139</v>
      </c>
      <c r="E739" s="9">
        <f t="shared" si="56"/>
        <v>2018</v>
      </c>
      <c r="F739" s="10" t="str">
        <f t="shared" si="57"/>
        <v>Feb</v>
      </c>
      <c r="G739" s="9">
        <f t="shared" si="58"/>
        <v>2</v>
      </c>
      <c r="H739" s="9">
        <f t="shared" si="55"/>
        <v>3</v>
      </c>
      <c r="I739" s="9" t="s">
        <v>32</v>
      </c>
      <c r="J739" s="9" t="s">
        <v>3518</v>
      </c>
      <c r="K739" s="9" t="s">
        <v>3519</v>
      </c>
      <c r="L739" s="9" t="s">
        <v>22</v>
      </c>
      <c r="M739" s="9" t="s">
        <v>23</v>
      </c>
      <c r="N739" s="9" t="s">
        <v>3520</v>
      </c>
      <c r="O739" s="9" t="s">
        <v>64</v>
      </c>
      <c r="P739" s="9">
        <v>76706</v>
      </c>
      <c r="Q739" s="9" t="s">
        <v>26</v>
      </c>
      <c r="R739" s="9" t="s">
        <v>2514</v>
      </c>
      <c r="S739" s="9" t="s">
        <v>66</v>
      </c>
      <c r="T739" s="9" t="s">
        <v>103</v>
      </c>
      <c r="U739" s="9" t="s">
        <v>3521</v>
      </c>
      <c r="V739" s="11">
        <v>243.99199999999999</v>
      </c>
      <c r="W739" s="9" t="str">
        <f t="shared" si="59"/>
        <v>Fast Delivery</v>
      </c>
    </row>
    <row r="740" spans="1:23" x14ac:dyDescent="0.25">
      <c r="A740" s="9">
        <v>9252</v>
      </c>
      <c r="B740" s="10" t="s">
        <v>3336</v>
      </c>
      <c r="C740" s="10">
        <v>43161</v>
      </c>
      <c r="D740" s="10">
        <v>43167</v>
      </c>
      <c r="E740" s="9">
        <f t="shared" si="56"/>
        <v>2018</v>
      </c>
      <c r="F740" s="10" t="str">
        <f t="shared" si="57"/>
        <v>Mar</v>
      </c>
      <c r="G740" s="9">
        <f t="shared" si="58"/>
        <v>3</v>
      </c>
      <c r="H740" s="9">
        <f t="shared" si="55"/>
        <v>6</v>
      </c>
      <c r="I740" s="9" t="s">
        <v>43</v>
      </c>
      <c r="J740" s="9" t="s">
        <v>3337</v>
      </c>
      <c r="K740" s="9" t="s">
        <v>3338</v>
      </c>
      <c r="L740" s="9" t="s">
        <v>87</v>
      </c>
      <c r="M740" s="9" t="s">
        <v>23</v>
      </c>
      <c r="N740" s="9" t="s">
        <v>213</v>
      </c>
      <c r="O740" s="9" t="s">
        <v>80</v>
      </c>
      <c r="P740" s="9">
        <v>90008</v>
      </c>
      <c r="Q740" s="9" t="s">
        <v>37</v>
      </c>
      <c r="R740" s="9" t="s">
        <v>1064</v>
      </c>
      <c r="S740" s="9" t="s">
        <v>66</v>
      </c>
      <c r="T740" s="9" t="s">
        <v>103</v>
      </c>
      <c r="U740" s="9" t="s">
        <v>1065</v>
      </c>
      <c r="V740" s="11">
        <v>107.648</v>
      </c>
      <c r="W740" s="9" t="str">
        <f t="shared" si="59"/>
        <v>Slow Delivery</v>
      </c>
    </row>
    <row r="741" spans="1:23" x14ac:dyDescent="0.25">
      <c r="A741" s="9">
        <v>6576</v>
      </c>
      <c r="B741" s="10" t="s">
        <v>3420</v>
      </c>
      <c r="C741" s="10">
        <v>43162</v>
      </c>
      <c r="D741" s="10">
        <v>43167</v>
      </c>
      <c r="E741" s="9">
        <f t="shared" si="56"/>
        <v>2018</v>
      </c>
      <c r="F741" s="10" t="str">
        <f t="shared" si="57"/>
        <v>Mar</v>
      </c>
      <c r="G741" s="9">
        <f t="shared" si="58"/>
        <v>3</v>
      </c>
      <c r="H741" s="9">
        <f t="shared" si="55"/>
        <v>5</v>
      </c>
      <c r="I741" s="9" t="s">
        <v>43</v>
      </c>
      <c r="J741" s="9" t="s">
        <v>3421</v>
      </c>
      <c r="K741" s="9" t="s">
        <v>3422</v>
      </c>
      <c r="L741" s="9" t="s">
        <v>22</v>
      </c>
      <c r="M741" s="9" t="s">
        <v>23</v>
      </c>
      <c r="N741" s="9" t="s">
        <v>213</v>
      </c>
      <c r="O741" s="9" t="s">
        <v>80</v>
      </c>
      <c r="P741" s="9">
        <v>90008</v>
      </c>
      <c r="Q741" s="9" t="s">
        <v>37</v>
      </c>
      <c r="R741" s="9" t="s">
        <v>3423</v>
      </c>
      <c r="S741" s="9" t="s">
        <v>28</v>
      </c>
      <c r="T741" s="9" t="s">
        <v>29</v>
      </c>
      <c r="U741" s="9" t="s">
        <v>3424</v>
      </c>
      <c r="V741" s="11">
        <v>1049.44</v>
      </c>
      <c r="W741" s="9" t="str">
        <f t="shared" si="59"/>
        <v>Slow Delivery</v>
      </c>
    </row>
    <row r="742" spans="1:23" x14ac:dyDescent="0.25">
      <c r="A742" s="9">
        <v>8619</v>
      </c>
      <c r="B742" s="10" t="s">
        <v>3425</v>
      </c>
      <c r="C742" s="10">
        <v>43162</v>
      </c>
      <c r="D742" s="10">
        <v>43167</v>
      </c>
      <c r="E742" s="9">
        <f t="shared" si="56"/>
        <v>2018</v>
      </c>
      <c r="F742" s="10" t="str">
        <f t="shared" si="57"/>
        <v>Mar</v>
      </c>
      <c r="G742" s="9">
        <f t="shared" si="58"/>
        <v>3</v>
      </c>
      <c r="H742" s="9">
        <f t="shared" si="55"/>
        <v>5</v>
      </c>
      <c r="I742" s="9" t="s">
        <v>43</v>
      </c>
      <c r="J742" s="9" t="s">
        <v>3426</v>
      </c>
      <c r="K742" s="9" t="s">
        <v>3427</v>
      </c>
      <c r="L742" s="9" t="s">
        <v>87</v>
      </c>
      <c r="M742" s="9" t="s">
        <v>23</v>
      </c>
      <c r="N742" s="9" t="s">
        <v>213</v>
      </c>
      <c r="O742" s="9" t="s">
        <v>80</v>
      </c>
      <c r="P742" s="9">
        <v>90004</v>
      </c>
      <c r="Q742" s="9" t="s">
        <v>37</v>
      </c>
      <c r="R742" s="9" t="s">
        <v>2589</v>
      </c>
      <c r="S742" s="9" t="s">
        <v>39</v>
      </c>
      <c r="T742" s="9" t="s">
        <v>480</v>
      </c>
      <c r="U742" s="9" t="s">
        <v>2590</v>
      </c>
      <c r="V742" s="11">
        <v>399.67200000000003</v>
      </c>
      <c r="W742" s="9" t="str">
        <f t="shared" si="59"/>
        <v>Slow Delivery</v>
      </c>
    </row>
    <row r="743" spans="1:23" x14ac:dyDescent="0.25">
      <c r="A743" s="9">
        <v>6190</v>
      </c>
      <c r="B743" s="10" t="s">
        <v>3493</v>
      </c>
      <c r="C743" s="10">
        <v>43194</v>
      </c>
      <c r="D743" s="10">
        <v>43198</v>
      </c>
      <c r="E743" s="9">
        <f t="shared" si="56"/>
        <v>2018</v>
      </c>
      <c r="F743" s="10" t="str">
        <f t="shared" si="57"/>
        <v>Apr</v>
      </c>
      <c r="G743" s="9">
        <f t="shared" si="58"/>
        <v>4</v>
      </c>
      <c r="H743" s="9">
        <f t="shared" si="55"/>
        <v>4</v>
      </c>
      <c r="I743" s="9" t="s">
        <v>43</v>
      </c>
      <c r="J743" s="9" t="s">
        <v>3494</v>
      </c>
      <c r="K743" s="9" t="s">
        <v>3495</v>
      </c>
      <c r="L743" s="9" t="s">
        <v>22</v>
      </c>
      <c r="M743" s="9" t="s">
        <v>23</v>
      </c>
      <c r="N743" s="9" t="s">
        <v>3496</v>
      </c>
      <c r="O743" s="9" t="s">
        <v>57</v>
      </c>
      <c r="P743" s="9">
        <v>60016</v>
      </c>
      <c r="Q743" s="9" t="s">
        <v>26</v>
      </c>
      <c r="R743" s="9" t="s">
        <v>3497</v>
      </c>
      <c r="S743" s="9" t="s">
        <v>28</v>
      </c>
      <c r="T743" s="9" t="s">
        <v>51</v>
      </c>
      <c r="U743" s="9" t="s">
        <v>3498</v>
      </c>
      <c r="V743" s="11">
        <v>383.84</v>
      </c>
      <c r="W743" s="9" t="str">
        <f t="shared" si="59"/>
        <v>Slow Delivery</v>
      </c>
    </row>
    <row r="744" spans="1:23" x14ac:dyDescent="0.25">
      <c r="A744" s="9">
        <v>3193</v>
      </c>
      <c r="B744" s="10" t="s">
        <v>3499</v>
      </c>
      <c r="C744" s="10">
        <v>43255</v>
      </c>
      <c r="D744" s="10">
        <v>43259</v>
      </c>
      <c r="E744" s="9">
        <f t="shared" si="56"/>
        <v>2018</v>
      </c>
      <c r="F744" s="10" t="str">
        <f t="shared" si="57"/>
        <v>Jun</v>
      </c>
      <c r="G744" s="9">
        <f t="shared" si="58"/>
        <v>6</v>
      </c>
      <c r="H744" s="9">
        <f t="shared" si="55"/>
        <v>4</v>
      </c>
      <c r="I744" s="9" t="s">
        <v>43</v>
      </c>
      <c r="J744" s="9" t="s">
        <v>3500</v>
      </c>
      <c r="K744" s="9" t="s">
        <v>3501</v>
      </c>
      <c r="L744" s="9" t="s">
        <v>87</v>
      </c>
      <c r="M744" s="9" t="s">
        <v>23</v>
      </c>
      <c r="N744" s="9" t="s">
        <v>3502</v>
      </c>
      <c r="O744" s="9" t="s">
        <v>64</v>
      </c>
      <c r="P744" s="9">
        <v>77489</v>
      </c>
      <c r="Q744" s="9" t="s">
        <v>26</v>
      </c>
      <c r="R744" s="9" t="s">
        <v>3503</v>
      </c>
      <c r="S744" s="9" t="s">
        <v>66</v>
      </c>
      <c r="T744" s="9" t="s">
        <v>103</v>
      </c>
      <c r="U744" s="9" t="s">
        <v>3504</v>
      </c>
      <c r="V744" s="11">
        <v>6.37</v>
      </c>
      <c r="W744" s="9" t="str">
        <f t="shared" si="59"/>
        <v>Slow Delivery</v>
      </c>
    </row>
    <row r="745" spans="1:23" x14ac:dyDescent="0.25">
      <c r="A745" s="9">
        <v>3934</v>
      </c>
      <c r="B745" s="10" t="s">
        <v>3355</v>
      </c>
      <c r="C745" s="10">
        <v>43345</v>
      </c>
      <c r="D745" s="10">
        <v>43351</v>
      </c>
      <c r="E745" s="9">
        <f t="shared" si="56"/>
        <v>2018</v>
      </c>
      <c r="F745" s="10" t="str">
        <f t="shared" si="57"/>
        <v>Sep</v>
      </c>
      <c r="G745" s="9">
        <f t="shared" si="58"/>
        <v>9</v>
      </c>
      <c r="H745" s="9">
        <f t="shared" si="55"/>
        <v>6</v>
      </c>
      <c r="I745" s="9" t="s">
        <v>43</v>
      </c>
      <c r="J745" s="9" t="s">
        <v>3356</v>
      </c>
      <c r="K745" s="9" t="s">
        <v>3357</v>
      </c>
      <c r="L745" s="9" t="s">
        <v>22</v>
      </c>
      <c r="M745" s="9" t="s">
        <v>23</v>
      </c>
      <c r="N745" s="9" t="s">
        <v>2301</v>
      </c>
      <c r="O745" s="9" t="s">
        <v>80</v>
      </c>
      <c r="P745" s="9">
        <v>93309</v>
      </c>
      <c r="Q745" s="9" t="s">
        <v>37</v>
      </c>
      <c r="R745" s="9" t="s">
        <v>3358</v>
      </c>
      <c r="S745" s="9" t="s">
        <v>66</v>
      </c>
      <c r="T745" s="9" t="s">
        <v>158</v>
      </c>
      <c r="U745" s="9" t="s">
        <v>3359</v>
      </c>
      <c r="V745" s="11">
        <v>9.4</v>
      </c>
      <c r="W745" s="9" t="str">
        <f t="shared" si="59"/>
        <v>Slow Delivery</v>
      </c>
    </row>
    <row r="746" spans="1:23" x14ac:dyDescent="0.25">
      <c r="A746" s="9">
        <v>5636</v>
      </c>
      <c r="B746" s="10" t="s">
        <v>3454</v>
      </c>
      <c r="C746" s="10">
        <v>43346</v>
      </c>
      <c r="D746" s="10">
        <v>43351</v>
      </c>
      <c r="E746" s="9">
        <f t="shared" si="56"/>
        <v>2018</v>
      </c>
      <c r="F746" s="10" t="str">
        <f t="shared" si="57"/>
        <v>Sep</v>
      </c>
      <c r="G746" s="9">
        <f t="shared" si="58"/>
        <v>9</v>
      </c>
      <c r="H746" s="9">
        <f t="shared" si="55"/>
        <v>5</v>
      </c>
      <c r="I746" s="9" t="s">
        <v>43</v>
      </c>
      <c r="J746" s="9" t="s">
        <v>3455</v>
      </c>
      <c r="K746" s="9" t="s">
        <v>3456</v>
      </c>
      <c r="L746" s="9" t="s">
        <v>46</v>
      </c>
      <c r="M746" s="9" t="s">
        <v>23</v>
      </c>
      <c r="N746" s="9" t="s">
        <v>3457</v>
      </c>
      <c r="O746" s="9" t="s">
        <v>80</v>
      </c>
      <c r="P746" s="9">
        <v>91941</v>
      </c>
      <c r="Q746" s="9" t="s">
        <v>37</v>
      </c>
      <c r="R746" s="9" t="s">
        <v>3458</v>
      </c>
      <c r="S746" s="9" t="s">
        <v>66</v>
      </c>
      <c r="T746" s="9" t="s">
        <v>103</v>
      </c>
      <c r="U746" s="9" t="s">
        <v>3459</v>
      </c>
      <c r="V746" s="11">
        <v>82.56</v>
      </c>
      <c r="W746" s="9" t="str">
        <f t="shared" si="59"/>
        <v>Slow Delivery</v>
      </c>
    </row>
    <row r="747" spans="1:23" x14ac:dyDescent="0.25">
      <c r="A747" s="9">
        <v>5785</v>
      </c>
      <c r="B747" s="10" t="s">
        <v>3375</v>
      </c>
      <c r="C747" s="10">
        <v>43375</v>
      </c>
      <c r="D747" s="10">
        <v>43381</v>
      </c>
      <c r="E747" s="9">
        <f t="shared" si="56"/>
        <v>2018</v>
      </c>
      <c r="F747" s="10" t="str">
        <f t="shared" si="57"/>
        <v>Oct</v>
      </c>
      <c r="G747" s="9">
        <f t="shared" si="58"/>
        <v>10</v>
      </c>
      <c r="H747" s="9">
        <f t="shared" si="55"/>
        <v>6</v>
      </c>
      <c r="I747" s="9" t="s">
        <v>43</v>
      </c>
      <c r="J747" s="9" t="s">
        <v>3376</v>
      </c>
      <c r="K747" s="9" t="s">
        <v>3377</v>
      </c>
      <c r="L747" s="9" t="s">
        <v>22</v>
      </c>
      <c r="M747" s="9" t="s">
        <v>23</v>
      </c>
      <c r="N747" s="9" t="s">
        <v>335</v>
      </c>
      <c r="O747" s="9" t="s">
        <v>188</v>
      </c>
      <c r="P747" s="9">
        <v>97477</v>
      </c>
      <c r="Q747" s="9" t="s">
        <v>37</v>
      </c>
      <c r="R747" s="9" t="s">
        <v>3378</v>
      </c>
      <c r="S747" s="9" t="s">
        <v>39</v>
      </c>
      <c r="T747" s="9" t="s">
        <v>1218</v>
      </c>
      <c r="U747" s="9" t="s">
        <v>3379</v>
      </c>
      <c r="V747" s="11">
        <v>217.76400000000001</v>
      </c>
      <c r="W747" s="9" t="str">
        <f t="shared" si="59"/>
        <v>Slow Delivery</v>
      </c>
    </row>
    <row r="748" spans="1:23" x14ac:dyDescent="0.25">
      <c r="A748" s="9">
        <v>2803</v>
      </c>
      <c r="B748" s="10" t="s">
        <v>3474</v>
      </c>
      <c r="C748" s="10">
        <v>43407</v>
      </c>
      <c r="D748" s="10">
        <v>43412</v>
      </c>
      <c r="E748" s="9">
        <f t="shared" si="56"/>
        <v>2018</v>
      </c>
      <c r="F748" s="10" t="str">
        <f t="shared" si="57"/>
        <v>Nov</v>
      </c>
      <c r="G748" s="9">
        <f t="shared" si="58"/>
        <v>11</v>
      </c>
      <c r="H748" s="9">
        <f t="shared" si="55"/>
        <v>5</v>
      </c>
      <c r="I748" s="9" t="s">
        <v>43</v>
      </c>
      <c r="J748" s="9" t="s">
        <v>3475</v>
      </c>
      <c r="K748" s="9" t="s">
        <v>3476</v>
      </c>
      <c r="L748" s="9" t="s">
        <v>22</v>
      </c>
      <c r="M748" s="9" t="s">
        <v>23</v>
      </c>
      <c r="N748" s="9" t="s">
        <v>3477</v>
      </c>
      <c r="O748" s="9" t="s">
        <v>1456</v>
      </c>
      <c r="P748" s="9">
        <v>88001</v>
      </c>
      <c r="Q748" s="9" t="s">
        <v>37</v>
      </c>
      <c r="R748" s="9" t="s">
        <v>3478</v>
      </c>
      <c r="S748" s="9" t="s">
        <v>39</v>
      </c>
      <c r="T748" s="9" t="s">
        <v>112</v>
      </c>
      <c r="U748" s="9" t="s">
        <v>3479</v>
      </c>
      <c r="V748" s="11">
        <v>41.37</v>
      </c>
      <c r="W748" s="9" t="str">
        <f t="shared" si="59"/>
        <v>Slow Delivery</v>
      </c>
    </row>
    <row r="749" spans="1:23" x14ac:dyDescent="0.25">
      <c r="A749" s="9">
        <v>6352</v>
      </c>
      <c r="B749" s="10" t="s">
        <v>3480</v>
      </c>
      <c r="C749" s="10">
        <v>43407</v>
      </c>
      <c r="D749" s="10">
        <v>43412</v>
      </c>
      <c r="E749" s="9">
        <f t="shared" si="56"/>
        <v>2018</v>
      </c>
      <c r="F749" s="10" t="str">
        <f t="shared" si="57"/>
        <v>Nov</v>
      </c>
      <c r="G749" s="9">
        <f t="shared" si="58"/>
        <v>11</v>
      </c>
      <c r="H749" s="9">
        <f t="shared" si="55"/>
        <v>5</v>
      </c>
      <c r="I749" s="9" t="s">
        <v>43</v>
      </c>
      <c r="J749" s="9" t="s">
        <v>3481</v>
      </c>
      <c r="K749" s="9" t="s">
        <v>3482</v>
      </c>
      <c r="L749" s="9" t="s">
        <v>87</v>
      </c>
      <c r="M749" s="9" t="s">
        <v>23</v>
      </c>
      <c r="N749" s="9" t="s">
        <v>1502</v>
      </c>
      <c r="O749" s="9" t="s">
        <v>130</v>
      </c>
      <c r="P749" s="9">
        <v>33178</v>
      </c>
      <c r="Q749" s="9" t="s">
        <v>110</v>
      </c>
      <c r="R749" s="9" t="s">
        <v>3483</v>
      </c>
      <c r="S749" s="9" t="s">
        <v>28</v>
      </c>
      <c r="T749" s="9" t="s">
        <v>51</v>
      </c>
      <c r="U749" s="9" t="s">
        <v>3484</v>
      </c>
      <c r="V749" s="11">
        <v>361.37599999999998</v>
      </c>
      <c r="W749" s="9" t="str">
        <f t="shared" si="59"/>
        <v>Slow Delivery</v>
      </c>
    </row>
    <row r="750" spans="1:23" x14ac:dyDescent="0.25">
      <c r="A750" s="9">
        <v>7716</v>
      </c>
      <c r="B750" s="10" t="s">
        <v>3485</v>
      </c>
      <c r="C750" s="10">
        <v>43407</v>
      </c>
      <c r="D750" s="10">
        <v>43412</v>
      </c>
      <c r="E750" s="9">
        <f t="shared" si="56"/>
        <v>2018</v>
      </c>
      <c r="F750" s="10" t="str">
        <f t="shared" si="57"/>
        <v>Nov</v>
      </c>
      <c r="G750" s="9">
        <f t="shared" si="58"/>
        <v>11</v>
      </c>
      <c r="H750" s="9">
        <f t="shared" si="55"/>
        <v>5</v>
      </c>
      <c r="I750" s="9" t="s">
        <v>43</v>
      </c>
      <c r="J750" s="9" t="s">
        <v>3486</v>
      </c>
      <c r="K750" s="9" t="s">
        <v>3487</v>
      </c>
      <c r="L750" s="9" t="s">
        <v>22</v>
      </c>
      <c r="M750" s="9" t="s">
        <v>23</v>
      </c>
      <c r="N750" s="9" t="s">
        <v>149</v>
      </c>
      <c r="O750" s="9" t="s">
        <v>150</v>
      </c>
      <c r="P750" s="9">
        <v>19140</v>
      </c>
      <c r="Q750" s="9" t="s">
        <v>49</v>
      </c>
      <c r="R750" s="9" t="s">
        <v>3488</v>
      </c>
      <c r="S750" s="9" t="s">
        <v>28</v>
      </c>
      <c r="T750" s="9" t="s">
        <v>29</v>
      </c>
      <c r="U750" s="9" t="s">
        <v>3489</v>
      </c>
      <c r="V750" s="11">
        <v>40.776000000000003</v>
      </c>
      <c r="W750" s="9" t="str">
        <f t="shared" si="59"/>
        <v>Slow Delivery</v>
      </c>
    </row>
    <row r="751" spans="1:23" x14ac:dyDescent="0.25">
      <c r="A751" s="9">
        <v>6864</v>
      </c>
      <c r="B751" s="10" t="s">
        <v>3326</v>
      </c>
      <c r="C751" s="10">
        <v>43435</v>
      </c>
      <c r="D751" s="10">
        <v>43442</v>
      </c>
      <c r="E751" s="9">
        <f t="shared" si="56"/>
        <v>2018</v>
      </c>
      <c r="F751" s="10" t="str">
        <f t="shared" si="57"/>
        <v>Dec</v>
      </c>
      <c r="G751" s="9">
        <f t="shared" si="58"/>
        <v>12</v>
      </c>
      <c r="H751" s="9">
        <f t="shared" si="55"/>
        <v>7</v>
      </c>
      <c r="I751" s="9" t="s">
        <v>43</v>
      </c>
      <c r="J751" s="9" t="s">
        <v>3327</v>
      </c>
      <c r="K751" s="9" t="s">
        <v>3328</v>
      </c>
      <c r="L751" s="9" t="s">
        <v>87</v>
      </c>
      <c r="M751" s="9" t="s">
        <v>23</v>
      </c>
      <c r="N751" s="9" t="s">
        <v>784</v>
      </c>
      <c r="O751" s="9" t="s">
        <v>64</v>
      </c>
      <c r="P751" s="9">
        <v>78207</v>
      </c>
      <c r="Q751" s="9" t="s">
        <v>26</v>
      </c>
      <c r="R751" s="9" t="s">
        <v>3329</v>
      </c>
      <c r="S751" s="9" t="s">
        <v>66</v>
      </c>
      <c r="T751" s="9" t="s">
        <v>201</v>
      </c>
      <c r="U751" s="9" t="s">
        <v>3330</v>
      </c>
      <c r="V751" s="11">
        <v>10.368</v>
      </c>
      <c r="W751" s="9" t="str">
        <f t="shared" si="59"/>
        <v>Slow Delivery</v>
      </c>
    </row>
    <row r="752" spans="1:23" x14ac:dyDescent="0.25">
      <c r="A752" s="9">
        <v>2691</v>
      </c>
      <c r="B752" s="10" t="s">
        <v>3514</v>
      </c>
      <c r="C752" s="10">
        <v>43438</v>
      </c>
      <c r="D752" s="10">
        <v>43442</v>
      </c>
      <c r="E752" s="9">
        <f t="shared" si="56"/>
        <v>2018</v>
      </c>
      <c r="F752" s="10" t="str">
        <f t="shared" si="57"/>
        <v>Dec</v>
      </c>
      <c r="G752" s="9">
        <f t="shared" si="58"/>
        <v>12</v>
      </c>
      <c r="H752" s="9">
        <f t="shared" si="55"/>
        <v>4</v>
      </c>
      <c r="I752" s="9" t="s">
        <v>43</v>
      </c>
      <c r="J752" s="9" t="s">
        <v>3515</v>
      </c>
      <c r="K752" s="9" t="s">
        <v>3516</v>
      </c>
      <c r="L752" s="9" t="s">
        <v>22</v>
      </c>
      <c r="M752" s="9" t="s">
        <v>23</v>
      </c>
      <c r="N752" s="9" t="s">
        <v>149</v>
      </c>
      <c r="O752" s="9" t="s">
        <v>150</v>
      </c>
      <c r="P752" s="9">
        <v>19134</v>
      </c>
      <c r="Q752" s="9" t="s">
        <v>49</v>
      </c>
      <c r="R752" s="9" t="s">
        <v>791</v>
      </c>
      <c r="S752" s="9" t="s">
        <v>66</v>
      </c>
      <c r="T752" s="9" t="s">
        <v>103</v>
      </c>
      <c r="U752" s="9" t="s">
        <v>792</v>
      </c>
      <c r="V752" s="11">
        <v>5.3460000000000001</v>
      </c>
      <c r="W752" s="9" t="str">
        <f t="shared" si="59"/>
        <v>Slow Delivery</v>
      </c>
    </row>
    <row r="753" spans="1:23" x14ac:dyDescent="0.25">
      <c r="A753" s="9">
        <v>9608</v>
      </c>
      <c r="B753" s="10" t="s">
        <v>3543</v>
      </c>
      <c r="C753" s="10">
        <v>43439</v>
      </c>
      <c r="D753" s="10">
        <v>43442</v>
      </c>
      <c r="E753" s="9">
        <f t="shared" si="56"/>
        <v>2018</v>
      </c>
      <c r="F753" s="10" t="str">
        <f t="shared" si="57"/>
        <v>Dec</v>
      </c>
      <c r="G753" s="9">
        <f t="shared" si="58"/>
        <v>12</v>
      </c>
      <c r="H753" s="9">
        <f t="shared" si="55"/>
        <v>3</v>
      </c>
      <c r="I753" s="9" t="s">
        <v>32</v>
      </c>
      <c r="J753" s="9" t="s">
        <v>3544</v>
      </c>
      <c r="K753" s="9" t="s">
        <v>3545</v>
      </c>
      <c r="L753" s="9" t="s">
        <v>22</v>
      </c>
      <c r="M753" s="9" t="s">
        <v>23</v>
      </c>
      <c r="N753" s="9" t="s">
        <v>47</v>
      </c>
      <c r="O753" s="9" t="s">
        <v>48</v>
      </c>
      <c r="P753" s="9">
        <v>10024</v>
      </c>
      <c r="Q753" s="9" t="s">
        <v>49</v>
      </c>
      <c r="R753" s="9" t="s">
        <v>3546</v>
      </c>
      <c r="S753" s="9" t="s">
        <v>66</v>
      </c>
      <c r="T753" s="9" t="s">
        <v>201</v>
      </c>
      <c r="U753" s="9" t="s">
        <v>3547</v>
      </c>
      <c r="V753" s="11">
        <v>21.6</v>
      </c>
      <c r="W753" s="9" t="str">
        <f t="shared" si="59"/>
        <v>Fast Delivery</v>
      </c>
    </row>
    <row r="754" spans="1:23" x14ac:dyDescent="0.25">
      <c r="A754" s="9">
        <v>2863</v>
      </c>
      <c r="B754" s="10" t="s">
        <v>3708</v>
      </c>
      <c r="C754" s="10">
        <v>43324</v>
      </c>
      <c r="D754" s="10">
        <v>43329</v>
      </c>
      <c r="E754" s="9">
        <f t="shared" si="56"/>
        <v>2018</v>
      </c>
      <c r="F754" s="10" t="str">
        <f t="shared" si="57"/>
        <v>Aug</v>
      </c>
      <c r="G754" s="9">
        <f t="shared" si="58"/>
        <v>8</v>
      </c>
      <c r="H754" s="9">
        <f t="shared" si="55"/>
        <v>5</v>
      </c>
      <c r="I754" s="9" t="s">
        <v>43</v>
      </c>
      <c r="J754" s="9" t="s">
        <v>3709</v>
      </c>
      <c r="K754" s="9" t="s">
        <v>3710</v>
      </c>
      <c r="L754" s="9" t="s">
        <v>22</v>
      </c>
      <c r="M754" s="9" t="s">
        <v>23</v>
      </c>
      <c r="N754" s="9" t="s">
        <v>3711</v>
      </c>
      <c r="O754" s="9" t="s">
        <v>130</v>
      </c>
      <c r="P754" s="9">
        <v>32839</v>
      </c>
      <c r="Q754" s="9" t="s">
        <v>110</v>
      </c>
      <c r="R754" s="9" t="s">
        <v>3712</v>
      </c>
      <c r="S754" s="9" t="s">
        <v>66</v>
      </c>
      <c r="T754" s="9" t="s">
        <v>201</v>
      </c>
      <c r="U754" s="9" t="s">
        <v>3713</v>
      </c>
      <c r="V754" s="11">
        <v>20.736000000000001</v>
      </c>
      <c r="W754" s="9" t="str">
        <f t="shared" si="59"/>
        <v>Slow Delivery</v>
      </c>
    </row>
    <row r="755" spans="1:23" x14ac:dyDescent="0.25">
      <c r="A755" s="9">
        <v>5235</v>
      </c>
      <c r="B755" s="10" t="s">
        <v>3948</v>
      </c>
      <c r="C755" s="10">
        <v>43334</v>
      </c>
      <c r="D755" s="10">
        <v>43335</v>
      </c>
      <c r="E755" s="9">
        <f t="shared" si="56"/>
        <v>2018</v>
      </c>
      <c r="F755" s="10" t="str">
        <f t="shared" si="57"/>
        <v>Aug</v>
      </c>
      <c r="G755" s="9">
        <f t="shared" si="58"/>
        <v>8</v>
      </c>
      <c r="H755" s="9">
        <f t="shared" si="55"/>
        <v>1</v>
      </c>
      <c r="I755" s="9" t="s">
        <v>19</v>
      </c>
      <c r="J755" s="9" t="s">
        <v>3949</v>
      </c>
      <c r="K755" s="9" t="s">
        <v>3950</v>
      </c>
      <c r="L755" s="9" t="s">
        <v>22</v>
      </c>
      <c r="M755" s="9" t="s">
        <v>23</v>
      </c>
      <c r="N755" s="9" t="s">
        <v>143</v>
      </c>
      <c r="O755" s="9" t="s">
        <v>80</v>
      </c>
      <c r="P755" s="9">
        <v>94110</v>
      </c>
      <c r="Q755" s="9" t="s">
        <v>37</v>
      </c>
      <c r="R755" s="9" t="s">
        <v>1820</v>
      </c>
      <c r="S755" s="9" t="s">
        <v>39</v>
      </c>
      <c r="T755" s="9" t="s">
        <v>480</v>
      </c>
      <c r="U755" s="9" t="s">
        <v>1821</v>
      </c>
      <c r="V755" s="11">
        <v>210.00800000000001</v>
      </c>
      <c r="W755" s="9" t="str">
        <f t="shared" si="59"/>
        <v>Fast Delivery</v>
      </c>
    </row>
    <row r="756" spans="1:23" x14ac:dyDescent="0.25">
      <c r="A756" s="9">
        <v>6641</v>
      </c>
      <c r="B756" s="10" t="s">
        <v>3532</v>
      </c>
      <c r="C756" s="10">
        <v>43317</v>
      </c>
      <c r="D756" s="10">
        <v>43321</v>
      </c>
      <c r="E756" s="9">
        <f t="shared" si="56"/>
        <v>2018</v>
      </c>
      <c r="F756" s="10" t="str">
        <f t="shared" si="57"/>
        <v>Aug</v>
      </c>
      <c r="G756" s="9">
        <f t="shared" si="58"/>
        <v>8</v>
      </c>
      <c r="H756" s="9">
        <f t="shared" si="55"/>
        <v>4</v>
      </c>
      <c r="I756" s="9" t="s">
        <v>43</v>
      </c>
      <c r="J756" s="9" t="s">
        <v>3533</v>
      </c>
      <c r="K756" s="9" t="s">
        <v>3534</v>
      </c>
      <c r="L756" s="9" t="s">
        <v>22</v>
      </c>
      <c r="M756" s="9" t="s">
        <v>23</v>
      </c>
      <c r="N756" s="9" t="s">
        <v>2033</v>
      </c>
      <c r="O756" s="9" t="s">
        <v>1825</v>
      </c>
      <c r="P756" s="9">
        <v>46203</v>
      </c>
      <c r="Q756" s="9" t="s">
        <v>26</v>
      </c>
      <c r="R756" s="9" t="s">
        <v>2990</v>
      </c>
      <c r="S756" s="9" t="s">
        <v>66</v>
      </c>
      <c r="T756" s="9" t="s">
        <v>103</v>
      </c>
      <c r="U756" s="9" t="s">
        <v>2991</v>
      </c>
      <c r="V756" s="11">
        <v>125.88</v>
      </c>
      <c r="W756" s="9" t="str">
        <f t="shared" si="59"/>
        <v>Slow Delivery</v>
      </c>
    </row>
    <row r="757" spans="1:23" x14ac:dyDescent="0.25">
      <c r="A757" s="9">
        <v>3567</v>
      </c>
      <c r="B757" s="10" t="s">
        <v>3604</v>
      </c>
      <c r="C757" s="10">
        <v>43350</v>
      </c>
      <c r="D757" s="10">
        <v>43357</v>
      </c>
      <c r="E757" s="9">
        <f t="shared" si="56"/>
        <v>2018</v>
      </c>
      <c r="F757" s="10" t="str">
        <f t="shared" si="57"/>
        <v>Sep</v>
      </c>
      <c r="G757" s="9">
        <f t="shared" si="58"/>
        <v>9</v>
      </c>
      <c r="H757" s="9">
        <f t="shared" si="55"/>
        <v>7</v>
      </c>
      <c r="I757" s="9" t="s">
        <v>43</v>
      </c>
      <c r="J757" s="9" t="s">
        <v>3605</v>
      </c>
      <c r="K757" s="9" t="s">
        <v>3606</v>
      </c>
      <c r="L757" s="9" t="s">
        <v>46</v>
      </c>
      <c r="M757" s="9" t="s">
        <v>23</v>
      </c>
      <c r="N757" s="9" t="s">
        <v>3607</v>
      </c>
      <c r="O757" s="9" t="s">
        <v>336</v>
      </c>
      <c r="P757" s="9">
        <v>64055</v>
      </c>
      <c r="Q757" s="9" t="s">
        <v>26</v>
      </c>
      <c r="R757" s="9" t="s">
        <v>1711</v>
      </c>
      <c r="S757" s="9" t="s">
        <v>66</v>
      </c>
      <c r="T757" s="9" t="s">
        <v>103</v>
      </c>
      <c r="U757" s="9" t="s">
        <v>1712</v>
      </c>
      <c r="V757" s="11">
        <v>1577.94</v>
      </c>
      <c r="W757" s="9" t="str">
        <f t="shared" si="59"/>
        <v>Slow Delivery</v>
      </c>
    </row>
    <row r="758" spans="1:23" x14ac:dyDescent="0.25">
      <c r="A758" s="9">
        <v>6256</v>
      </c>
      <c r="B758" s="10" t="s">
        <v>3647</v>
      </c>
      <c r="C758" s="10">
        <v>43352</v>
      </c>
      <c r="D758" s="10">
        <v>43358</v>
      </c>
      <c r="E758" s="9">
        <f t="shared" si="56"/>
        <v>2018</v>
      </c>
      <c r="F758" s="10" t="str">
        <f t="shared" si="57"/>
        <v>Sep</v>
      </c>
      <c r="G758" s="9">
        <f t="shared" si="58"/>
        <v>9</v>
      </c>
      <c r="H758" s="9">
        <f t="shared" si="55"/>
        <v>6</v>
      </c>
      <c r="I758" s="9" t="s">
        <v>43</v>
      </c>
      <c r="J758" s="9" t="s">
        <v>3648</v>
      </c>
      <c r="K758" s="9" t="s">
        <v>3649</v>
      </c>
      <c r="L758" s="9" t="s">
        <v>87</v>
      </c>
      <c r="M758" s="9" t="s">
        <v>23</v>
      </c>
      <c r="N758" s="9" t="s">
        <v>3650</v>
      </c>
      <c r="O758" s="9" t="s">
        <v>64</v>
      </c>
      <c r="P758" s="9">
        <v>75023</v>
      </c>
      <c r="Q758" s="9" t="s">
        <v>26</v>
      </c>
      <c r="R758" s="9" t="s">
        <v>3074</v>
      </c>
      <c r="S758" s="9" t="s">
        <v>66</v>
      </c>
      <c r="T758" s="9" t="s">
        <v>82</v>
      </c>
      <c r="U758" s="9" t="s">
        <v>3075</v>
      </c>
      <c r="V758" s="11">
        <v>9.8559999999999999</v>
      </c>
      <c r="W758" s="9" t="str">
        <f t="shared" si="59"/>
        <v>Slow Delivery</v>
      </c>
    </row>
    <row r="759" spans="1:23" x14ac:dyDescent="0.25">
      <c r="A759" s="9">
        <v>1959</v>
      </c>
      <c r="B759" s="10" t="s">
        <v>3681</v>
      </c>
      <c r="C759" s="10">
        <v>43353</v>
      </c>
      <c r="D759" s="10">
        <v>43358</v>
      </c>
      <c r="E759" s="9">
        <f t="shared" si="56"/>
        <v>2018</v>
      </c>
      <c r="F759" s="10" t="str">
        <f t="shared" si="57"/>
        <v>Sep</v>
      </c>
      <c r="G759" s="9">
        <f t="shared" si="58"/>
        <v>9</v>
      </c>
      <c r="H759" s="9">
        <f t="shared" si="55"/>
        <v>5</v>
      </c>
      <c r="I759" s="9" t="s">
        <v>32</v>
      </c>
      <c r="J759" s="9" t="s">
        <v>3682</v>
      </c>
      <c r="K759" s="9" t="s">
        <v>3683</v>
      </c>
      <c r="L759" s="9" t="s">
        <v>22</v>
      </c>
      <c r="M759" s="9" t="s">
        <v>23</v>
      </c>
      <c r="N759" s="9" t="s">
        <v>335</v>
      </c>
      <c r="O759" s="9" t="s">
        <v>336</v>
      </c>
      <c r="P759" s="9">
        <v>65807</v>
      </c>
      <c r="Q759" s="9" t="s">
        <v>26</v>
      </c>
      <c r="R759" s="9" t="s">
        <v>3684</v>
      </c>
      <c r="S759" s="9" t="s">
        <v>66</v>
      </c>
      <c r="T759" s="9" t="s">
        <v>103</v>
      </c>
      <c r="U759" s="9" t="s">
        <v>3685</v>
      </c>
      <c r="V759" s="11">
        <v>16.2</v>
      </c>
      <c r="W759" s="9" t="str">
        <f t="shared" si="59"/>
        <v>Slow Delivery</v>
      </c>
    </row>
    <row r="760" spans="1:23" x14ac:dyDescent="0.25">
      <c r="A760" s="9">
        <v>1510</v>
      </c>
      <c r="B760" s="10" t="s">
        <v>3714</v>
      </c>
      <c r="C760" s="10">
        <v>43355</v>
      </c>
      <c r="D760" s="10">
        <v>43358</v>
      </c>
      <c r="E760" s="9">
        <f t="shared" si="56"/>
        <v>2018</v>
      </c>
      <c r="F760" s="10" t="str">
        <f t="shared" si="57"/>
        <v>Sep</v>
      </c>
      <c r="G760" s="9">
        <f t="shared" si="58"/>
        <v>9</v>
      </c>
      <c r="H760" s="9">
        <f t="shared" si="55"/>
        <v>3</v>
      </c>
      <c r="I760" s="9" t="s">
        <v>19</v>
      </c>
      <c r="J760" s="9" t="s">
        <v>3715</v>
      </c>
      <c r="K760" s="9" t="s">
        <v>3716</v>
      </c>
      <c r="L760" s="9" t="s">
        <v>22</v>
      </c>
      <c r="M760" s="9" t="s">
        <v>23</v>
      </c>
      <c r="N760" s="9" t="s">
        <v>213</v>
      </c>
      <c r="O760" s="9" t="s">
        <v>80</v>
      </c>
      <c r="P760" s="9">
        <v>90036</v>
      </c>
      <c r="Q760" s="9" t="s">
        <v>37</v>
      </c>
      <c r="R760" s="9" t="s">
        <v>1717</v>
      </c>
      <c r="S760" s="9" t="s">
        <v>39</v>
      </c>
      <c r="T760" s="9" t="s">
        <v>112</v>
      </c>
      <c r="U760" s="9" t="s">
        <v>1718</v>
      </c>
      <c r="V760" s="11">
        <v>8.36</v>
      </c>
      <c r="W760" s="9" t="str">
        <f t="shared" si="59"/>
        <v>Fast Delivery</v>
      </c>
    </row>
    <row r="761" spans="1:23" x14ac:dyDescent="0.25">
      <c r="A761" s="9">
        <v>6756</v>
      </c>
      <c r="B761" s="10" t="s">
        <v>3810</v>
      </c>
      <c r="C761" s="10">
        <v>43358</v>
      </c>
      <c r="D761" s="10">
        <v>43362</v>
      </c>
      <c r="E761" s="9">
        <f t="shared" si="56"/>
        <v>2018</v>
      </c>
      <c r="F761" s="10" t="str">
        <f t="shared" si="57"/>
        <v>Sep</v>
      </c>
      <c r="G761" s="9">
        <f t="shared" si="58"/>
        <v>9</v>
      </c>
      <c r="H761" s="9">
        <f t="shared" si="55"/>
        <v>4</v>
      </c>
      <c r="I761" s="9" t="s">
        <v>43</v>
      </c>
      <c r="J761" s="9" t="s">
        <v>3811</v>
      </c>
      <c r="K761" s="9" t="s">
        <v>3812</v>
      </c>
      <c r="L761" s="9" t="s">
        <v>87</v>
      </c>
      <c r="M761" s="9" t="s">
        <v>23</v>
      </c>
      <c r="N761" s="9" t="s">
        <v>100</v>
      </c>
      <c r="O761" s="9" t="s">
        <v>101</v>
      </c>
      <c r="P761" s="9">
        <v>8701</v>
      </c>
      <c r="Q761" s="9" t="s">
        <v>49</v>
      </c>
      <c r="R761" s="9" t="s">
        <v>2081</v>
      </c>
      <c r="S761" s="9" t="s">
        <v>39</v>
      </c>
      <c r="T761" s="9" t="s">
        <v>112</v>
      </c>
      <c r="U761" s="9" t="s">
        <v>2082</v>
      </c>
      <c r="V761" s="11">
        <v>47.4</v>
      </c>
      <c r="W761" s="9" t="str">
        <f t="shared" si="59"/>
        <v>Slow Delivery</v>
      </c>
    </row>
    <row r="762" spans="1:23" x14ac:dyDescent="0.25">
      <c r="A762" s="9">
        <v>5401</v>
      </c>
      <c r="B762" s="10" t="s">
        <v>3933</v>
      </c>
      <c r="C762" s="10">
        <v>43364</v>
      </c>
      <c r="D762" s="10">
        <v>43366</v>
      </c>
      <c r="E762" s="9">
        <f t="shared" si="56"/>
        <v>2018</v>
      </c>
      <c r="F762" s="10" t="str">
        <f t="shared" si="57"/>
        <v>Sep</v>
      </c>
      <c r="G762" s="9">
        <f t="shared" si="58"/>
        <v>9</v>
      </c>
      <c r="H762" s="9">
        <f t="shared" si="55"/>
        <v>2</v>
      </c>
      <c r="I762" s="9" t="s">
        <v>19</v>
      </c>
      <c r="J762" s="9" t="s">
        <v>3934</v>
      </c>
      <c r="K762" s="9" t="s">
        <v>3935</v>
      </c>
      <c r="L762" s="9" t="s">
        <v>22</v>
      </c>
      <c r="M762" s="9" t="s">
        <v>23</v>
      </c>
      <c r="N762" s="9" t="s">
        <v>35</v>
      </c>
      <c r="O762" s="9" t="s">
        <v>36</v>
      </c>
      <c r="P762" s="9">
        <v>98103</v>
      </c>
      <c r="Q762" s="9" t="s">
        <v>37</v>
      </c>
      <c r="R762" s="9" t="s">
        <v>3936</v>
      </c>
      <c r="S762" s="9" t="s">
        <v>28</v>
      </c>
      <c r="T762" s="9" t="s">
        <v>29</v>
      </c>
      <c r="U762" s="9" t="s">
        <v>3937</v>
      </c>
      <c r="V762" s="11">
        <v>71.98</v>
      </c>
      <c r="W762" s="9" t="str">
        <f t="shared" si="59"/>
        <v>Fast Delivery</v>
      </c>
    </row>
    <row r="763" spans="1:23" x14ac:dyDescent="0.25">
      <c r="A763" s="9">
        <v>7815</v>
      </c>
      <c r="B763" s="10" t="s">
        <v>3614</v>
      </c>
      <c r="C763" s="10">
        <v>43259</v>
      </c>
      <c r="D763" s="10">
        <v>43261</v>
      </c>
      <c r="E763" s="9">
        <f t="shared" si="56"/>
        <v>2018</v>
      </c>
      <c r="F763" s="10" t="str">
        <f t="shared" si="57"/>
        <v>Jun</v>
      </c>
      <c r="G763" s="9">
        <f t="shared" si="58"/>
        <v>6</v>
      </c>
      <c r="H763" s="9">
        <f t="shared" si="55"/>
        <v>2</v>
      </c>
      <c r="I763" s="9" t="s">
        <v>19</v>
      </c>
      <c r="J763" s="9" t="s">
        <v>3615</v>
      </c>
      <c r="K763" s="9" t="s">
        <v>3616</v>
      </c>
      <c r="L763" s="9" t="s">
        <v>46</v>
      </c>
      <c r="M763" s="9" t="s">
        <v>23</v>
      </c>
      <c r="N763" s="9" t="s">
        <v>213</v>
      </c>
      <c r="O763" s="9" t="s">
        <v>80</v>
      </c>
      <c r="P763" s="9">
        <v>90049</v>
      </c>
      <c r="Q763" s="9" t="s">
        <v>37</v>
      </c>
      <c r="R763" s="9" t="s">
        <v>3617</v>
      </c>
      <c r="S763" s="9" t="s">
        <v>39</v>
      </c>
      <c r="T763" s="9" t="s">
        <v>1218</v>
      </c>
      <c r="U763" s="9" t="s">
        <v>3618</v>
      </c>
      <c r="V763" s="11">
        <v>1497.6659999999999</v>
      </c>
      <c r="W763" s="9" t="str">
        <f t="shared" si="59"/>
        <v>Fast Delivery</v>
      </c>
    </row>
    <row r="764" spans="1:23" x14ac:dyDescent="0.25">
      <c r="A764" s="9">
        <v>4230</v>
      </c>
      <c r="B764" s="10" t="s">
        <v>3527</v>
      </c>
      <c r="C764" s="10">
        <v>43286</v>
      </c>
      <c r="D764" s="10">
        <v>43291</v>
      </c>
      <c r="E764" s="9">
        <f t="shared" si="56"/>
        <v>2018</v>
      </c>
      <c r="F764" s="10" t="str">
        <f t="shared" si="57"/>
        <v>Jul</v>
      </c>
      <c r="G764" s="9">
        <f t="shared" si="58"/>
        <v>7</v>
      </c>
      <c r="H764" s="9">
        <f t="shared" si="55"/>
        <v>5</v>
      </c>
      <c r="I764" s="9" t="s">
        <v>43</v>
      </c>
      <c r="J764" s="9" t="s">
        <v>3528</v>
      </c>
      <c r="K764" s="9" t="s">
        <v>3529</v>
      </c>
      <c r="L764" s="9" t="s">
        <v>87</v>
      </c>
      <c r="M764" s="9" t="s">
        <v>23</v>
      </c>
      <c r="N764" s="9" t="s">
        <v>556</v>
      </c>
      <c r="O764" s="9" t="s">
        <v>64</v>
      </c>
      <c r="P764" s="9">
        <v>75220</v>
      </c>
      <c r="Q764" s="9" t="s">
        <v>26</v>
      </c>
      <c r="R764" s="9" t="s">
        <v>3530</v>
      </c>
      <c r="S764" s="9" t="s">
        <v>39</v>
      </c>
      <c r="T764" s="9" t="s">
        <v>112</v>
      </c>
      <c r="U764" s="9" t="s">
        <v>3531</v>
      </c>
      <c r="V764" s="11">
        <v>332.02800000000002</v>
      </c>
      <c r="W764" s="9" t="str">
        <f t="shared" si="59"/>
        <v>Slow Delivery</v>
      </c>
    </row>
    <row r="765" spans="1:23" x14ac:dyDescent="0.25">
      <c r="A765" s="9">
        <v>9467</v>
      </c>
      <c r="B765" s="10" t="s">
        <v>3535</v>
      </c>
      <c r="C765" s="10">
        <v>43409</v>
      </c>
      <c r="D765" s="10">
        <v>43414</v>
      </c>
      <c r="E765" s="9">
        <f t="shared" si="56"/>
        <v>2018</v>
      </c>
      <c r="F765" s="10" t="str">
        <f t="shared" si="57"/>
        <v>Nov</v>
      </c>
      <c r="G765" s="9">
        <f t="shared" si="58"/>
        <v>11</v>
      </c>
      <c r="H765" s="9">
        <f t="shared" si="55"/>
        <v>5</v>
      </c>
      <c r="I765" s="9" t="s">
        <v>32</v>
      </c>
      <c r="J765" s="9" t="s">
        <v>3536</v>
      </c>
      <c r="K765" s="9" t="s">
        <v>3537</v>
      </c>
      <c r="L765" s="9" t="s">
        <v>22</v>
      </c>
      <c r="M765" s="9" t="s">
        <v>23</v>
      </c>
      <c r="N765" s="9" t="s">
        <v>47</v>
      </c>
      <c r="O765" s="9" t="s">
        <v>48</v>
      </c>
      <c r="P765" s="9">
        <v>10024</v>
      </c>
      <c r="Q765" s="9" t="s">
        <v>49</v>
      </c>
      <c r="R765" s="9" t="s">
        <v>3538</v>
      </c>
      <c r="S765" s="9" t="s">
        <v>66</v>
      </c>
      <c r="T765" s="9" t="s">
        <v>103</v>
      </c>
      <c r="U765" s="9" t="s">
        <v>3539</v>
      </c>
      <c r="V765" s="11">
        <v>164.68799999999999</v>
      </c>
      <c r="W765" s="9" t="str">
        <f t="shared" si="59"/>
        <v>Slow Delivery</v>
      </c>
    </row>
    <row r="766" spans="1:23" x14ac:dyDescent="0.25">
      <c r="A766" s="9">
        <v>419</v>
      </c>
      <c r="B766" s="10" t="s">
        <v>3575</v>
      </c>
      <c r="C766" s="10">
        <v>43410</v>
      </c>
      <c r="D766" s="10">
        <v>43414</v>
      </c>
      <c r="E766" s="9">
        <f t="shared" si="56"/>
        <v>2018</v>
      </c>
      <c r="F766" s="10" t="str">
        <f t="shared" si="57"/>
        <v>Nov</v>
      </c>
      <c r="G766" s="9">
        <f t="shared" si="58"/>
        <v>11</v>
      </c>
      <c r="H766" s="9">
        <f t="shared" si="55"/>
        <v>4</v>
      </c>
      <c r="I766" s="9" t="s">
        <v>43</v>
      </c>
      <c r="J766" s="9" t="s">
        <v>3576</v>
      </c>
      <c r="K766" s="9" t="s">
        <v>3577</v>
      </c>
      <c r="L766" s="9" t="s">
        <v>87</v>
      </c>
      <c r="M766" s="9" t="s">
        <v>23</v>
      </c>
      <c r="N766" s="9" t="s">
        <v>206</v>
      </c>
      <c r="O766" s="9" t="s">
        <v>207</v>
      </c>
      <c r="P766" s="9">
        <v>40475</v>
      </c>
      <c r="Q766" s="9" t="s">
        <v>110</v>
      </c>
      <c r="R766" s="9" t="s">
        <v>3578</v>
      </c>
      <c r="S766" s="9" t="s">
        <v>66</v>
      </c>
      <c r="T766" s="9" t="s">
        <v>201</v>
      </c>
      <c r="U766" s="9" t="s">
        <v>3579</v>
      </c>
      <c r="V766" s="11">
        <v>5.78</v>
      </c>
      <c r="W766" s="9" t="str">
        <f t="shared" si="59"/>
        <v>Slow Delivery</v>
      </c>
    </row>
    <row r="767" spans="1:23" x14ac:dyDescent="0.25">
      <c r="A767" s="9">
        <v>7099</v>
      </c>
      <c r="B767" s="10" t="s">
        <v>3585</v>
      </c>
      <c r="C767" s="10">
        <v>43410</v>
      </c>
      <c r="D767" s="10">
        <v>43414</v>
      </c>
      <c r="E767" s="9">
        <f t="shared" si="56"/>
        <v>2018</v>
      </c>
      <c r="F767" s="10" t="str">
        <f t="shared" si="57"/>
        <v>Nov</v>
      </c>
      <c r="G767" s="9">
        <f t="shared" si="58"/>
        <v>11</v>
      </c>
      <c r="H767" s="9">
        <f t="shared" si="55"/>
        <v>4</v>
      </c>
      <c r="I767" s="9" t="s">
        <v>43</v>
      </c>
      <c r="J767" s="9" t="s">
        <v>3586</v>
      </c>
      <c r="K767" s="9" t="s">
        <v>3587</v>
      </c>
      <c r="L767" s="9" t="s">
        <v>22</v>
      </c>
      <c r="M767" s="9" t="s">
        <v>23</v>
      </c>
      <c r="N767" s="9" t="s">
        <v>47</v>
      </c>
      <c r="O767" s="9" t="s">
        <v>48</v>
      </c>
      <c r="P767" s="9">
        <v>10011</v>
      </c>
      <c r="Q767" s="9" t="s">
        <v>49</v>
      </c>
      <c r="R767" s="9" t="s">
        <v>3588</v>
      </c>
      <c r="S767" s="9" t="s">
        <v>66</v>
      </c>
      <c r="T767" s="9" t="s">
        <v>201</v>
      </c>
      <c r="U767" s="9" t="s">
        <v>3589</v>
      </c>
      <c r="V767" s="11">
        <v>318.95999999999998</v>
      </c>
      <c r="W767" s="9" t="str">
        <f t="shared" si="59"/>
        <v>Slow Delivery</v>
      </c>
    </row>
    <row r="768" spans="1:23" x14ac:dyDescent="0.25">
      <c r="A768" s="9">
        <v>6962</v>
      </c>
      <c r="B768" s="10" t="s">
        <v>3689</v>
      </c>
      <c r="C768" s="10">
        <v>43414</v>
      </c>
      <c r="D768" s="10">
        <v>43414</v>
      </c>
      <c r="E768" s="9">
        <f t="shared" si="56"/>
        <v>2018</v>
      </c>
      <c r="F768" s="10" t="str">
        <f t="shared" si="57"/>
        <v>Nov</v>
      </c>
      <c r="G768" s="9">
        <f t="shared" si="58"/>
        <v>11</v>
      </c>
      <c r="H768" s="9">
        <f t="shared" si="55"/>
        <v>0</v>
      </c>
      <c r="I768" s="9" t="s">
        <v>302</v>
      </c>
      <c r="J768" s="9" t="s">
        <v>3690</v>
      </c>
      <c r="K768" s="9" t="s">
        <v>3691</v>
      </c>
      <c r="L768" s="9" t="s">
        <v>46</v>
      </c>
      <c r="M768" s="9" t="s">
        <v>23</v>
      </c>
      <c r="N768" s="9" t="s">
        <v>2358</v>
      </c>
      <c r="O768" s="9" t="s">
        <v>80</v>
      </c>
      <c r="P768" s="9">
        <v>92503</v>
      </c>
      <c r="Q768" s="9" t="s">
        <v>37</v>
      </c>
      <c r="R768" s="9" t="s">
        <v>3692</v>
      </c>
      <c r="S768" s="9" t="s">
        <v>66</v>
      </c>
      <c r="T768" s="9" t="s">
        <v>158</v>
      </c>
      <c r="U768" s="9" t="s">
        <v>3693</v>
      </c>
      <c r="V768" s="11">
        <v>7.8</v>
      </c>
      <c r="W768" s="9" t="str">
        <f t="shared" si="59"/>
        <v>Fast Delivery</v>
      </c>
    </row>
    <row r="769" spans="1:23" x14ac:dyDescent="0.25">
      <c r="A769" s="9">
        <v>2762</v>
      </c>
      <c r="B769" s="10" t="s">
        <v>3717</v>
      </c>
      <c r="C769" s="10">
        <v>43385</v>
      </c>
      <c r="D769" s="10">
        <v>43387</v>
      </c>
      <c r="E769" s="9">
        <f t="shared" si="56"/>
        <v>2018</v>
      </c>
      <c r="F769" s="10" t="str">
        <f t="shared" si="57"/>
        <v>Oct</v>
      </c>
      <c r="G769" s="9">
        <f t="shared" si="58"/>
        <v>10</v>
      </c>
      <c r="H769" s="9">
        <f t="shared" si="55"/>
        <v>2</v>
      </c>
      <c r="I769" s="9" t="s">
        <v>19</v>
      </c>
      <c r="J769" s="9" t="s">
        <v>3718</v>
      </c>
      <c r="K769" s="9" t="s">
        <v>3719</v>
      </c>
      <c r="L769" s="9" t="s">
        <v>46</v>
      </c>
      <c r="M769" s="9" t="s">
        <v>23</v>
      </c>
      <c r="N769" s="9" t="s">
        <v>143</v>
      </c>
      <c r="O769" s="9" t="s">
        <v>80</v>
      </c>
      <c r="P769" s="9">
        <v>94110</v>
      </c>
      <c r="Q769" s="9" t="s">
        <v>37</v>
      </c>
      <c r="R769" s="9" t="s">
        <v>3720</v>
      </c>
      <c r="S769" s="9" t="s">
        <v>28</v>
      </c>
      <c r="T769" s="9" t="s">
        <v>29</v>
      </c>
      <c r="U769" s="9" t="s">
        <v>3721</v>
      </c>
      <c r="V769" s="11">
        <v>0.99</v>
      </c>
      <c r="W769" s="9" t="str">
        <f t="shared" si="59"/>
        <v>Fast Delivery</v>
      </c>
    </row>
    <row r="770" spans="1:23" x14ac:dyDescent="0.25">
      <c r="A770" s="9">
        <v>888</v>
      </c>
      <c r="B770" s="10" t="s">
        <v>3778</v>
      </c>
      <c r="C770" s="10">
        <v>43387</v>
      </c>
      <c r="D770" s="10">
        <v>43392</v>
      </c>
      <c r="E770" s="9">
        <f t="shared" si="56"/>
        <v>2018</v>
      </c>
      <c r="F770" s="10" t="str">
        <f t="shared" si="57"/>
        <v>Oct</v>
      </c>
      <c r="G770" s="9">
        <f t="shared" si="58"/>
        <v>10</v>
      </c>
      <c r="H770" s="9">
        <f t="shared" ref="H770:H794" si="60">D770-C770</f>
        <v>5</v>
      </c>
      <c r="I770" s="9" t="s">
        <v>43</v>
      </c>
      <c r="J770" s="9" t="s">
        <v>3779</v>
      </c>
      <c r="K770" s="9" t="s">
        <v>3780</v>
      </c>
      <c r="L770" s="9" t="s">
        <v>46</v>
      </c>
      <c r="M770" s="9" t="s">
        <v>23</v>
      </c>
      <c r="N770" s="9" t="s">
        <v>1003</v>
      </c>
      <c r="O770" s="9" t="s">
        <v>441</v>
      </c>
      <c r="P770" s="9">
        <v>21044</v>
      </c>
      <c r="Q770" s="9" t="s">
        <v>49</v>
      </c>
      <c r="R770" s="9" t="s">
        <v>1088</v>
      </c>
      <c r="S770" s="9" t="s">
        <v>66</v>
      </c>
      <c r="T770" s="9" t="s">
        <v>103</v>
      </c>
      <c r="U770" s="9" t="s">
        <v>1089</v>
      </c>
      <c r="V770" s="11">
        <v>37.659999999999997</v>
      </c>
      <c r="W770" s="9" t="str">
        <f t="shared" si="59"/>
        <v>Slow Delivery</v>
      </c>
    </row>
    <row r="771" spans="1:23" x14ac:dyDescent="0.25">
      <c r="A771" s="9">
        <v>3057</v>
      </c>
      <c r="B771" s="10" t="s">
        <v>3904</v>
      </c>
      <c r="C771" s="10">
        <v>43392</v>
      </c>
      <c r="D771" s="10">
        <v>43397</v>
      </c>
      <c r="E771" s="9">
        <f t="shared" ref="E771:E794" si="61">YEAR(C771)</f>
        <v>2018</v>
      </c>
      <c r="F771" s="10" t="str">
        <f t="shared" ref="F771:F794" si="62">TEXT(C771,"mmm")</f>
        <v>Oct</v>
      </c>
      <c r="G771" s="9">
        <f t="shared" ref="G771:G794" si="63">MONTH(C771)</f>
        <v>10</v>
      </c>
      <c r="H771" s="9">
        <f t="shared" si="60"/>
        <v>5</v>
      </c>
      <c r="I771" s="9" t="s">
        <v>32</v>
      </c>
      <c r="J771" s="9" t="s">
        <v>3905</v>
      </c>
      <c r="K771" s="9" t="s">
        <v>3906</v>
      </c>
      <c r="L771" s="9" t="s">
        <v>87</v>
      </c>
      <c r="M771" s="9" t="s">
        <v>23</v>
      </c>
      <c r="N771" s="9" t="s">
        <v>143</v>
      </c>
      <c r="O771" s="9" t="s">
        <v>80</v>
      </c>
      <c r="P771" s="9">
        <v>94110</v>
      </c>
      <c r="Q771" s="9" t="s">
        <v>37</v>
      </c>
      <c r="R771" s="9" t="s">
        <v>3907</v>
      </c>
      <c r="S771" s="9" t="s">
        <v>66</v>
      </c>
      <c r="T771" s="9" t="s">
        <v>280</v>
      </c>
      <c r="U771" s="9" t="s">
        <v>3908</v>
      </c>
      <c r="V771" s="11">
        <v>8.9600000000000009</v>
      </c>
      <c r="W771" s="9" t="str">
        <f t="shared" ref="W771:W794" si="64">IF(H771&lt;=3,"Fast Delivery","Slow Delivery")</f>
        <v>Slow Delivery</v>
      </c>
    </row>
    <row r="772" spans="1:23" x14ac:dyDescent="0.25">
      <c r="A772" s="9">
        <v>527</v>
      </c>
      <c r="B772" s="10" t="s">
        <v>3938</v>
      </c>
      <c r="C772" s="10">
        <v>43394</v>
      </c>
      <c r="D772" s="10">
        <v>43399</v>
      </c>
      <c r="E772" s="9">
        <f t="shared" si="61"/>
        <v>2018</v>
      </c>
      <c r="F772" s="10" t="str">
        <f t="shared" si="62"/>
        <v>Oct</v>
      </c>
      <c r="G772" s="9">
        <f t="shared" si="63"/>
        <v>10</v>
      </c>
      <c r="H772" s="9">
        <f t="shared" si="60"/>
        <v>5</v>
      </c>
      <c r="I772" s="9" t="s">
        <v>43</v>
      </c>
      <c r="J772" s="9" t="s">
        <v>3939</v>
      </c>
      <c r="K772" s="9" t="s">
        <v>3940</v>
      </c>
      <c r="L772" s="9" t="s">
        <v>46</v>
      </c>
      <c r="M772" s="9" t="s">
        <v>23</v>
      </c>
      <c r="N772" s="9" t="s">
        <v>310</v>
      </c>
      <c r="O772" s="9" t="s">
        <v>130</v>
      </c>
      <c r="P772" s="9">
        <v>33801</v>
      </c>
      <c r="Q772" s="9" t="s">
        <v>110</v>
      </c>
      <c r="R772" s="9" t="s">
        <v>3941</v>
      </c>
      <c r="S772" s="9" t="s">
        <v>39</v>
      </c>
      <c r="T772" s="9" t="s">
        <v>40</v>
      </c>
      <c r="U772" s="9" t="s">
        <v>3942</v>
      </c>
      <c r="V772" s="11">
        <v>683.952</v>
      </c>
      <c r="W772" s="9" t="str">
        <f t="shared" si="64"/>
        <v>Slow Delivery</v>
      </c>
    </row>
    <row r="773" spans="1:23" x14ac:dyDescent="0.25">
      <c r="A773" s="9">
        <v>1261</v>
      </c>
      <c r="B773" s="10" t="s">
        <v>3962</v>
      </c>
      <c r="C773" s="10">
        <v>43396</v>
      </c>
      <c r="D773" s="10">
        <v>43400</v>
      </c>
      <c r="E773" s="9">
        <f t="shared" si="61"/>
        <v>2018</v>
      </c>
      <c r="F773" s="10" t="str">
        <f t="shared" si="62"/>
        <v>Oct</v>
      </c>
      <c r="G773" s="9">
        <f t="shared" si="63"/>
        <v>10</v>
      </c>
      <c r="H773" s="9">
        <f t="shared" si="60"/>
        <v>4</v>
      </c>
      <c r="I773" s="9" t="s">
        <v>43</v>
      </c>
      <c r="J773" s="9" t="s">
        <v>3963</v>
      </c>
      <c r="K773" s="9" t="s">
        <v>3964</v>
      </c>
      <c r="L773" s="9" t="s">
        <v>22</v>
      </c>
      <c r="M773" s="9" t="s">
        <v>23</v>
      </c>
      <c r="N773" s="9" t="s">
        <v>243</v>
      </c>
      <c r="O773" s="9" t="s">
        <v>130</v>
      </c>
      <c r="P773" s="9">
        <v>32216</v>
      </c>
      <c r="Q773" s="9" t="s">
        <v>110</v>
      </c>
      <c r="R773" s="9" t="s">
        <v>131</v>
      </c>
      <c r="S773" s="9" t="s">
        <v>28</v>
      </c>
      <c r="T773" s="9" t="s">
        <v>51</v>
      </c>
      <c r="U773" s="9" t="s">
        <v>132</v>
      </c>
      <c r="V773" s="11">
        <v>863.88</v>
      </c>
      <c r="W773" s="9" t="str">
        <f t="shared" si="64"/>
        <v>Slow Delivery</v>
      </c>
    </row>
    <row r="774" spans="1:23" x14ac:dyDescent="0.25">
      <c r="A774" s="9">
        <v>3735</v>
      </c>
      <c r="B774" s="10" t="s">
        <v>3548</v>
      </c>
      <c r="C774" s="10">
        <v>43165</v>
      </c>
      <c r="D774" s="10">
        <v>43170</v>
      </c>
      <c r="E774" s="9">
        <f t="shared" si="61"/>
        <v>2018</v>
      </c>
      <c r="F774" s="10" t="str">
        <f t="shared" si="62"/>
        <v>Mar</v>
      </c>
      <c r="G774" s="9">
        <f t="shared" si="63"/>
        <v>3</v>
      </c>
      <c r="H774" s="9">
        <f t="shared" si="60"/>
        <v>5</v>
      </c>
      <c r="I774" s="9" t="s">
        <v>32</v>
      </c>
      <c r="J774" s="9" t="s">
        <v>3549</v>
      </c>
      <c r="K774" s="9" t="s">
        <v>3550</v>
      </c>
      <c r="L774" s="9" t="s">
        <v>22</v>
      </c>
      <c r="M774" s="9" t="s">
        <v>23</v>
      </c>
      <c r="N774" s="9" t="s">
        <v>47</v>
      </c>
      <c r="O774" s="9" t="s">
        <v>48</v>
      </c>
      <c r="P774" s="9">
        <v>10011</v>
      </c>
      <c r="Q774" s="9" t="s">
        <v>49</v>
      </c>
      <c r="R774" s="9" t="s">
        <v>3551</v>
      </c>
      <c r="S774" s="9" t="s">
        <v>66</v>
      </c>
      <c r="T774" s="9" t="s">
        <v>201</v>
      </c>
      <c r="U774" s="9" t="s">
        <v>3552</v>
      </c>
      <c r="V774" s="11">
        <v>26.38</v>
      </c>
      <c r="W774" s="9" t="str">
        <f t="shared" si="64"/>
        <v>Slow Delivery</v>
      </c>
    </row>
    <row r="775" spans="1:23" x14ac:dyDescent="0.25">
      <c r="A775" s="9">
        <v>965</v>
      </c>
      <c r="B775" s="10" t="s">
        <v>3637</v>
      </c>
      <c r="C775" s="10">
        <v>43199</v>
      </c>
      <c r="D775" s="10">
        <v>43201</v>
      </c>
      <c r="E775" s="9">
        <f t="shared" si="61"/>
        <v>2018</v>
      </c>
      <c r="F775" s="10" t="str">
        <f t="shared" si="62"/>
        <v>Apr</v>
      </c>
      <c r="G775" s="9">
        <f t="shared" si="63"/>
        <v>4</v>
      </c>
      <c r="H775" s="9">
        <f t="shared" si="60"/>
        <v>2</v>
      </c>
      <c r="I775" s="9" t="s">
        <v>19</v>
      </c>
      <c r="J775" s="9" t="s">
        <v>3638</v>
      </c>
      <c r="K775" s="9" t="s">
        <v>3639</v>
      </c>
      <c r="L775" s="9" t="s">
        <v>46</v>
      </c>
      <c r="M775" s="9" t="s">
        <v>23</v>
      </c>
      <c r="N775" s="9" t="s">
        <v>47</v>
      </c>
      <c r="O775" s="9" t="s">
        <v>48</v>
      </c>
      <c r="P775" s="9">
        <v>10011</v>
      </c>
      <c r="Q775" s="9" t="s">
        <v>49</v>
      </c>
      <c r="R775" s="9" t="s">
        <v>3640</v>
      </c>
      <c r="S775" s="9" t="s">
        <v>66</v>
      </c>
      <c r="T775" s="9" t="s">
        <v>82</v>
      </c>
      <c r="U775" s="9" t="s">
        <v>3641</v>
      </c>
      <c r="V775" s="11">
        <v>9.82</v>
      </c>
      <c r="W775" s="9" t="str">
        <f t="shared" si="64"/>
        <v>Fast Delivery</v>
      </c>
    </row>
    <row r="776" spans="1:23" x14ac:dyDescent="0.25">
      <c r="A776" s="9">
        <v>5530</v>
      </c>
      <c r="B776" s="10" t="s">
        <v>3556</v>
      </c>
      <c r="C776" s="10">
        <v>43318</v>
      </c>
      <c r="D776" s="10">
        <v>43323</v>
      </c>
      <c r="E776" s="9">
        <f t="shared" si="61"/>
        <v>2018</v>
      </c>
      <c r="F776" s="10" t="str">
        <f t="shared" si="62"/>
        <v>Aug</v>
      </c>
      <c r="G776" s="9">
        <f t="shared" si="63"/>
        <v>8</v>
      </c>
      <c r="H776" s="9">
        <f t="shared" si="60"/>
        <v>5</v>
      </c>
      <c r="I776" s="9" t="s">
        <v>43</v>
      </c>
      <c r="J776" s="9" t="s">
        <v>3557</v>
      </c>
      <c r="K776" s="9" t="s">
        <v>3558</v>
      </c>
      <c r="L776" s="9" t="s">
        <v>87</v>
      </c>
      <c r="M776" s="9" t="s">
        <v>23</v>
      </c>
      <c r="N776" s="9" t="s">
        <v>3559</v>
      </c>
      <c r="O776" s="9" t="s">
        <v>64</v>
      </c>
      <c r="P776" s="9">
        <v>75104</v>
      </c>
      <c r="Q776" s="9" t="s">
        <v>26</v>
      </c>
      <c r="R776" s="9" t="s">
        <v>3560</v>
      </c>
      <c r="S776" s="9" t="s">
        <v>66</v>
      </c>
      <c r="T776" s="9" t="s">
        <v>201</v>
      </c>
      <c r="U776" s="9" t="s">
        <v>3561</v>
      </c>
      <c r="V776" s="11">
        <v>115.29600000000001</v>
      </c>
      <c r="W776" s="9" t="str">
        <f t="shared" si="64"/>
        <v>Slow Delivery</v>
      </c>
    </row>
    <row r="777" spans="1:23" x14ac:dyDescent="0.25">
      <c r="A777" s="9">
        <v>5653</v>
      </c>
      <c r="B777" s="10" t="s">
        <v>3567</v>
      </c>
      <c r="C777" s="10">
        <v>43379</v>
      </c>
      <c r="D777" s="10">
        <v>43384</v>
      </c>
      <c r="E777" s="9">
        <f t="shared" si="61"/>
        <v>2018</v>
      </c>
      <c r="F777" s="10" t="str">
        <f t="shared" si="62"/>
        <v>Oct</v>
      </c>
      <c r="G777" s="9">
        <f t="shared" si="63"/>
        <v>10</v>
      </c>
      <c r="H777" s="9">
        <f t="shared" si="60"/>
        <v>5</v>
      </c>
      <c r="I777" s="9" t="s">
        <v>43</v>
      </c>
      <c r="J777" s="9" t="s">
        <v>3568</v>
      </c>
      <c r="K777" s="9" t="s">
        <v>3569</v>
      </c>
      <c r="L777" s="9" t="s">
        <v>87</v>
      </c>
      <c r="M777" s="9" t="s">
        <v>23</v>
      </c>
      <c r="N777" s="9" t="s">
        <v>47</v>
      </c>
      <c r="O777" s="9" t="s">
        <v>48</v>
      </c>
      <c r="P777" s="9">
        <v>10009</v>
      </c>
      <c r="Q777" s="9" t="s">
        <v>49</v>
      </c>
      <c r="R777" s="9" t="s">
        <v>908</v>
      </c>
      <c r="S777" s="9" t="s">
        <v>66</v>
      </c>
      <c r="T777" s="9" t="s">
        <v>201</v>
      </c>
      <c r="U777" s="9" t="s">
        <v>909</v>
      </c>
      <c r="V777" s="11">
        <v>40.99</v>
      </c>
      <c r="W777" s="9" t="str">
        <f t="shared" si="64"/>
        <v>Slow Delivery</v>
      </c>
    </row>
    <row r="778" spans="1:23" x14ac:dyDescent="0.25">
      <c r="A778" s="9">
        <v>3675</v>
      </c>
      <c r="B778" s="10" t="s">
        <v>3580</v>
      </c>
      <c r="C778" s="10">
        <v>43410</v>
      </c>
      <c r="D778" s="10">
        <v>43415</v>
      </c>
      <c r="E778" s="9">
        <f t="shared" si="61"/>
        <v>2018</v>
      </c>
      <c r="F778" s="10" t="str">
        <f t="shared" si="62"/>
        <v>Nov</v>
      </c>
      <c r="G778" s="9">
        <f t="shared" si="63"/>
        <v>11</v>
      </c>
      <c r="H778" s="9">
        <f t="shared" si="60"/>
        <v>5</v>
      </c>
      <c r="I778" s="9" t="s">
        <v>43</v>
      </c>
      <c r="J778" s="9" t="s">
        <v>3581</v>
      </c>
      <c r="K778" s="9" t="s">
        <v>3582</v>
      </c>
      <c r="L778" s="9" t="s">
        <v>22</v>
      </c>
      <c r="M778" s="9" t="s">
        <v>23</v>
      </c>
      <c r="N778" s="9" t="s">
        <v>149</v>
      </c>
      <c r="O778" s="9" t="s">
        <v>150</v>
      </c>
      <c r="P778" s="9">
        <v>19143</v>
      </c>
      <c r="Q778" s="9" t="s">
        <v>49</v>
      </c>
      <c r="R778" s="9" t="s">
        <v>3583</v>
      </c>
      <c r="S778" s="9" t="s">
        <v>39</v>
      </c>
      <c r="T778" s="9" t="s">
        <v>40</v>
      </c>
      <c r="U778" s="9" t="s">
        <v>3584</v>
      </c>
      <c r="V778" s="11">
        <v>127.372</v>
      </c>
      <c r="W778" s="9" t="str">
        <f t="shared" si="64"/>
        <v>Slow Delivery</v>
      </c>
    </row>
    <row r="779" spans="1:23" x14ac:dyDescent="0.25">
      <c r="A779" s="9">
        <v>1364</v>
      </c>
      <c r="B779" s="10" t="s">
        <v>3686</v>
      </c>
      <c r="C779" s="10">
        <v>43414</v>
      </c>
      <c r="D779" s="10">
        <v>43415</v>
      </c>
      <c r="E779" s="9">
        <f t="shared" si="61"/>
        <v>2018</v>
      </c>
      <c r="F779" s="10" t="str">
        <f t="shared" si="62"/>
        <v>Nov</v>
      </c>
      <c r="G779" s="9">
        <f t="shared" si="63"/>
        <v>11</v>
      </c>
      <c r="H779" s="9">
        <f t="shared" si="60"/>
        <v>1</v>
      </c>
      <c r="I779" s="9" t="s">
        <v>19</v>
      </c>
      <c r="J779" s="9" t="s">
        <v>3687</v>
      </c>
      <c r="K779" s="9" t="s">
        <v>3688</v>
      </c>
      <c r="L779" s="9" t="s">
        <v>87</v>
      </c>
      <c r="M779" s="9" t="s">
        <v>23</v>
      </c>
      <c r="N779" s="9" t="s">
        <v>2249</v>
      </c>
      <c r="O779" s="9" t="s">
        <v>382</v>
      </c>
      <c r="P779" s="9">
        <v>85705</v>
      </c>
      <c r="Q779" s="9" t="s">
        <v>37</v>
      </c>
      <c r="R779" s="9" t="s">
        <v>3157</v>
      </c>
      <c r="S779" s="9" t="s">
        <v>66</v>
      </c>
      <c r="T779" s="9" t="s">
        <v>103</v>
      </c>
      <c r="U779" s="9" t="s">
        <v>3158</v>
      </c>
      <c r="V779" s="11">
        <v>38.387999999999998</v>
      </c>
      <c r="W779" s="9" t="str">
        <f t="shared" si="64"/>
        <v>Fast Delivery</v>
      </c>
    </row>
    <row r="780" spans="1:23" x14ac:dyDescent="0.25">
      <c r="A780" s="9">
        <v>4358</v>
      </c>
      <c r="B780" s="10" t="s">
        <v>3700</v>
      </c>
      <c r="C780" s="10">
        <v>43445</v>
      </c>
      <c r="D780" s="10">
        <v>43445</v>
      </c>
      <c r="E780" s="9">
        <f t="shared" si="61"/>
        <v>2018</v>
      </c>
      <c r="F780" s="10" t="str">
        <f t="shared" si="62"/>
        <v>Dec</v>
      </c>
      <c r="G780" s="9">
        <f t="shared" si="63"/>
        <v>12</v>
      </c>
      <c r="H780" s="9">
        <f t="shared" si="60"/>
        <v>0</v>
      </c>
      <c r="I780" s="9" t="s">
        <v>302</v>
      </c>
      <c r="J780" s="9" t="s">
        <v>3701</v>
      </c>
      <c r="K780" s="9" t="s">
        <v>3702</v>
      </c>
      <c r="L780" s="9" t="s">
        <v>22</v>
      </c>
      <c r="M780" s="9" t="s">
        <v>23</v>
      </c>
      <c r="N780" s="9" t="s">
        <v>682</v>
      </c>
      <c r="O780" s="9" t="s">
        <v>57</v>
      </c>
      <c r="P780" s="9">
        <v>60505</v>
      </c>
      <c r="Q780" s="9" t="s">
        <v>26</v>
      </c>
      <c r="R780" s="9" t="s">
        <v>1939</v>
      </c>
      <c r="S780" s="9" t="s">
        <v>66</v>
      </c>
      <c r="T780" s="9" t="s">
        <v>201</v>
      </c>
      <c r="U780" s="9" t="s">
        <v>1940</v>
      </c>
      <c r="V780" s="11">
        <v>10.368</v>
      </c>
      <c r="W780" s="9" t="str">
        <f t="shared" si="64"/>
        <v>Fast Delivery</v>
      </c>
    </row>
    <row r="781" spans="1:23" x14ac:dyDescent="0.25">
      <c r="A781" s="9">
        <v>3299</v>
      </c>
      <c r="B781" s="10" t="s">
        <v>3841</v>
      </c>
      <c r="C781" s="10">
        <v>43420</v>
      </c>
      <c r="D781" s="10">
        <v>43420</v>
      </c>
      <c r="E781" s="9">
        <f t="shared" si="61"/>
        <v>2018</v>
      </c>
      <c r="F781" s="10" t="str">
        <f t="shared" si="62"/>
        <v>Nov</v>
      </c>
      <c r="G781" s="9">
        <f t="shared" si="63"/>
        <v>11</v>
      </c>
      <c r="H781" s="9">
        <f t="shared" si="60"/>
        <v>0</v>
      </c>
      <c r="I781" s="9" t="s">
        <v>302</v>
      </c>
      <c r="J781" s="9" t="s">
        <v>3842</v>
      </c>
      <c r="K781" s="9" t="s">
        <v>3843</v>
      </c>
      <c r="L781" s="9" t="s">
        <v>87</v>
      </c>
      <c r="M781" s="9" t="s">
        <v>23</v>
      </c>
      <c r="N781" s="9" t="s">
        <v>143</v>
      </c>
      <c r="O781" s="9" t="s">
        <v>80</v>
      </c>
      <c r="P781" s="9">
        <v>94122</v>
      </c>
      <c r="Q781" s="9" t="s">
        <v>37</v>
      </c>
      <c r="R781" s="9" t="s">
        <v>3303</v>
      </c>
      <c r="S781" s="9" t="s">
        <v>28</v>
      </c>
      <c r="T781" s="9" t="s">
        <v>364</v>
      </c>
      <c r="U781" s="9" t="s">
        <v>3304</v>
      </c>
      <c r="V781" s="11">
        <v>1919.9760000000001</v>
      </c>
      <c r="W781" s="9" t="str">
        <f t="shared" si="64"/>
        <v>Fast Delivery</v>
      </c>
    </row>
    <row r="782" spans="1:23" x14ac:dyDescent="0.25">
      <c r="A782" s="9">
        <v>7769</v>
      </c>
      <c r="B782" s="10" t="s">
        <v>3727</v>
      </c>
      <c r="C782" s="10">
        <v>43416</v>
      </c>
      <c r="D782" s="10">
        <v>43421</v>
      </c>
      <c r="E782" s="9">
        <f t="shared" si="61"/>
        <v>2018</v>
      </c>
      <c r="F782" s="10" t="str">
        <f t="shared" si="62"/>
        <v>Nov</v>
      </c>
      <c r="G782" s="9">
        <f t="shared" si="63"/>
        <v>11</v>
      </c>
      <c r="H782" s="9">
        <f t="shared" si="60"/>
        <v>5</v>
      </c>
      <c r="I782" s="9" t="s">
        <v>43</v>
      </c>
      <c r="J782" s="9" t="s">
        <v>3728</v>
      </c>
      <c r="K782" s="9" t="s">
        <v>3729</v>
      </c>
      <c r="L782" s="9" t="s">
        <v>22</v>
      </c>
      <c r="M782" s="9" t="s">
        <v>23</v>
      </c>
      <c r="N782" s="9" t="s">
        <v>2074</v>
      </c>
      <c r="O782" s="9" t="s">
        <v>130</v>
      </c>
      <c r="P782" s="9">
        <v>32303</v>
      </c>
      <c r="Q782" s="9" t="s">
        <v>110</v>
      </c>
      <c r="R782" s="9" t="s">
        <v>3730</v>
      </c>
      <c r="S782" s="9" t="s">
        <v>66</v>
      </c>
      <c r="T782" s="9" t="s">
        <v>201</v>
      </c>
      <c r="U782" s="9" t="s">
        <v>3731</v>
      </c>
      <c r="V782" s="11">
        <v>26.72</v>
      </c>
      <c r="W782" s="9" t="str">
        <f t="shared" si="64"/>
        <v>Slow Delivery</v>
      </c>
    </row>
    <row r="783" spans="1:23" x14ac:dyDescent="0.25">
      <c r="A783" s="9">
        <v>4776</v>
      </c>
      <c r="B783" s="10" t="s">
        <v>3844</v>
      </c>
      <c r="C783" s="10">
        <v>43420</v>
      </c>
      <c r="D783" s="10">
        <v>43425</v>
      </c>
      <c r="E783" s="9">
        <f t="shared" si="61"/>
        <v>2018</v>
      </c>
      <c r="F783" s="10" t="str">
        <f t="shared" si="62"/>
        <v>Nov</v>
      </c>
      <c r="G783" s="9">
        <f t="shared" si="63"/>
        <v>11</v>
      </c>
      <c r="H783" s="9">
        <f t="shared" si="60"/>
        <v>5</v>
      </c>
      <c r="I783" s="9" t="s">
        <v>43</v>
      </c>
      <c r="J783" s="9" t="s">
        <v>3845</v>
      </c>
      <c r="K783" s="9" t="s">
        <v>3846</v>
      </c>
      <c r="L783" s="9" t="s">
        <v>46</v>
      </c>
      <c r="M783" s="9" t="s">
        <v>23</v>
      </c>
      <c r="N783" s="9" t="s">
        <v>156</v>
      </c>
      <c r="O783" s="9" t="s">
        <v>80</v>
      </c>
      <c r="P783" s="9">
        <v>92025</v>
      </c>
      <c r="Q783" s="9" t="s">
        <v>37</v>
      </c>
      <c r="R783" s="9" t="s">
        <v>3847</v>
      </c>
      <c r="S783" s="9" t="s">
        <v>66</v>
      </c>
      <c r="T783" s="9" t="s">
        <v>158</v>
      </c>
      <c r="U783" s="9" t="s">
        <v>3848</v>
      </c>
      <c r="V783" s="11">
        <v>23.36</v>
      </c>
      <c r="W783" s="9" t="str">
        <f t="shared" si="64"/>
        <v>Slow Delivery</v>
      </c>
    </row>
    <row r="784" spans="1:23" x14ac:dyDescent="0.25">
      <c r="A784" s="9">
        <v>4389</v>
      </c>
      <c r="B784" s="10" t="s">
        <v>3917</v>
      </c>
      <c r="C784" s="10">
        <v>43424</v>
      </c>
      <c r="D784" s="10">
        <v>43426</v>
      </c>
      <c r="E784" s="9">
        <f t="shared" si="61"/>
        <v>2018</v>
      </c>
      <c r="F784" s="10" t="str">
        <f t="shared" si="62"/>
        <v>Nov</v>
      </c>
      <c r="G784" s="9">
        <f t="shared" si="63"/>
        <v>11</v>
      </c>
      <c r="H784" s="9">
        <f t="shared" si="60"/>
        <v>2</v>
      </c>
      <c r="I784" s="9" t="s">
        <v>19</v>
      </c>
      <c r="J784" s="9" t="s">
        <v>3918</v>
      </c>
      <c r="K784" s="9" t="s">
        <v>3919</v>
      </c>
      <c r="L784" s="9" t="s">
        <v>22</v>
      </c>
      <c r="M784" s="9" t="s">
        <v>23</v>
      </c>
      <c r="N784" s="9" t="s">
        <v>47</v>
      </c>
      <c r="O784" s="9" t="s">
        <v>48</v>
      </c>
      <c r="P784" s="9">
        <v>10035</v>
      </c>
      <c r="Q784" s="9" t="s">
        <v>49</v>
      </c>
      <c r="R784" s="9" t="s">
        <v>3730</v>
      </c>
      <c r="S784" s="9" t="s">
        <v>66</v>
      </c>
      <c r="T784" s="9" t="s">
        <v>201</v>
      </c>
      <c r="U784" s="9" t="s">
        <v>3731</v>
      </c>
      <c r="V784" s="11">
        <v>46.76</v>
      </c>
      <c r="W784" s="9" t="str">
        <f t="shared" si="64"/>
        <v>Fast Delivery</v>
      </c>
    </row>
    <row r="785" spans="1:23" x14ac:dyDescent="0.25">
      <c r="A785" s="9">
        <v>5594</v>
      </c>
      <c r="B785" s="10" t="s">
        <v>3912</v>
      </c>
      <c r="C785" s="10">
        <v>43423</v>
      </c>
      <c r="D785" s="10">
        <v>43429</v>
      </c>
      <c r="E785" s="9">
        <f t="shared" si="61"/>
        <v>2018</v>
      </c>
      <c r="F785" s="10" t="str">
        <f t="shared" si="62"/>
        <v>Nov</v>
      </c>
      <c r="G785" s="9">
        <f t="shared" si="63"/>
        <v>11</v>
      </c>
      <c r="H785" s="9">
        <f t="shared" si="60"/>
        <v>6</v>
      </c>
      <c r="I785" s="9" t="s">
        <v>43</v>
      </c>
      <c r="J785" s="9" t="s">
        <v>3913</v>
      </c>
      <c r="K785" s="9" t="s">
        <v>3914</v>
      </c>
      <c r="L785" s="9" t="s">
        <v>22</v>
      </c>
      <c r="M785" s="9" t="s">
        <v>23</v>
      </c>
      <c r="N785" s="9" t="s">
        <v>2559</v>
      </c>
      <c r="O785" s="9" t="s">
        <v>250</v>
      </c>
      <c r="P785" s="9">
        <v>44105</v>
      </c>
      <c r="Q785" s="9" t="s">
        <v>49</v>
      </c>
      <c r="R785" s="9" t="s">
        <v>3915</v>
      </c>
      <c r="S785" s="9" t="s">
        <v>66</v>
      </c>
      <c r="T785" s="9" t="s">
        <v>103</v>
      </c>
      <c r="U785" s="9" t="s">
        <v>3916</v>
      </c>
      <c r="V785" s="11">
        <v>59.912999999999997</v>
      </c>
      <c r="W785" s="9" t="str">
        <f t="shared" si="64"/>
        <v>Slow Delivery</v>
      </c>
    </row>
    <row r="786" spans="1:23" x14ac:dyDescent="0.25">
      <c r="A786" s="9">
        <v>5371</v>
      </c>
      <c r="B786" s="10" t="s">
        <v>3608</v>
      </c>
      <c r="C786" s="10">
        <v>43198</v>
      </c>
      <c r="D786" s="10">
        <v>43202</v>
      </c>
      <c r="E786" s="9">
        <f t="shared" si="61"/>
        <v>2018</v>
      </c>
      <c r="F786" s="10" t="str">
        <f t="shared" si="62"/>
        <v>Apr</v>
      </c>
      <c r="G786" s="9">
        <f t="shared" si="63"/>
        <v>4</v>
      </c>
      <c r="H786" s="9">
        <f t="shared" si="60"/>
        <v>4</v>
      </c>
      <c r="I786" s="9" t="s">
        <v>43</v>
      </c>
      <c r="J786" s="9" t="s">
        <v>3609</v>
      </c>
      <c r="K786" s="9" t="s">
        <v>3610</v>
      </c>
      <c r="L786" s="9" t="s">
        <v>87</v>
      </c>
      <c r="M786" s="9" t="s">
        <v>23</v>
      </c>
      <c r="N786" s="9" t="s">
        <v>3611</v>
      </c>
      <c r="O786" s="9" t="s">
        <v>118</v>
      </c>
      <c r="P786" s="9">
        <v>48237</v>
      </c>
      <c r="Q786" s="9" t="s">
        <v>26</v>
      </c>
      <c r="R786" s="9" t="s">
        <v>3612</v>
      </c>
      <c r="S786" s="9" t="s">
        <v>39</v>
      </c>
      <c r="T786" s="9" t="s">
        <v>112</v>
      </c>
      <c r="U786" s="9" t="s">
        <v>3613</v>
      </c>
      <c r="V786" s="11">
        <v>273.95999999999998</v>
      </c>
      <c r="W786" s="9" t="str">
        <f t="shared" si="64"/>
        <v>Slow Delivery</v>
      </c>
    </row>
    <row r="787" spans="1:23" x14ac:dyDescent="0.25">
      <c r="A787" s="9">
        <v>347</v>
      </c>
      <c r="B787" s="10" t="s">
        <v>3619</v>
      </c>
      <c r="C787" s="10">
        <v>43289</v>
      </c>
      <c r="D787" s="10">
        <v>43293</v>
      </c>
      <c r="E787" s="9">
        <f t="shared" si="61"/>
        <v>2018</v>
      </c>
      <c r="F787" s="10" t="str">
        <f t="shared" si="62"/>
        <v>Jul</v>
      </c>
      <c r="G787" s="9">
        <f t="shared" si="63"/>
        <v>7</v>
      </c>
      <c r="H787" s="9">
        <f t="shared" si="60"/>
        <v>4</v>
      </c>
      <c r="I787" s="9" t="s">
        <v>43</v>
      </c>
      <c r="J787" s="9" t="s">
        <v>3620</v>
      </c>
      <c r="K787" s="9" t="s">
        <v>3621</v>
      </c>
      <c r="L787" s="9" t="s">
        <v>22</v>
      </c>
      <c r="M787" s="9" t="s">
        <v>23</v>
      </c>
      <c r="N787" s="9" t="s">
        <v>262</v>
      </c>
      <c r="O787" s="9" t="s">
        <v>89</v>
      </c>
      <c r="P787" s="9">
        <v>1852</v>
      </c>
      <c r="Q787" s="9" t="s">
        <v>49</v>
      </c>
      <c r="R787" s="9" t="s">
        <v>3622</v>
      </c>
      <c r="S787" s="9" t="s">
        <v>66</v>
      </c>
      <c r="T787" s="9" t="s">
        <v>158</v>
      </c>
      <c r="U787" s="9" t="s">
        <v>3623</v>
      </c>
      <c r="V787" s="11">
        <v>7.56</v>
      </c>
      <c r="W787" s="9" t="str">
        <f t="shared" si="64"/>
        <v>Slow Delivery</v>
      </c>
    </row>
    <row r="788" spans="1:23" x14ac:dyDescent="0.25">
      <c r="A788" s="9">
        <v>8405</v>
      </c>
      <c r="B788" s="10" t="s">
        <v>3629</v>
      </c>
      <c r="C788" s="10">
        <v>43289</v>
      </c>
      <c r="D788" s="10">
        <v>43293</v>
      </c>
      <c r="E788" s="9">
        <f t="shared" si="61"/>
        <v>2018</v>
      </c>
      <c r="F788" s="10" t="str">
        <f t="shared" si="62"/>
        <v>Jul</v>
      </c>
      <c r="G788" s="9">
        <f t="shared" si="63"/>
        <v>7</v>
      </c>
      <c r="H788" s="9">
        <f t="shared" si="60"/>
        <v>4</v>
      </c>
      <c r="I788" s="9" t="s">
        <v>43</v>
      </c>
      <c r="J788" s="9" t="s">
        <v>3630</v>
      </c>
      <c r="K788" s="9" t="s">
        <v>3631</v>
      </c>
      <c r="L788" s="9" t="s">
        <v>87</v>
      </c>
      <c r="M788" s="9" t="s">
        <v>23</v>
      </c>
      <c r="N788" s="9" t="s">
        <v>1814</v>
      </c>
      <c r="O788" s="9" t="s">
        <v>1475</v>
      </c>
      <c r="P788" s="9">
        <v>19711</v>
      </c>
      <c r="Q788" s="9" t="s">
        <v>49</v>
      </c>
      <c r="R788" s="9" t="s">
        <v>3632</v>
      </c>
      <c r="S788" s="9" t="s">
        <v>39</v>
      </c>
      <c r="T788" s="9" t="s">
        <v>112</v>
      </c>
      <c r="U788" s="9" t="s">
        <v>3633</v>
      </c>
      <c r="V788" s="11">
        <v>83.92</v>
      </c>
      <c r="W788" s="9" t="str">
        <f t="shared" si="64"/>
        <v>Slow Delivery</v>
      </c>
    </row>
    <row r="789" spans="1:23" x14ac:dyDescent="0.25">
      <c r="A789" s="9">
        <v>3574</v>
      </c>
      <c r="B789" s="10" t="s">
        <v>3599</v>
      </c>
      <c r="C789" s="10">
        <v>43319</v>
      </c>
      <c r="D789" s="10">
        <v>43324</v>
      </c>
      <c r="E789" s="9">
        <f t="shared" si="61"/>
        <v>2018</v>
      </c>
      <c r="F789" s="10" t="str">
        <f t="shared" si="62"/>
        <v>Aug</v>
      </c>
      <c r="G789" s="9">
        <f t="shared" si="63"/>
        <v>8</v>
      </c>
      <c r="H789" s="9">
        <f t="shared" si="60"/>
        <v>5</v>
      </c>
      <c r="I789" s="9" t="s">
        <v>43</v>
      </c>
      <c r="J789" s="9" t="s">
        <v>3600</v>
      </c>
      <c r="K789" s="9" t="s">
        <v>3601</v>
      </c>
      <c r="L789" s="9" t="s">
        <v>22</v>
      </c>
      <c r="M789" s="9" t="s">
        <v>23</v>
      </c>
      <c r="N789" s="9" t="s">
        <v>219</v>
      </c>
      <c r="O789" s="9" t="s">
        <v>48</v>
      </c>
      <c r="P789" s="9">
        <v>11561</v>
      </c>
      <c r="Q789" s="9" t="s">
        <v>49</v>
      </c>
      <c r="R789" s="9" t="s">
        <v>3602</v>
      </c>
      <c r="S789" s="9" t="s">
        <v>66</v>
      </c>
      <c r="T789" s="9" t="s">
        <v>158</v>
      </c>
      <c r="U789" s="9" t="s">
        <v>3603</v>
      </c>
      <c r="V789" s="11">
        <v>11.68</v>
      </c>
      <c r="W789" s="9" t="str">
        <f t="shared" si="64"/>
        <v>Slow Delivery</v>
      </c>
    </row>
    <row r="790" spans="1:23" x14ac:dyDescent="0.25">
      <c r="A790" s="9">
        <v>4182</v>
      </c>
      <c r="B790" s="10" t="s">
        <v>3562</v>
      </c>
      <c r="C790" s="10">
        <v>43379</v>
      </c>
      <c r="D790" s="10">
        <v>43385</v>
      </c>
      <c r="E790" s="9">
        <f t="shared" si="61"/>
        <v>2018</v>
      </c>
      <c r="F790" s="10" t="str">
        <f t="shared" si="62"/>
        <v>Oct</v>
      </c>
      <c r="G790" s="9">
        <f t="shared" si="63"/>
        <v>10</v>
      </c>
      <c r="H790" s="9">
        <f t="shared" si="60"/>
        <v>6</v>
      </c>
      <c r="I790" s="9" t="s">
        <v>43</v>
      </c>
      <c r="J790" s="9" t="s">
        <v>3563</v>
      </c>
      <c r="K790" s="9" t="s">
        <v>3564</v>
      </c>
      <c r="L790" s="9" t="s">
        <v>46</v>
      </c>
      <c r="M790" s="9" t="s">
        <v>23</v>
      </c>
      <c r="N790" s="9" t="s">
        <v>47</v>
      </c>
      <c r="O790" s="9" t="s">
        <v>48</v>
      </c>
      <c r="P790" s="9">
        <v>10035</v>
      </c>
      <c r="Q790" s="9" t="s">
        <v>49</v>
      </c>
      <c r="R790" s="9" t="s">
        <v>3565</v>
      </c>
      <c r="S790" s="9" t="s">
        <v>28</v>
      </c>
      <c r="T790" s="9" t="s">
        <v>29</v>
      </c>
      <c r="U790" s="9" t="s">
        <v>3566</v>
      </c>
      <c r="V790" s="11">
        <v>319.95999999999998</v>
      </c>
      <c r="W790" s="9" t="str">
        <f t="shared" si="64"/>
        <v>Slow Delivery</v>
      </c>
    </row>
    <row r="791" spans="1:23" x14ac:dyDescent="0.25">
      <c r="A791" s="9">
        <v>96</v>
      </c>
      <c r="B791" s="10" t="s">
        <v>3570</v>
      </c>
      <c r="C791" s="10">
        <v>43410</v>
      </c>
      <c r="D791" s="10">
        <v>43416</v>
      </c>
      <c r="E791" s="9">
        <f t="shared" si="61"/>
        <v>2018</v>
      </c>
      <c r="F791" s="10" t="str">
        <f t="shared" si="62"/>
        <v>Nov</v>
      </c>
      <c r="G791" s="9">
        <f t="shared" si="63"/>
        <v>11</v>
      </c>
      <c r="H791" s="9">
        <f t="shared" si="60"/>
        <v>6</v>
      </c>
      <c r="I791" s="9" t="s">
        <v>43</v>
      </c>
      <c r="J791" s="9" t="s">
        <v>3571</v>
      </c>
      <c r="K791" s="9" t="s">
        <v>3572</v>
      </c>
      <c r="L791" s="9" t="s">
        <v>46</v>
      </c>
      <c r="M791" s="9" t="s">
        <v>23</v>
      </c>
      <c r="N791" s="9" t="s">
        <v>187</v>
      </c>
      <c r="O791" s="9" t="s">
        <v>188</v>
      </c>
      <c r="P791" s="9">
        <v>97206</v>
      </c>
      <c r="Q791" s="9" t="s">
        <v>37</v>
      </c>
      <c r="R791" s="9" t="s">
        <v>3573</v>
      </c>
      <c r="S791" s="9" t="s">
        <v>66</v>
      </c>
      <c r="T791" s="9" t="s">
        <v>103</v>
      </c>
      <c r="U791" s="9" t="s">
        <v>3574</v>
      </c>
      <c r="V791" s="11">
        <v>5.6820000000000004</v>
      </c>
      <c r="W791" s="9" t="str">
        <f t="shared" si="64"/>
        <v>Slow Delivery</v>
      </c>
    </row>
    <row r="792" spans="1:23" x14ac:dyDescent="0.25">
      <c r="A792" s="9">
        <v>9482</v>
      </c>
      <c r="B792" s="10" t="s">
        <v>3590</v>
      </c>
      <c r="C792" s="10">
        <v>43410</v>
      </c>
      <c r="D792" s="10">
        <v>43416</v>
      </c>
      <c r="E792" s="9">
        <f t="shared" si="61"/>
        <v>2018</v>
      </c>
      <c r="F792" s="10" t="str">
        <f t="shared" si="62"/>
        <v>Nov</v>
      </c>
      <c r="G792" s="9">
        <f t="shared" si="63"/>
        <v>11</v>
      </c>
      <c r="H792" s="9">
        <f t="shared" si="60"/>
        <v>6</v>
      </c>
      <c r="I792" s="9" t="s">
        <v>43</v>
      </c>
      <c r="J792" s="9" t="s">
        <v>3591</v>
      </c>
      <c r="K792" s="9" t="s">
        <v>3592</v>
      </c>
      <c r="L792" s="9" t="s">
        <v>22</v>
      </c>
      <c r="M792" s="9" t="s">
        <v>23</v>
      </c>
      <c r="N792" s="9" t="s">
        <v>556</v>
      </c>
      <c r="O792" s="9" t="s">
        <v>64</v>
      </c>
      <c r="P792" s="9">
        <v>75220</v>
      </c>
      <c r="Q792" s="9" t="s">
        <v>26</v>
      </c>
      <c r="R792" s="9" t="s">
        <v>3593</v>
      </c>
      <c r="S792" s="9" t="s">
        <v>66</v>
      </c>
      <c r="T792" s="9" t="s">
        <v>74</v>
      </c>
      <c r="U792" s="9" t="s">
        <v>3594</v>
      </c>
      <c r="V792" s="11">
        <v>18.16</v>
      </c>
      <c r="W792" s="9" t="str">
        <f t="shared" si="64"/>
        <v>Slow Delivery</v>
      </c>
    </row>
    <row r="793" spans="1:23" x14ac:dyDescent="0.25">
      <c r="A793" s="9">
        <v>1866</v>
      </c>
      <c r="B793" s="10" t="s">
        <v>3722</v>
      </c>
      <c r="C793" s="10">
        <v>43416</v>
      </c>
      <c r="D793" s="10">
        <v>43416</v>
      </c>
      <c r="E793" s="9">
        <f t="shared" si="61"/>
        <v>2018</v>
      </c>
      <c r="F793" s="10" t="str">
        <f t="shared" si="62"/>
        <v>Nov</v>
      </c>
      <c r="G793" s="9">
        <f t="shared" si="63"/>
        <v>11</v>
      </c>
      <c r="H793" s="9">
        <f t="shared" si="60"/>
        <v>0</v>
      </c>
      <c r="I793" s="9" t="s">
        <v>302</v>
      </c>
      <c r="J793" s="9" t="s">
        <v>3723</v>
      </c>
      <c r="K793" s="9" t="s">
        <v>3724</v>
      </c>
      <c r="L793" s="9" t="s">
        <v>87</v>
      </c>
      <c r="M793" s="9" t="s">
        <v>23</v>
      </c>
      <c r="N793" s="9" t="s">
        <v>1814</v>
      </c>
      <c r="O793" s="9" t="s">
        <v>250</v>
      </c>
      <c r="P793" s="9">
        <v>43055</v>
      </c>
      <c r="Q793" s="9" t="s">
        <v>49</v>
      </c>
      <c r="R793" s="9" t="s">
        <v>3725</v>
      </c>
      <c r="S793" s="9" t="s">
        <v>28</v>
      </c>
      <c r="T793" s="9" t="s">
        <v>51</v>
      </c>
      <c r="U793" s="9" t="s">
        <v>3726</v>
      </c>
      <c r="V793" s="11">
        <v>370.78199999999998</v>
      </c>
      <c r="W793" s="9" t="str">
        <f t="shared" si="64"/>
        <v>Fast Delivery</v>
      </c>
    </row>
    <row r="794" spans="1:23" x14ac:dyDescent="0.25">
      <c r="A794" s="9">
        <v>2728</v>
      </c>
      <c r="B794" s="10" t="s">
        <v>3957</v>
      </c>
      <c r="C794" s="10">
        <v>43456</v>
      </c>
      <c r="D794" s="10">
        <v>43458</v>
      </c>
      <c r="E794" s="9">
        <f t="shared" si="61"/>
        <v>2018</v>
      </c>
      <c r="F794" s="10" t="str">
        <f t="shared" si="62"/>
        <v>Dec</v>
      </c>
      <c r="G794" s="9">
        <f t="shared" si="63"/>
        <v>12</v>
      </c>
      <c r="H794" s="9">
        <f t="shared" si="60"/>
        <v>2</v>
      </c>
      <c r="I794" s="9" t="s">
        <v>19</v>
      </c>
      <c r="J794" s="9" t="s">
        <v>3958</v>
      </c>
      <c r="K794" s="9" t="s">
        <v>3959</v>
      </c>
      <c r="L794" s="9" t="s">
        <v>22</v>
      </c>
      <c r="M794" s="9" t="s">
        <v>23</v>
      </c>
      <c r="N794" s="9" t="s">
        <v>1169</v>
      </c>
      <c r="O794" s="9" t="s">
        <v>250</v>
      </c>
      <c r="P794" s="9">
        <v>43615</v>
      </c>
      <c r="Q794" s="9" t="s">
        <v>49</v>
      </c>
      <c r="R794" s="9" t="s">
        <v>3960</v>
      </c>
      <c r="S794" s="9" t="s">
        <v>66</v>
      </c>
      <c r="T794" s="9" t="s">
        <v>103</v>
      </c>
      <c r="U794" s="9" t="s">
        <v>3961</v>
      </c>
      <c r="V794" s="11">
        <v>1.641</v>
      </c>
      <c r="W794" s="9" t="str">
        <f t="shared" si="64"/>
        <v>Fast Delivery</v>
      </c>
    </row>
    <row r="795" spans="1:23" x14ac:dyDescent="0.25">
      <c r="G795" s="9"/>
    </row>
    <row r="796" spans="1:23" x14ac:dyDescent="0.25">
      <c r="G796" s="9"/>
    </row>
  </sheetData>
  <autoFilter ref="F1:F796" xr:uid="{00000000-0001-0000-01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workbookViewId="0">
      <selection activeCell="V15" sqref="V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Aarya Kumar Pandey</dc:creator>
  <cp:lastModifiedBy>Aarya Kumar Pandey</cp:lastModifiedBy>
  <dcterms:created xsi:type="dcterms:W3CDTF">2026-03-27T09:13:51Z</dcterms:created>
  <dcterms:modified xsi:type="dcterms:W3CDTF">2026-06-07T12:06:28Z</dcterms:modified>
</cp:coreProperties>
</file>